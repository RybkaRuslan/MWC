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6  ПРОЕКТНЫЙ ОТДЕЛ\Калькуляторы\Проверка элементов\Mathcad\"/>
    </mc:Choice>
  </mc:AlternateContent>
  <bookViews>
    <workbookView xWindow="0" yWindow="0" windowWidth="28800" windowHeight="12435" tabRatio="618" firstSheet="2" activeTab="15"/>
  </bookViews>
  <sheets>
    <sheet name="Сводная" sheetId="18" r:id="rId1"/>
    <sheet name="Z" sheetId="1" r:id="rId2"/>
    <sheet name="C" sheetId="15" r:id="rId3"/>
    <sheet name="ZR" sheetId="9" r:id="rId4"/>
    <sheet name="S" sheetId="11" r:id="rId5"/>
    <sheet name="Z_R_280" sheetId="20" r:id="rId6"/>
    <sheet name="Z_R_350" sheetId="2" r:id="rId7"/>
    <sheet name="Z_R_390" sheetId="21" r:id="rId8"/>
    <sheet name="Z_R_420" sheetId="3" r:id="rId9"/>
    <sheet name="Z_R_450" sheetId="7" r:id="rId10"/>
    <sheet name="ZR_R_350" sheetId="5" r:id="rId11"/>
    <sheet name="ZR_R_390" sheetId="23" r:id="rId12"/>
    <sheet name="ZR_R_420" sheetId="10" r:id="rId13"/>
    <sheet name="S_R_350" sheetId="12" r:id="rId14"/>
    <sheet name="S_R_390" sheetId="24" r:id="rId15"/>
    <sheet name="S_R_420" sheetId="13" r:id="rId16"/>
    <sheet name="C_R_350" sheetId="16" r:id="rId17"/>
    <sheet name="C_R_390" sheetId="26" r:id="rId18"/>
  </sheets>
  <definedNames>
    <definedName name="_xlnm._FilterDatabase" localSheetId="0" hidden="1">Сводная!$A$1:$X$9</definedName>
  </definedNames>
  <calcPr calcId="179021"/>
</workbook>
</file>

<file path=xl/calcChain.xml><?xml version="1.0" encoding="utf-8"?>
<calcChain xmlns="http://schemas.openxmlformats.org/spreadsheetml/2006/main">
  <c r="AI12" i="9" l="1"/>
  <c r="AI13" i="9"/>
  <c r="AI14" i="9"/>
  <c r="AJ14" i="9" s="1"/>
  <c r="AI15" i="9"/>
  <c r="AI16" i="9"/>
  <c r="AI17" i="9"/>
  <c r="AI18" i="9"/>
  <c r="AI19" i="9"/>
  <c r="AI20" i="9"/>
  <c r="AJ20" i="9" s="1"/>
  <c r="AI21" i="9"/>
  <c r="AJ21" i="9" s="1"/>
  <c r="AI22" i="9"/>
  <c r="AJ22" i="9" s="1"/>
  <c r="AI23" i="9"/>
  <c r="AI24" i="9"/>
  <c r="AI25" i="9"/>
  <c r="AI26" i="9"/>
  <c r="AJ26" i="9" s="1"/>
  <c r="AI27" i="9"/>
  <c r="AI28" i="9"/>
  <c r="AI29" i="9"/>
  <c r="AI30" i="9"/>
  <c r="AI31" i="9"/>
  <c r="AI32" i="9"/>
  <c r="AJ32" i="9" s="1"/>
  <c r="AI33" i="9"/>
  <c r="AJ33" i="9" s="1"/>
  <c r="AI34" i="9"/>
  <c r="AJ34" i="9" s="1"/>
  <c r="AI35" i="9"/>
  <c r="AI36" i="9"/>
  <c r="AI37" i="9"/>
  <c r="AJ37" i="9" s="1"/>
  <c r="AI38" i="9"/>
  <c r="AJ38" i="9" s="1"/>
  <c r="AI39" i="9"/>
  <c r="AJ39" i="9" s="1"/>
  <c r="AI40" i="9"/>
  <c r="AI41" i="9"/>
  <c r="AI42" i="9"/>
  <c r="AI43" i="9"/>
  <c r="AI44" i="9"/>
  <c r="AJ44" i="9" s="1"/>
  <c r="AI45" i="9"/>
  <c r="AJ45" i="9" s="1"/>
  <c r="AI46" i="9"/>
  <c r="AJ46" i="9" s="1"/>
  <c r="AI47" i="9"/>
  <c r="AI48" i="9"/>
  <c r="AI49" i="9"/>
  <c r="AJ49" i="9" s="1"/>
  <c r="AI50" i="9"/>
  <c r="AJ50" i="9" s="1"/>
  <c r="AI51" i="9"/>
  <c r="AJ51" i="9" s="1"/>
  <c r="AI11" i="9"/>
  <c r="AJ11" i="9" s="1"/>
  <c r="AJ48" i="9"/>
  <c r="AJ47" i="9"/>
  <c r="AJ43" i="9"/>
  <c r="AJ42" i="9"/>
  <c r="AJ41" i="9"/>
  <c r="AJ40" i="9"/>
  <c r="AJ36" i="9"/>
  <c r="AJ35" i="9"/>
  <c r="AJ31" i="9"/>
  <c r="AJ30" i="9"/>
  <c r="AJ29" i="9"/>
  <c r="AJ28" i="9"/>
  <c r="AJ27" i="9"/>
  <c r="AJ25" i="9"/>
  <c r="AJ24" i="9"/>
  <c r="AJ23" i="9"/>
  <c r="AJ19" i="9"/>
  <c r="AJ18" i="9"/>
  <c r="AJ17" i="9"/>
  <c r="AJ16" i="9"/>
  <c r="AJ15" i="9"/>
  <c r="AJ13" i="9"/>
  <c r="AJ12" i="9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33" i="11"/>
  <c r="AL34" i="11"/>
  <c r="AL35" i="11"/>
  <c r="AL36" i="11"/>
  <c r="AL37" i="11"/>
  <c r="AL38" i="11"/>
  <c r="AL39" i="11"/>
  <c r="AL40" i="11"/>
  <c r="AL41" i="11"/>
  <c r="AL42" i="11"/>
  <c r="AL43" i="11"/>
  <c r="AL44" i="11"/>
  <c r="AL45" i="11"/>
  <c r="AL46" i="11"/>
  <c r="AL47" i="11"/>
  <c r="AL48" i="11"/>
  <c r="AL49" i="11"/>
  <c r="AL50" i="11"/>
  <c r="AL51" i="11"/>
  <c r="AL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33" i="11"/>
  <c r="AK34" i="11"/>
  <c r="AK35" i="11"/>
  <c r="AK36" i="11"/>
  <c r="AK37" i="11"/>
  <c r="AK38" i="11"/>
  <c r="AK39" i="11"/>
  <c r="AK40" i="11"/>
  <c r="AK41" i="11"/>
  <c r="AK42" i="11"/>
  <c r="AK43" i="11"/>
  <c r="AK44" i="11"/>
  <c r="AK45" i="11"/>
  <c r="AK46" i="11"/>
  <c r="AK47" i="11"/>
  <c r="AK48" i="11"/>
  <c r="AK49" i="11"/>
  <c r="AK50" i="11"/>
  <c r="AK51" i="11"/>
  <c r="AK11" i="11"/>
  <c r="AJ13" i="11"/>
  <c r="AJ12" i="11"/>
  <c r="AJ11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J22" i="11" s="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J34" i="11" s="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J46" i="11" s="1"/>
  <c r="AI47" i="11"/>
  <c r="AI48" i="11"/>
  <c r="AI49" i="11"/>
  <c r="AI50" i="11"/>
  <c r="AJ50" i="11" s="1"/>
  <c r="AI51" i="11"/>
  <c r="AH11" i="11"/>
  <c r="AG11" i="11"/>
  <c r="AF11" i="11"/>
  <c r="AD11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5" i="11"/>
  <c r="AJ36" i="11"/>
  <c r="AJ37" i="11"/>
  <c r="AJ38" i="11"/>
  <c r="AJ39" i="11"/>
  <c r="AJ40" i="11"/>
  <c r="AJ41" i="11"/>
  <c r="AJ42" i="11"/>
  <c r="AJ43" i="11"/>
  <c r="AJ44" i="11"/>
  <c r="AJ45" i="11"/>
  <c r="AJ47" i="11"/>
  <c r="AJ48" i="11"/>
  <c r="AJ49" i="11"/>
  <c r="AJ5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36" i="11"/>
  <c r="AH37" i="11"/>
  <c r="AH38" i="11"/>
  <c r="AH39" i="1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33" i="11"/>
  <c r="AG34" i="11"/>
  <c r="AG35" i="11"/>
  <c r="AG36" i="11"/>
  <c r="AG37" i="11"/>
  <c r="AG38" i="11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48" i="11"/>
  <c r="AD49" i="11"/>
  <c r="AD50" i="11"/>
  <c r="AD5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11" i="11"/>
  <c r="AB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11" i="11"/>
  <c r="AB51" i="11"/>
  <c r="AB50" i="11"/>
  <c r="AB49" i="11"/>
  <c r="AB48" i="11"/>
  <c r="AB47" i="11"/>
  <c r="AB46" i="11"/>
  <c r="AB45" i="11"/>
  <c r="AB44" i="11"/>
  <c r="AB43" i="11"/>
  <c r="AB42" i="11"/>
  <c r="AB41" i="11"/>
  <c r="AB40" i="11"/>
  <c r="AB39" i="11"/>
  <c r="AB38" i="11"/>
  <c r="AB37" i="11"/>
  <c r="AB36" i="11"/>
  <c r="AB35" i="11"/>
  <c r="AB34" i="11"/>
  <c r="AB33" i="11"/>
  <c r="AB32" i="11"/>
  <c r="AB31" i="11"/>
  <c r="AB30" i="11"/>
  <c r="AB29" i="11"/>
  <c r="AB28" i="11"/>
  <c r="AB27" i="11"/>
  <c r="AB26" i="11"/>
  <c r="AB25" i="11"/>
  <c r="AB24" i="11"/>
  <c r="AB23" i="11"/>
  <c r="AB22" i="11"/>
  <c r="AB21" i="11"/>
  <c r="AB20" i="11"/>
  <c r="AB19" i="11"/>
  <c r="AB18" i="11"/>
  <c r="AB17" i="11"/>
  <c r="AB16" i="11"/>
  <c r="AB15" i="11"/>
  <c r="AB14" i="11"/>
  <c r="AB13" i="11"/>
  <c r="AB12" i="11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11" i="9"/>
  <c r="Z12" i="9"/>
  <c r="AA12" i="9"/>
  <c r="Z13" i="9"/>
  <c r="AA13" i="9"/>
  <c r="Z14" i="9"/>
  <c r="AA14" i="9"/>
  <c r="Z15" i="9"/>
  <c r="AA15" i="9"/>
  <c r="Z16" i="9"/>
  <c r="AA16" i="9"/>
  <c r="Z17" i="9"/>
  <c r="AA17" i="9"/>
  <c r="Z18" i="9"/>
  <c r="AA18" i="9"/>
  <c r="Z19" i="9"/>
  <c r="AA19" i="9"/>
  <c r="Z20" i="9"/>
  <c r="AA20" i="9"/>
  <c r="Z21" i="9"/>
  <c r="AA21" i="9"/>
  <c r="Z22" i="9"/>
  <c r="AA22" i="9"/>
  <c r="Z23" i="9"/>
  <c r="AA23" i="9"/>
  <c r="Z24" i="9"/>
  <c r="AA24" i="9"/>
  <c r="Z25" i="9"/>
  <c r="AA25" i="9"/>
  <c r="Z26" i="9"/>
  <c r="AA26" i="9"/>
  <c r="Z27" i="9"/>
  <c r="AA27" i="9"/>
  <c r="Z28" i="9"/>
  <c r="AA28" i="9"/>
  <c r="Z29" i="9"/>
  <c r="AA29" i="9"/>
  <c r="Z30" i="9"/>
  <c r="AA30" i="9"/>
  <c r="Z31" i="9"/>
  <c r="AA31" i="9"/>
  <c r="Z32" i="9"/>
  <c r="AA32" i="9"/>
  <c r="Z33" i="9"/>
  <c r="AA33" i="9"/>
  <c r="Z34" i="9"/>
  <c r="AA34" i="9"/>
  <c r="Z35" i="9"/>
  <c r="AA35" i="9"/>
  <c r="Z36" i="9"/>
  <c r="AA36" i="9"/>
  <c r="Z37" i="9"/>
  <c r="AA37" i="9"/>
  <c r="Z38" i="9"/>
  <c r="AA38" i="9"/>
  <c r="Z39" i="9"/>
  <c r="AA39" i="9"/>
  <c r="Z40" i="9"/>
  <c r="AA40" i="9"/>
  <c r="Z41" i="9"/>
  <c r="AA41" i="9"/>
  <c r="Z42" i="9"/>
  <c r="AA42" i="9"/>
  <c r="Z43" i="9"/>
  <c r="AA43" i="9"/>
  <c r="Z44" i="9"/>
  <c r="AA44" i="9"/>
  <c r="Z45" i="9"/>
  <c r="AA45" i="9"/>
  <c r="Z46" i="9"/>
  <c r="AA46" i="9"/>
  <c r="Z47" i="9"/>
  <c r="AA47" i="9"/>
  <c r="Z48" i="9"/>
  <c r="AA48" i="9"/>
  <c r="Z49" i="9"/>
  <c r="AA49" i="9"/>
  <c r="Z50" i="9"/>
  <c r="AA50" i="9"/>
  <c r="Z51" i="9"/>
  <c r="AA51" i="9"/>
  <c r="AA11" i="9"/>
  <c r="Z11" i="9"/>
  <c r="AI12" i="15" l="1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40" i="15"/>
  <c r="AI41" i="15"/>
  <c r="AI42" i="15"/>
  <c r="AI43" i="15"/>
  <c r="AI44" i="15"/>
  <c r="AI45" i="15"/>
  <c r="AI46" i="15"/>
  <c r="AI47" i="15"/>
  <c r="AI48" i="15"/>
  <c r="AI49" i="15"/>
  <c r="AI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37" i="15"/>
  <c r="AH38" i="15"/>
  <c r="AH39" i="15"/>
  <c r="AH40" i="15"/>
  <c r="AH41" i="15"/>
  <c r="AH42" i="15"/>
  <c r="AH43" i="15"/>
  <c r="AH44" i="15"/>
  <c r="AH45" i="15"/>
  <c r="AH46" i="15"/>
  <c r="AH47" i="15"/>
  <c r="AH48" i="15"/>
  <c r="AH49" i="15"/>
  <c r="AH11" i="15"/>
  <c r="AG12" i="15"/>
  <c r="AG13" i="15"/>
  <c r="AG14" i="15"/>
  <c r="AG15" i="15"/>
  <c r="AG16" i="15"/>
  <c r="AG17" i="15"/>
  <c r="AG18" i="15"/>
  <c r="AG19" i="15"/>
  <c r="AG20" i="15"/>
  <c r="AG21" i="15"/>
  <c r="AG22" i="15"/>
  <c r="AG23" i="15"/>
  <c r="AG24" i="15"/>
  <c r="AG25" i="15"/>
  <c r="AG26" i="15"/>
  <c r="AG27" i="15"/>
  <c r="AG28" i="15"/>
  <c r="AG29" i="15"/>
  <c r="AG30" i="15"/>
  <c r="AG31" i="15"/>
  <c r="AG32" i="15"/>
  <c r="AG33" i="15"/>
  <c r="AG34" i="15"/>
  <c r="AG35" i="15"/>
  <c r="AG36" i="15"/>
  <c r="AG37" i="15"/>
  <c r="AG38" i="15"/>
  <c r="AG39" i="15"/>
  <c r="AG40" i="15"/>
  <c r="AG41" i="15"/>
  <c r="AG42" i="15"/>
  <c r="AG43" i="15"/>
  <c r="AG44" i="15"/>
  <c r="AG45" i="15"/>
  <c r="AG46" i="15"/>
  <c r="AG47" i="15"/>
  <c r="AG48" i="15"/>
  <c r="AG49" i="15"/>
  <c r="AG11" i="15"/>
  <c r="AF12" i="15"/>
  <c r="AF13" i="15"/>
  <c r="AF14" i="15"/>
  <c r="AF15" i="15"/>
  <c r="AF16" i="15"/>
  <c r="AF17" i="15"/>
  <c r="AF18" i="15"/>
  <c r="AF19" i="15"/>
  <c r="AF20" i="15"/>
  <c r="AF21" i="15"/>
  <c r="AF22" i="15"/>
  <c r="AF23" i="15"/>
  <c r="AF24" i="15"/>
  <c r="AF25" i="15"/>
  <c r="AF26" i="15"/>
  <c r="AF27" i="15"/>
  <c r="AF28" i="15"/>
  <c r="AF29" i="15"/>
  <c r="AF30" i="15"/>
  <c r="AF31" i="15"/>
  <c r="AF32" i="15"/>
  <c r="AF33" i="15"/>
  <c r="AF34" i="15"/>
  <c r="AF35" i="15"/>
  <c r="AF36" i="15"/>
  <c r="AF37" i="15"/>
  <c r="AF38" i="15"/>
  <c r="AF39" i="15"/>
  <c r="AF40" i="15"/>
  <c r="AF41" i="15"/>
  <c r="AF42" i="15"/>
  <c r="AF43" i="15"/>
  <c r="AF44" i="15"/>
  <c r="AF45" i="15"/>
  <c r="AF46" i="15"/>
  <c r="AF47" i="15"/>
  <c r="AF48" i="15"/>
  <c r="AF49" i="15"/>
  <c r="AF11" i="15"/>
  <c r="AE12" i="15"/>
  <c r="AE13" i="15"/>
  <c r="AE14" i="15"/>
  <c r="AE15" i="15"/>
  <c r="AE16" i="15"/>
  <c r="AE17" i="15"/>
  <c r="AE18" i="15"/>
  <c r="AE19" i="15"/>
  <c r="AE20" i="15"/>
  <c r="AE21" i="15"/>
  <c r="AE22" i="15"/>
  <c r="AE23" i="15"/>
  <c r="AE24" i="15"/>
  <c r="AE25" i="15"/>
  <c r="AE26" i="15"/>
  <c r="AE27" i="15"/>
  <c r="AE28" i="15"/>
  <c r="AE29" i="15"/>
  <c r="AE30" i="15"/>
  <c r="AE31" i="15"/>
  <c r="AE32" i="15"/>
  <c r="AE33" i="15"/>
  <c r="AE34" i="15"/>
  <c r="AE35" i="15"/>
  <c r="AE36" i="15"/>
  <c r="AE37" i="15"/>
  <c r="AE38" i="15"/>
  <c r="AE39" i="15"/>
  <c r="AE40" i="15"/>
  <c r="AE41" i="15"/>
  <c r="AE42" i="15"/>
  <c r="AE43" i="15"/>
  <c r="AE44" i="15"/>
  <c r="AE45" i="15"/>
  <c r="AE46" i="15"/>
  <c r="AE47" i="15"/>
  <c r="AE48" i="15"/>
  <c r="AE49" i="15"/>
  <c r="AE11" i="15"/>
  <c r="AD11" i="15"/>
  <c r="AD12" i="15"/>
  <c r="AD13" i="15"/>
  <c r="AD14" i="15"/>
  <c r="AD15" i="15"/>
  <c r="AD16" i="15"/>
  <c r="AD17" i="15"/>
  <c r="AD18" i="15"/>
  <c r="AD19" i="15"/>
  <c r="AD20" i="15"/>
  <c r="AD21" i="15"/>
  <c r="AD22" i="15"/>
  <c r="AD23" i="15"/>
  <c r="AD24" i="15"/>
  <c r="AD25" i="15"/>
  <c r="AD26" i="15"/>
  <c r="AD27" i="15"/>
  <c r="AD28" i="15"/>
  <c r="AD29" i="15"/>
  <c r="AD30" i="15"/>
  <c r="AD31" i="15"/>
  <c r="AD32" i="15"/>
  <c r="AD33" i="15"/>
  <c r="AD34" i="15"/>
  <c r="AD35" i="15"/>
  <c r="AD36" i="15"/>
  <c r="AD37" i="15"/>
  <c r="AD38" i="15"/>
  <c r="AD39" i="15"/>
  <c r="AD40" i="15"/>
  <c r="AD41" i="15"/>
  <c r="AD42" i="15"/>
  <c r="AD43" i="15"/>
  <c r="AD44" i="15"/>
  <c r="AD45" i="15"/>
  <c r="AD46" i="15"/>
  <c r="AD47" i="15"/>
  <c r="AD48" i="15"/>
  <c r="AD49" i="15"/>
  <c r="AB49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C38" i="15"/>
  <c r="AC39" i="15"/>
  <c r="AC40" i="15"/>
  <c r="AC41" i="15"/>
  <c r="AC42" i="15"/>
  <c r="AC43" i="15"/>
  <c r="AC44" i="15"/>
  <c r="AC45" i="15"/>
  <c r="AC46" i="15"/>
  <c r="AC47" i="15"/>
  <c r="AC48" i="15"/>
  <c r="AC49" i="15"/>
  <c r="AC11" i="15"/>
  <c r="AB48" i="15"/>
  <c r="AB47" i="15"/>
  <c r="AB46" i="15"/>
  <c r="AB45" i="15"/>
  <c r="AB44" i="15"/>
  <c r="AB43" i="15"/>
  <c r="AB42" i="15"/>
  <c r="AB41" i="15"/>
  <c r="AB40" i="15"/>
  <c r="AB39" i="15"/>
  <c r="AB38" i="15"/>
  <c r="AB37" i="15"/>
  <c r="AB36" i="15"/>
  <c r="AB35" i="15"/>
  <c r="AB34" i="15"/>
  <c r="AB33" i="15"/>
  <c r="AB32" i="15"/>
  <c r="AB31" i="15"/>
  <c r="AB30" i="15"/>
  <c r="AB29" i="15"/>
  <c r="AB28" i="15"/>
  <c r="AB27" i="15"/>
  <c r="AB26" i="15"/>
  <c r="AB25" i="15"/>
  <c r="AB24" i="15"/>
  <c r="AB23" i="15"/>
  <c r="AB22" i="15"/>
  <c r="AB21" i="15"/>
  <c r="AB20" i="15"/>
  <c r="AB19" i="15"/>
  <c r="AB18" i="15"/>
  <c r="AB17" i="15"/>
  <c r="AB16" i="15"/>
  <c r="AB15" i="15"/>
  <c r="AB14" i="15"/>
  <c r="AB13" i="15"/>
  <c r="AB12" i="15"/>
  <c r="AB11" i="15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11" i="1"/>
  <c r="AD11" i="1"/>
  <c r="AC11" i="1"/>
  <c r="AC12" i="1"/>
  <c r="AD12" i="1"/>
  <c r="AC13" i="1"/>
  <c r="AD13" i="1"/>
  <c r="AC14" i="1"/>
  <c r="AD14" i="1"/>
  <c r="AC15" i="1"/>
  <c r="AD15" i="1"/>
  <c r="AC16" i="1"/>
  <c r="AD16" i="1"/>
  <c r="AC17" i="1"/>
  <c r="AD17" i="1"/>
  <c r="AC18" i="1"/>
  <c r="AD18" i="1"/>
  <c r="AC19" i="1"/>
  <c r="AD19" i="1"/>
  <c r="AC20" i="1"/>
  <c r="AD20" i="1"/>
  <c r="AC21" i="1"/>
  <c r="AD21" i="1"/>
  <c r="AC22" i="1"/>
  <c r="AD22" i="1"/>
  <c r="AC23" i="1"/>
  <c r="AD23" i="1"/>
  <c r="AC24" i="1"/>
  <c r="AD24" i="1"/>
  <c r="AC25" i="1"/>
  <c r="AD25" i="1"/>
  <c r="AC26" i="1"/>
  <c r="AD26" i="1"/>
  <c r="AC27" i="1"/>
  <c r="AD27" i="1"/>
  <c r="AC28" i="1"/>
  <c r="AD28" i="1"/>
  <c r="AC29" i="1"/>
  <c r="AD29" i="1"/>
  <c r="AC30" i="1"/>
  <c r="AD30" i="1"/>
  <c r="AC31" i="1"/>
  <c r="AD31" i="1"/>
  <c r="AC32" i="1"/>
  <c r="AD32" i="1"/>
  <c r="AC33" i="1"/>
  <c r="AD33" i="1"/>
  <c r="AC34" i="1"/>
  <c r="AD34" i="1"/>
  <c r="AC35" i="1"/>
  <c r="AD35" i="1"/>
  <c r="AC36" i="1"/>
  <c r="AD36" i="1"/>
  <c r="AC37" i="1"/>
  <c r="AD37" i="1"/>
  <c r="AC38" i="1"/>
  <c r="AD38" i="1"/>
  <c r="AC39" i="1"/>
  <c r="AD39" i="1"/>
  <c r="AC40" i="1"/>
  <c r="AD40" i="1"/>
  <c r="AC41" i="1"/>
  <c r="AD41" i="1"/>
  <c r="AC42" i="1"/>
  <c r="AD42" i="1"/>
  <c r="AC43" i="1"/>
  <c r="AD43" i="1"/>
  <c r="AC44" i="1"/>
  <c r="AD44" i="1"/>
  <c r="AC45" i="1"/>
  <c r="AD45" i="1"/>
  <c r="AC46" i="1"/>
  <c r="AD46" i="1"/>
  <c r="AC47" i="1"/>
  <c r="AD47" i="1"/>
  <c r="AC48" i="1"/>
  <c r="AD48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11" i="1"/>
  <c r="D36" i="18" l="1"/>
  <c r="D35" i="18"/>
  <c r="D34" i="18"/>
  <c r="D33" i="18"/>
  <c r="D40" i="18" s="1"/>
  <c r="D41" i="18" l="1"/>
  <c r="S51" i="9" l="1"/>
  <c r="S50" i="9"/>
  <c r="S49" i="9"/>
  <c r="S48" i="9"/>
  <c r="S47" i="9"/>
  <c r="S46" i="9"/>
  <c r="S45" i="9"/>
  <c r="S44" i="9"/>
  <c r="S43" i="9"/>
  <c r="S42" i="9"/>
  <c r="S41" i="9"/>
  <c r="S40" i="9"/>
  <c r="S39" i="9"/>
  <c r="S38" i="9"/>
  <c r="S37" i="9"/>
  <c r="S36" i="9"/>
  <c r="S35" i="9"/>
  <c r="S34" i="9"/>
  <c r="S33" i="9"/>
  <c r="S32" i="9"/>
  <c r="S31" i="9"/>
  <c r="S30" i="9"/>
  <c r="S29" i="9"/>
  <c r="S28" i="9"/>
  <c r="S27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A30" i="18" l="1"/>
  <c r="Z34" i="24"/>
  <c r="Y34" i="24"/>
  <c r="X34" i="24"/>
  <c r="W34" i="24"/>
  <c r="V34" i="24"/>
  <c r="P34" i="24"/>
  <c r="O34" i="24"/>
  <c r="N34" i="24"/>
  <c r="M34" i="24"/>
  <c r="L34" i="24"/>
  <c r="K34" i="24"/>
  <c r="J34" i="24"/>
  <c r="Z33" i="24"/>
  <c r="Y33" i="24"/>
  <c r="X33" i="24"/>
  <c r="W33" i="24"/>
  <c r="V33" i="24"/>
  <c r="P33" i="24"/>
  <c r="O33" i="24"/>
  <c r="N33" i="24"/>
  <c r="M33" i="24"/>
  <c r="L33" i="24"/>
  <c r="K33" i="24"/>
  <c r="J33" i="24"/>
  <c r="Z24" i="24"/>
  <c r="Y24" i="24"/>
  <c r="X24" i="24"/>
  <c r="W24" i="24"/>
  <c r="V24" i="24"/>
  <c r="P24" i="24"/>
  <c r="O24" i="24"/>
  <c r="N24" i="24"/>
  <c r="M24" i="24"/>
  <c r="L24" i="24"/>
  <c r="K24" i="24"/>
  <c r="J24" i="24"/>
  <c r="Z23" i="24"/>
  <c r="Y23" i="24"/>
  <c r="X23" i="24"/>
  <c r="W23" i="24"/>
  <c r="V23" i="24"/>
  <c r="P23" i="24"/>
  <c r="O23" i="24"/>
  <c r="N23" i="24"/>
  <c r="M23" i="24"/>
  <c r="L23" i="24"/>
  <c r="K23" i="24"/>
  <c r="J23" i="24"/>
  <c r="Z14" i="24"/>
  <c r="Y14" i="24"/>
  <c r="X14" i="24"/>
  <c r="W14" i="24"/>
  <c r="V14" i="24"/>
  <c r="P14" i="24"/>
  <c r="O14" i="24"/>
  <c r="N14" i="24"/>
  <c r="M14" i="24"/>
  <c r="L14" i="24"/>
  <c r="K14" i="24"/>
  <c r="J14" i="24"/>
  <c r="Z13" i="24"/>
  <c r="Y13" i="24"/>
  <c r="X13" i="24"/>
  <c r="W13" i="24"/>
  <c r="V13" i="24"/>
  <c r="P13" i="24"/>
  <c r="O13" i="24"/>
  <c r="N13" i="24"/>
  <c r="M13" i="24"/>
  <c r="L13" i="24"/>
  <c r="K13" i="24"/>
  <c r="J13" i="24"/>
  <c r="Z12" i="24"/>
  <c r="Y12" i="24"/>
  <c r="X12" i="24"/>
  <c r="W12" i="24"/>
  <c r="V12" i="24"/>
  <c r="P12" i="24"/>
  <c r="O12" i="24"/>
  <c r="N12" i="24"/>
  <c r="M12" i="24"/>
  <c r="L12" i="24"/>
  <c r="K12" i="24"/>
  <c r="J12" i="24"/>
  <c r="Z11" i="24"/>
  <c r="Y11" i="24"/>
  <c r="X11" i="24"/>
  <c r="W11" i="24"/>
  <c r="V11" i="24"/>
  <c r="P11" i="24"/>
  <c r="O11" i="24"/>
  <c r="N11" i="24"/>
  <c r="M11" i="24"/>
  <c r="L11" i="24"/>
  <c r="K11" i="24"/>
  <c r="J11" i="24"/>
  <c r="F49" i="26"/>
  <c r="A49" i="26" s="1"/>
  <c r="E49" i="26"/>
  <c r="D49" i="26"/>
  <c r="C49" i="26"/>
  <c r="B49" i="26"/>
  <c r="F48" i="26"/>
  <c r="A48" i="26" s="1"/>
  <c r="E48" i="26"/>
  <c r="D48" i="26"/>
  <c r="C48" i="26"/>
  <c r="B48" i="26"/>
  <c r="F47" i="26"/>
  <c r="A47" i="26" s="1"/>
  <c r="E47" i="26"/>
  <c r="D47" i="26"/>
  <c r="C47" i="26"/>
  <c r="B47" i="26"/>
  <c r="F46" i="26"/>
  <c r="A46" i="26" s="1"/>
  <c r="E46" i="26"/>
  <c r="D46" i="26"/>
  <c r="C46" i="26"/>
  <c r="B46" i="26"/>
  <c r="F45" i="26"/>
  <c r="A45" i="26" s="1"/>
  <c r="E45" i="26"/>
  <c r="D45" i="26"/>
  <c r="C45" i="26"/>
  <c r="B45" i="26"/>
  <c r="F44" i="26"/>
  <c r="A44" i="26" s="1"/>
  <c r="E44" i="26"/>
  <c r="D44" i="26"/>
  <c r="C44" i="26"/>
  <c r="B44" i="26"/>
  <c r="F43" i="26"/>
  <c r="A43" i="26" s="1"/>
  <c r="E43" i="26"/>
  <c r="D43" i="26"/>
  <c r="C43" i="26"/>
  <c r="B43" i="26"/>
  <c r="F42" i="26"/>
  <c r="A42" i="26" s="1"/>
  <c r="E42" i="26"/>
  <c r="D42" i="26"/>
  <c r="C42" i="26"/>
  <c r="B42" i="26"/>
  <c r="F41" i="26"/>
  <c r="A41" i="26" s="1"/>
  <c r="E41" i="26"/>
  <c r="D41" i="26"/>
  <c r="C41" i="26"/>
  <c r="B41" i="26"/>
  <c r="F40" i="26"/>
  <c r="A40" i="26" s="1"/>
  <c r="E40" i="26"/>
  <c r="D40" i="26"/>
  <c r="C40" i="26"/>
  <c r="B40" i="26"/>
  <c r="F39" i="26"/>
  <c r="A39" i="26" s="1"/>
  <c r="E39" i="26"/>
  <c r="D39" i="26"/>
  <c r="C39" i="26"/>
  <c r="B39" i="26"/>
  <c r="F38" i="26"/>
  <c r="A38" i="26" s="1"/>
  <c r="E38" i="26"/>
  <c r="D38" i="26"/>
  <c r="C38" i="26"/>
  <c r="B38" i="26"/>
  <c r="F37" i="26"/>
  <c r="A37" i="26" s="1"/>
  <c r="E37" i="26"/>
  <c r="D37" i="26"/>
  <c r="C37" i="26"/>
  <c r="B37" i="26"/>
  <c r="F36" i="26"/>
  <c r="A36" i="26" s="1"/>
  <c r="E36" i="26"/>
  <c r="D36" i="26"/>
  <c r="C36" i="26"/>
  <c r="B36" i="26"/>
  <c r="F35" i="26"/>
  <c r="A35" i="26" s="1"/>
  <c r="E35" i="26"/>
  <c r="D35" i="26"/>
  <c r="C35" i="26"/>
  <c r="B35" i="26"/>
  <c r="F34" i="26"/>
  <c r="A34" i="26" s="1"/>
  <c r="E34" i="26"/>
  <c r="D34" i="26"/>
  <c r="C34" i="26"/>
  <c r="B34" i="26"/>
  <c r="F33" i="26"/>
  <c r="A33" i="26" s="1"/>
  <c r="E33" i="26"/>
  <c r="D33" i="26"/>
  <c r="C33" i="26"/>
  <c r="B33" i="26"/>
  <c r="F32" i="26"/>
  <c r="A32" i="26" s="1"/>
  <c r="E32" i="26"/>
  <c r="D32" i="26"/>
  <c r="C32" i="26"/>
  <c r="B32" i="26"/>
  <c r="F31" i="26"/>
  <c r="A31" i="26" s="1"/>
  <c r="E31" i="26"/>
  <c r="D31" i="26"/>
  <c r="C31" i="26"/>
  <c r="B31" i="26"/>
  <c r="F30" i="26"/>
  <c r="A30" i="26" s="1"/>
  <c r="E30" i="26"/>
  <c r="D30" i="26"/>
  <c r="C30" i="26"/>
  <c r="B30" i="26"/>
  <c r="F29" i="26"/>
  <c r="A29" i="26" s="1"/>
  <c r="E29" i="26"/>
  <c r="D29" i="26"/>
  <c r="C29" i="26"/>
  <c r="B29" i="26"/>
  <c r="F28" i="26"/>
  <c r="A28" i="26" s="1"/>
  <c r="E28" i="26"/>
  <c r="D28" i="26"/>
  <c r="C28" i="26"/>
  <c r="B28" i="26"/>
  <c r="F27" i="26"/>
  <c r="A27" i="26" s="1"/>
  <c r="E27" i="26"/>
  <c r="D27" i="26"/>
  <c r="C27" i="26"/>
  <c r="B27" i="26"/>
  <c r="F26" i="26"/>
  <c r="A26" i="26" s="1"/>
  <c r="E26" i="26"/>
  <c r="D26" i="26"/>
  <c r="C26" i="26"/>
  <c r="B26" i="26"/>
  <c r="F25" i="26"/>
  <c r="A25" i="26" s="1"/>
  <c r="E25" i="26"/>
  <c r="D25" i="26"/>
  <c r="C25" i="26"/>
  <c r="B25" i="26"/>
  <c r="F24" i="26"/>
  <c r="A24" i="26" s="1"/>
  <c r="E24" i="26"/>
  <c r="D24" i="26"/>
  <c r="C24" i="26"/>
  <c r="B24" i="26"/>
  <c r="F23" i="26"/>
  <c r="A23" i="26" s="1"/>
  <c r="E23" i="26"/>
  <c r="D23" i="26"/>
  <c r="C23" i="26"/>
  <c r="B23" i="26"/>
  <c r="F22" i="26"/>
  <c r="A22" i="26" s="1"/>
  <c r="E22" i="26"/>
  <c r="D22" i="26"/>
  <c r="C22" i="26"/>
  <c r="B22" i="26"/>
  <c r="F21" i="26"/>
  <c r="A21" i="26" s="1"/>
  <c r="E21" i="26"/>
  <c r="D21" i="26"/>
  <c r="C21" i="26"/>
  <c r="B21" i="26"/>
  <c r="F20" i="26"/>
  <c r="A20" i="26" s="1"/>
  <c r="E20" i="26"/>
  <c r="D20" i="26"/>
  <c r="C20" i="26"/>
  <c r="B20" i="26"/>
  <c r="F19" i="26"/>
  <c r="A19" i="26" s="1"/>
  <c r="E19" i="26"/>
  <c r="D19" i="26"/>
  <c r="C19" i="26"/>
  <c r="B19" i="26"/>
  <c r="F18" i="26"/>
  <c r="A18" i="26" s="1"/>
  <c r="E18" i="26"/>
  <c r="D18" i="26"/>
  <c r="C18" i="26"/>
  <c r="B18" i="26"/>
  <c r="F17" i="26"/>
  <c r="A17" i="26" s="1"/>
  <c r="E17" i="26"/>
  <c r="D17" i="26"/>
  <c r="C17" i="26"/>
  <c r="B17" i="26"/>
  <c r="F16" i="26"/>
  <c r="A16" i="26" s="1"/>
  <c r="E16" i="26"/>
  <c r="D16" i="26"/>
  <c r="C16" i="26"/>
  <c r="B16" i="26"/>
  <c r="F15" i="26"/>
  <c r="E15" i="26"/>
  <c r="D15" i="26"/>
  <c r="C15" i="26"/>
  <c r="B15" i="26"/>
  <c r="A15" i="26"/>
  <c r="F14" i="26"/>
  <c r="A14" i="26" s="1"/>
  <c r="E14" i="26"/>
  <c r="D14" i="26"/>
  <c r="C14" i="26"/>
  <c r="B14" i="26"/>
  <c r="F13" i="26"/>
  <c r="A13" i="26" s="1"/>
  <c r="E13" i="26"/>
  <c r="D13" i="26"/>
  <c r="C13" i="26"/>
  <c r="B13" i="26"/>
  <c r="F12" i="26"/>
  <c r="A12" i="26" s="1"/>
  <c r="E12" i="26"/>
  <c r="D12" i="26"/>
  <c r="C12" i="26"/>
  <c r="B12" i="26"/>
  <c r="F11" i="26"/>
  <c r="A11" i="26" s="1"/>
  <c r="E11" i="26"/>
  <c r="D11" i="26"/>
  <c r="C11" i="26"/>
  <c r="B11" i="26"/>
  <c r="A2" i="26"/>
  <c r="F45" i="16"/>
  <c r="A45" i="16" s="1"/>
  <c r="E45" i="16"/>
  <c r="D45" i="16"/>
  <c r="C45" i="16"/>
  <c r="B45" i="16"/>
  <c r="F44" i="16"/>
  <c r="A44" i="16" s="1"/>
  <c r="E44" i="16"/>
  <c r="D44" i="16"/>
  <c r="C44" i="16"/>
  <c r="B44" i="16"/>
  <c r="F43" i="16"/>
  <c r="A43" i="16" s="1"/>
  <c r="E43" i="16"/>
  <c r="D43" i="16"/>
  <c r="C43" i="16"/>
  <c r="B43" i="16"/>
  <c r="F42" i="16"/>
  <c r="A42" i="16" s="1"/>
  <c r="E42" i="16"/>
  <c r="D42" i="16"/>
  <c r="C42" i="16"/>
  <c r="B42" i="16"/>
  <c r="F41" i="16"/>
  <c r="A41" i="16" s="1"/>
  <c r="E41" i="16"/>
  <c r="D41" i="16"/>
  <c r="C41" i="16"/>
  <c r="B41" i="16"/>
  <c r="F40" i="16"/>
  <c r="A40" i="16" s="1"/>
  <c r="E40" i="16"/>
  <c r="D40" i="16"/>
  <c r="C40" i="16"/>
  <c r="B40" i="16"/>
  <c r="F39" i="16"/>
  <c r="A39" i="16" s="1"/>
  <c r="E39" i="16"/>
  <c r="D39" i="16"/>
  <c r="C39" i="16"/>
  <c r="B39" i="16"/>
  <c r="F38" i="16"/>
  <c r="A38" i="16" s="1"/>
  <c r="E38" i="16"/>
  <c r="D38" i="16"/>
  <c r="C38" i="16"/>
  <c r="B38" i="16"/>
  <c r="F37" i="16"/>
  <c r="A37" i="16" s="1"/>
  <c r="E37" i="16"/>
  <c r="D37" i="16"/>
  <c r="C37" i="16"/>
  <c r="B37" i="16"/>
  <c r="F36" i="16"/>
  <c r="A36" i="16" s="1"/>
  <c r="E36" i="16"/>
  <c r="D36" i="16"/>
  <c r="C36" i="16"/>
  <c r="B36" i="16"/>
  <c r="F35" i="16"/>
  <c r="A35" i="16" s="1"/>
  <c r="E35" i="16"/>
  <c r="D35" i="16"/>
  <c r="C35" i="16"/>
  <c r="B35" i="16"/>
  <c r="F34" i="16"/>
  <c r="A34" i="16" s="1"/>
  <c r="E34" i="16"/>
  <c r="D34" i="16"/>
  <c r="C34" i="16"/>
  <c r="B34" i="16"/>
  <c r="F33" i="16"/>
  <c r="E33" i="16"/>
  <c r="D33" i="16"/>
  <c r="C33" i="16"/>
  <c r="B33" i="16"/>
  <c r="A33" i="16"/>
  <c r="F32" i="16"/>
  <c r="A32" i="16" s="1"/>
  <c r="E32" i="16"/>
  <c r="D32" i="16"/>
  <c r="C32" i="16"/>
  <c r="B32" i="16"/>
  <c r="F31" i="16"/>
  <c r="A31" i="16" s="1"/>
  <c r="E31" i="16"/>
  <c r="D31" i="16"/>
  <c r="C31" i="16"/>
  <c r="B31" i="16"/>
  <c r="F30" i="16"/>
  <c r="A30" i="16" s="1"/>
  <c r="E30" i="16"/>
  <c r="D30" i="16"/>
  <c r="C30" i="16"/>
  <c r="B30" i="16"/>
  <c r="F29" i="16"/>
  <c r="A29" i="16" s="1"/>
  <c r="E29" i="16"/>
  <c r="D29" i="16"/>
  <c r="C29" i="16"/>
  <c r="B29" i="16"/>
  <c r="F28" i="16"/>
  <c r="A28" i="16" s="1"/>
  <c r="E28" i="16"/>
  <c r="D28" i="16"/>
  <c r="C28" i="16"/>
  <c r="B28" i="16"/>
  <c r="F27" i="16"/>
  <c r="A27" i="16" s="1"/>
  <c r="E27" i="16"/>
  <c r="D27" i="16"/>
  <c r="C27" i="16"/>
  <c r="B27" i="16"/>
  <c r="F26" i="16"/>
  <c r="A26" i="16" s="1"/>
  <c r="E26" i="16"/>
  <c r="D26" i="16"/>
  <c r="C26" i="16"/>
  <c r="B26" i="16"/>
  <c r="F25" i="16"/>
  <c r="A25" i="16" s="1"/>
  <c r="E25" i="16"/>
  <c r="D25" i="16"/>
  <c r="C25" i="16"/>
  <c r="B25" i="16"/>
  <c r="F24" i="16"/>
  <c r="A24" i="16" s="1"/>
  <c r="E24" i="16"/>
  <c r="D24" i="16"/>
  <c r="C24" i="16"/>
  <c r="B24" i="16"/>
  <c r="F23" i="16"/>
  <c r="A23" i="16" s="1"/>
  <c r="E23" i="16"/>
  <c r="D23" i="16"/>
  <c r="C23" i="16"/>
  <c r="B23" i="16"/>
  <c r="F22" i="16"/>
  <c r="A22" i="16" s="1"/>
  <c r="E22" i="16"/>
  <c r="D22" i="16"/>
  <c r="C22" i="16"/>
  <c r="B22" i="16"/>
  <c r="F21" i="16"/>
  <c r="A21" i="16" s="1"/>
  <c r="E21" i="16"/>
  <c r="D21" i="16"/>
  <c r="C21" i="16"/>
  <c r="B21" i="16"/>
  <c r="F20" i="16"/>
  <c r="A20" i="16" s="1"/>
  <c r="E20" i="16"/>
  <c r="D20" i="16"/>
  <c r="C20" i="16"/>
  <c r="B20" i="16"/>
  <c r="F19" i="16"/>
  <c r="A19" i="16" s="1"/>
  <c r="E19" i="16"/>
  <c r="D19" i="16"/>
  <c r="C19" i="16"/>
  <c r="B19" i="16"/>
  <c r="F18" i="16"/>
  <c r="A18" i="16" s="1"/>
  <c r="E18" i="16"/>
  <c r="D18" i="16"/>
  <c r="C18" i="16"/>
  <c r="B18" i="16"/>
  <c r="F17" i="16"/>
  <c r="A17" i="16" s="1"/>
  <c r="E17" i="16"/>
  <c r="D17" i="16"/>
  <c r="C17" i="16"/>
  <c r="B17" i="16"/>
  <c r="F16" i="16"/>
  <c r="A16" i="16" s="1"/>
  <c r="E16" i="16"/>
  <c r="D16" i="16"/>
  <c r="C16" i="16"/>
  <c r="B16" i="16"/>
  <c r="F15" i="16"/>
  <c r="A15" i="16" s="1"/>
  <c r="E15" i="16"/>
  <c r="D15" i="16"/>
  <c r="C15" i="16"/>
  <c r="B15" i="16"/>
  <c r="F14" i="16"/>
  <c r="E14" i="16"/>
  <c r="D14" i="16"/>
  <c r="C14" i="16"/>
  <c r="B14" i="16"/>
  <c r="A14" i="16"/>
  <c r="F13" i="16"/>
  <c r="A13" i="16" s="1"/>
  <c r="E13" i="16"/>
  <c r="D13" i="16"/>
  <c r="C13" i="16"/>
  <c r="B13" i="16"/>
  <c r="F12" i="16"/>
  <c r="A12" i="16" s="1"/>
  <c r="E12" i="16"/>
  <c r="D12" i="16"/>
  <c r="C12" i="16"/>
  <c r="B12" i="16"/>
  <c r="F11" i="16"/>
  <c r="A11" i="16" s="1"/>
  <c r="E11" i="16"/>
  <c r="D11" i="16"/>
  <c r="C11" i="16"/>
  <c r="B11" i="16"/>
  <c r="F41" i="15"/>
  <c r="A41" i="15" s="1"/>
  <c r="E41" i="15"/>
  <c r="D41" i="15"/>
  <c r="C41" i="15"/>
  <c r="B41" i="15"/>
  <c r="F40" i="15"/>
  <c r="A40" i="15" s="1"/>
  <c r="E40" i="15"/>
  <c r="D40" i="15"/>
  <c r="C40" i="15"/>
  <c r="B40" i="15"/>
  <c r="F32" i="15"/>
  <c r="A32" i="15" s="1"/>
  <c r="E32" i="15"/>
  <c r="D32" i="15"/>
  <c r="C32" i="15"/>
  <c r="B32" i="15"/>
  <c r="F31" i="15"/>
  <c r="A31" i="15" s="1"/>
  <c r="E31" i="15"/>
  <c r="D31" i="15"/>
  <c r="C31" i="15"/>
  <c r="B31" i="15"/>
  <c r="F18" i="15"/>
  <c r="A18" i="15" s="1"/>
  <c r="E18" i="15"/>
  <c r="D18" i="15"/>
  <c r="C18" i="15"/>
  <c r="B18" i="15"/>
  <c r="F17" i="15"/>
  <c r="A17" i="15" s="1"/>
  <c r="E17" i="15"/>
  <c r="D17" i="15"/>
  <c r="C17" i="15"/>
  <c r="B17" i="15"/>
  <c r="F12" i="15"/>
  <c r="A12" i="15" s="1"/>
  <c r="E12" i="15"/>
  <c r="D12" i="15"/>
  <c r="C12" i="15"/>
  <c r="B12" i="15"/>
  <c r="F11" i="15"/>
  <c r="A11" i="15" s="1"/>
  <c r="E11" i="15"/>
  <c r="D11" i="15"/>
  <c r="C11" i="15"/>
  <c r="B11" i="15"/>
  <c r="F38" i="13"/>
  <c r="A38" i="13" s="1"/>
  <c r="E38" i="13"/>
  <c r="D38" i="13"/>
  <c r="C38" i="13"/>
  <c r="B38" i="13"/>
  <c r="F37" i="13"/>
  <c r="A37" i="13" s="1"/>
  <c r="E37" i="13"/>
  <c r="D37" i="13"/>
  <c r="C37" i="13"/>
  <c r="B37" i="13"/>
  <c r="F36" i="13"/>
  <c r="A36" i="13" s="1"/>
  <c r="E36" i="13"/>
  <c r="D36" i="13"/>
  <c r="C36" i="13"/>
  <c r="B36" i="13"/>
  <c r="F35" i="13"/>
  <c r="A35" i="13" s="1"/>
  <c r="E35" i="13"/>
  <c r="D35" i="13"/>
  <c r="C35" i="13"/>
  <c r="B35" i="13"/>
  <c r="F34" i="13"/>
  <c r="A34" i="13" s="1"/>
  <c r="E34" i="13"/>
  <c r="D34" i="13"/>
  <c r="C34" i="13"/>
  <c r="B34" i="13"/>
  <c r="F33" i="13"/>
  <c r="A33" i="13" s="1"/>
  <c r="E33" i="13"/>
  <c r="D33" i="13"/>
  <c r="C33" i="13"/>
  <c r="B33" i="13"/>
  <c r="F32" i="13"/>
  <c r="A32" i="13" s="1"/>
  <c r="E32" i="13"/>
  <c r="D32" i="13"/>
  <c r="C32" i="13"/>
  <c r="B32" i="13"/>
  <c r="F31" i="13"/>
  <c r="A31" i="13" s="1"/>
  <c r="E31" i="13"/>
  <c r="D31" i="13"/>
  <c r="C31" i="13"/>
  <c r="B31" i="13"/>
  <c r="F30" i="13"/>
  <c r="A30" i="13" s="1"/>
  <c r="E30" i="13"/>
  <c r="D30" i="13"/>
  <c r="C30" i="13"/>
  <c r="B30" i="13"/>
  <c r="F29" i="13"/>
  <c r="A29" i="13" s="1"/>
  <c r="E29" i="13"/>
  <c r="D29" i="13"/>
  <c r="C29" i="13"/>
  <c r="B29" i="13"/>
  <c r="F28" i="13"/>
  <c r="A28" i="13" s="1"/>
  <c r="E28" i="13"/>
  <c r="D28" i="13"/>
  <c r="C28" i="13"/>
  <c r="B28" i="13"/>
  <c r="F27" i="13"/>
  <c r="A27" i="13" s="1"/>
  <c r="E27" i="13"/>
  <c r="D27" i="13"/>
  <c r="C27" i="13"/>
  <c r="B27" i="13"/>
  <c r="F26" i="13"/>
  <c r="A26" i="13" s="1"/>
  <c r="E26" i="13"/>
  <c r="D26" i="13"/>
  <c r="C26" i="13"/>
  <c r="B26" i="13"/>
  <c r="F25" i="13"/>
  <c r="A25" i="13" s="1"/>
  <c r="E25" i="13"/>
  <c r="D25" i="13"/>
  <c r="C25" i="13"/>
  <c r="B25" i="13"/>
  <c r="F24" i="13"/>
  <c r="A24" i="13" s="1"/>
  <c r="E24" i="13"/>
  <c r="D24" i="13"/>
  <c r="C24" i="13"/>
  <c r="B24" i="13"/>
  <c r="F23" i="13"/>
  <c r="A23" i="13" s="1"/>
  <c r="E23" i="13"/>
  <c r="D23" i="13"/>
  <c r="C23" i="13"/>
  <c r="B23" i="13"/>
  <c r="F22" i="13"/>
  <c r="A22" i="13" s="1"/>
  <c r="E22" i="13"/>
  <c r="D22" i="13"/>
  <c r="C22" i="13"/>
  <c r="B22" i="13"/>
  <c r="F21" i="13"/>
  <c r="A21" i="13" s="1"/>
  <c r="E21" i="13"/>
  <c r="D21" i="13"/>
  <c r="C21" i="13"/>
  <c r="B21" i="13"/>
  <c r="F20" i="13"/>
  <c r="A20" i="13" s="1"/>
  <c r="E20" i="13"/>
  <c r="D20" i="13"/>
  <c r="C20" i="13"/>
  <c r="B20" i="13"/>
  <c r="F19" i="13"/>
  <c r="A19" i="13" s="1"/>
  <c r="E19" i="13"/>
  <c r="D19" i="13"/>
  <c r="C19" i="13"/>
  <c r="B19" i="13"/>
  <c r="F18" i="13"/>
  <c r="A18" i="13" s="1"/>
  <c r="E18" i="13"/>
  <c r="D18" i="13"/>
  <c r="C18" i="13"/>
  <c r="B18" i="13"/>
  <c r="F17" i="13"/>
  <c r="A17" i="13" s="1"/>
  <c r="E17" i="13"/>
  <c r="D17" i="13"/>
  <c r="C17" i="13"/>
  <c r="B17" i="13"/>
  <c r="F16" i="13"/>
  <c r="A16" i="13" s="1"/>
  <c r="E16" i="13"/>
  <c r="D16" i="13"/>
  <c r="C16" i="13"/>
  <c r="B16" i="13"/>
  <c r="F15" i="13"/>
  <c r="A15" i="13" s="1"/>
  <c r="E15" i="13"/>
  <c r="D15" i="13"/>
  <c r="C15" i="13"/>
  <c r="B15" i="13"/>
  <c r="F14" i="13"/>
  <c r="A14" i="13" s="1"/>
  <c r="E14" i="13"/>
  <c r="D14" i="13"/>
  <c r="C14" i="13"/>
  <c r="B14" i="13"/>
  <c r="F13" i="13"/>
  <c r="A13" i="13" s="1"/>
  <c r="E13" i="13"/>
  <c r="D13" i="13"/>
  <c r="C13" i="13"/>
  <c r="B13" i="13"/>
  <c r="F12" i="13"/>
  <c r="A12" i="13" s="1"/>
  <c r="E12" i="13"/>
  <c r="D12" i="13"/>
  <c r="C12" i="13"/>
  <c r="B12" i="13"/>
  <c r="F11" i="13"/>
  <c r="A11" i="13" s="1"/>
  <c r="E11" i="13"/>
  <c r="D11" i="13"/>
  <c r="C11" i="13"/>
  <c r="B11" i="13"/>
  <c r="F38" i="24"/>
  <c r="A38" i="24" s="1"/>
  <c r="E38" i="24"/>
  <c r="D38" i="24"/>
  <c r="C38" i="24"/>
  <c r="B38" i="24"/>
  <c r="F37" i="24"/>
  <c r="A37" i="24" s="1"/>
  <c r="E37" i="24"/>
  <c r="D37" i="24"/>
  <c r="C37" i="24"/>
  <c r="B37" i="24"/>
  <c r="F36" i="24"/>
  <c r="A36" i="24" s="1"/>
  <c r="E36" i="24"/>
  <c r="D36" i="24"/>
  <c r="C36" i="24"/>
  <c r="B36" i="24"/>
  <c r="F35" i="24"/>
  <c r="A35" i="24" s="1"/>
  <c r="E35" i="24"/>
  <c r="D35" i="24"/>
  <c r="C35" i="24"/>
  <c r="B35" i="24"/>
  <c r="F34" i="24"/>
  <c r="A34" i="24" s="1"/>
  <c r="E34" i="24"/>
  <c r="D34" i="24"/>
  <c r="C34" i="24"/>
  <c r="B34" i="24"/>
  <c r="F33" i="24"/>
  <c r="A33" i="24" s="1"/>
  <c r="E33" i="24"/>
  <c r="D33" i="24"/>
  <c r="C33" i="24"/>
  <c r="B33" i="24"/>
  <c r="F32" i="24"/>
  <c r="A32" i="24" s="1"/>
  <c r="E32" i="24"/>
  <c r="D32" i="24"/>
  <c r="C32" i="24"/>
  <c r="B32" i="24"/>
  <c r="F31" i="24"/>
  <c r="E31" i="24"/>
  <c r="D31" i="24"/>
  <c r="C31" i="24"/>
  <c r="B31" i="24"/>
  <c r="A31" i="24"/>
  <c r="F30" i="24"/>
  <c r="A30" i="24" s="1"/>
  <c r="E30" i="24"/>
  <c r="D30" i="24"/>
  <c r="C30" i="24"/>
  <c r="B30" i="24"/>
  <c r="F29" i="24"/>
  <c r="A29" i="24" s="1"/>
  <c r="E29" i="24"/>
  <c r="D29" i="24"/>
  <c r="C29" i="24"/>
  <c r="B29" i="24"/>
  <c r="F28" i="24"/>
  <c r="A28" i="24" s="1"/>
  <c r="E28" i="24"/>
  <c r="D28" i="24"/>
  <c r="C28" i="24"/>
  <c r="B28" i="24"/>
  <c r="F27" i="24"/>
  <c r="A27" i="24" s="1"/>
  <c r="E27" i="24"/>
  <c r="D27" i="24"/>
  <c r="C27" i="24"/>
  <c r="B27" i="24"/>
  <c r="F26" i="24"/>
  <c r="A26" i="24" s="1"/>
  <c r="E26" i="24"/>
  <c r="D26" i="24"/>
  <c r="C26" i="24"/>
  <c r="B26" i="24"/>
  <c r="F25" i="24"/>
  <c r="A25" i="24" s="1"/>
  <c r="E25" i="24"/>
  <c r="D25" i="24"/>
  <c r="C25" i="24"/>
  <c r="B25" i="24"/>
  <c r="F24" i="24"/>
  <c r="A24" i="24" s="1"/>
  <c r="E24" i="24"/>
  <c r="D24" i="24"/>
  <c r="C24" i="24"/>
  <c r="B24" i="24"/>
  <c r="F23" i="24"/>
  <c r="A23" i="24" s="1"/>
  <c r="E23" i="24"/>
  <c r="D23" i="24"/>
  <c r="C23" i="24"/>
  <c r="B23" i="24"/>
  <c r="F22" i="24"/>
  <c r="A22" i="24" s="1"/>
  <c r="E22" i="24"/>
  <c r="D22" i="24"/>
  <c r="C22" i="24"/>
  <c r="B22" i="24"/>
  <c r="F21" i="24"/>
  <c r="A21" i="24" s="1"/>
  <c r="E21" i="24"/>
  <c r="D21" i="24"/>
  <c r="C21" i="24"/>
  <c r="B21" i="24"/>
  <c r="F20" i="24"/>
  <c r="A20" i="24" s="1"/>
  <c r="E20" i="24"/>
  <c r="D20" i="24"/>
  <c r="C20" i="24"/>
  <c r="B20" i="24"/>
  <c r="F19" i="24"/>
  <c r="A19" i="24" s="1"/>
  <c r="E19" i="24"/>
  <c r="D19" i="24"/>
  <c r="C19" i="24"/>
  <c r="B19" i="24"/>
  <c r="F18" i="24"/>
  <c r="A18" i="24" s="1"/>
  <c r="E18" i="24"/>
  <c r="D18" i="24"/>
  <c r="C18" i="24"/>
  <c r="B18" i="24"/>
  <c r="F17" i="24"/>
  <c r="A17" i="24" s="1"/>
  <c r="E17" i="24"/>
  <c r="D17" i="24"/>
  <c r="C17" i="24"/>
  <c r="B17" i="24"/>
  <c r="F16" i="24"/>
  <c r="A16" i="24" s="1"/>
  <c r="E16" i="24"/>
  <c r="D16" i="24"/>
  <c r="C16" i="24"/>
  <c r="B16" i="24"/>
  <c r="F15" i="24"/>
  <c r="A15" i="24" s="1"/>
  <c r="E15" i="24"/>
  <c r="D15" i="24"/>
  <c r="C15" i="24"/>
  <c r="B15" i="24"/>
  <c r="F14" i="24"/>
  <c r="A14" i="24" s="1"/>
  <c r="E14" i="24"/>
  <c r="D14" i="24"/>
  <c r="C14" i="24"/>
  <c r="B14" i="24"/>
  <c r="F13" i="24"/>
  <c r="A13" i="24" s="1"/>
  <c r="E13" i="24"/>
  <c r="D13" i="24"/>
  <c r="C13" i="24"/>
  <c r="B13" i="24"/>
  <c r="F12" i="24"/>
  <c r="A12" i="24" s="1"/>
  <c r="E12" i="24"/>
  <c r="D12" i="24"/>
  <c r="C12" i="24"/>
  <c r="B12" i="24"/>
  <c r="F11" i="24"/>
  <c r="A11" i="24" s="1"/>
  <c r="E11" i="24"/>
  <c r="D11" i="24"/>
  <c r="C11" i="24"/>
  <c r="B11" i="24"/>
  <c r="F38" i="12"/>
  <c r="A38" i="12" s="1"/>
  <c r="E38" i="12"/>
  <c r="D38" i="12"/>
  <c r="C38" i="12"/>
  <c r="B38" i="12"/>
  <c r="F37" i="12"/>
  <c r="A37" i="12" s="1"/>
  <c r="E37" i="12"/>
  <c r="D37" i="12"/>
  <c r="C37" i="12"/>
  <c r="B37" i="12"/>
  <c r="F36" i="12"/>
  <c r="A36" i="12" s="1"/>
  <c r="E36" i="12"/>
  <c r="D36" i="12"/>
  <c r="C36" i="12"/>
  <c r="B36" i="12"/>
  <c r="F35" i="12"/>
  <c r="A35" i="12" s="1"/>
  <c r="E35" i="12"/>
  <c r="D35" i="12"/>
  <c r="C35" i="12"/>
  <c r="B35" i="12"/>
  <c r="F34" i="12"/>
  <c r="A34" i="12" s="1"/>
  <c r="E34" i="12"/>
  <c r="D34" i="12"/>
  <c r="C34" i="12"/>
  <c r="B34" i="12"/>
  <c r="F33" i="12"/>
  <c r="A33" i="12" s="1"/>
  <c r="E33" i="12"/>
  <c r="D33" i="12"/>
  <c r="C33" i="12"/>
  <c r="B33" i="12"/>
  <c r="F32" i="12"/>
  <c r="A32" i="12" s="1"/>
  <c r="E32" i="12"/>
  <c r="D32" i="12"/>
  <c r="C32" i="12"/>
  <c r="B32" i="12"/>
  <c r="F31" i="12"/>
  <c r="A31" i="12" s="1"/>
  <c r="E31" i="12"/>
  <c r="D31" i="12"/>
  <c r="C31" i="12"/>
  <c r="B31" i="12"/>
  <c r="F30" i="12"/>
  <c r="A30" i="12" s="1"/>
  <c r="E30" i="12"/>
  <c r="D30" i="12"/>
  <c r="C30" i="12"/>
  <c r="B30" i="12"/>
  <c r="F29" i="12"/>
  <c r="A29" i="12" s="1"/>
  <c r="E29" i="12"/>
  <c r="D29" i="12"/>
  <c r="C29" i="12"/>
  <c r="B29" i="12"/>
  <c r="F28" i="12"/>
  <c r="A28" i="12" s="1"/>
  <c r="E28" i="12"/>
  <c r="D28" i="12"/>
  <c r="C28" i="12"/>
  <c r="B28" i="12"/>
  <c r="F27" i="12"/>
  <c r="A27" i="12" s="1"/>
  <c r="E27" i="12"/>
  <c r="D27" i="12"/>
  <c r="C27" i="12"/>
  <c r="B27" i="12"/>
  <c r="F26" i="12"/>
  <c r="E26" i="12"/>
  <c r="D26" i="12"/>
  <c r="C26" i="12"/>
  <c r="B26" i="12"/>
  <c r="A26" i="12"/>
  <c r="F25" i="12"/>
  <c r="A25" i="12" s="1"/>
  <c r="E25" i="12"/>
  <c r="D25" i="12"/>
  <c r="C25" i="12"/>
  <c r="B25" i="12"/>
  <c r="F24" i="12"/>
  <c r="A24" i="12" s="1"/>
  <c r="E24" i="12"/>
  <c r="D24" i="12"/>
  <c r="C24" i="12"/>
  <c r="B24" i="12"/>
  <c r="F23" i="12"/>
  <c r="A23" i="12" s="1"/>
  <c r="E23" i="12"/>
  <c r="D23" i="12"/>
  <c r="C23" i="12"/>
  <c r="B23" i="12"/>
  <c r="F22" i="12"/>
  <c r="A22" i="12" s="1"/>
  <c r="E22" i="12"/>
  <c r="D22" i="12"/>
  <c r="C22" i="12"/>
  <c r="B22" i="12"/>
  <c r="F21" i="12"/>
  <c r="A21" i="12" s="1"/>
  <c r="E21" i="12"/>
  <c r="D21" i="12"/>
  <c r="C21" i="12"/>
  <c r="B21" i="12"/>
  <c r="F20" i="12"/>
  <c r="A20" i="12" s="1"/>
  <c r="E20" i="12"/>
  <c r="D20" i="12"/>
  <c r="C20" i="12"/>
  <c r="B20" i="12"/>
  <c r="F19" i="12"/>
  <c r="A19" i="12" s="1"/>
  <c r="E19" i="12"/>
  <c r="D19" i="12"/>
  <c r="C19" i="12"/>
  <c r="B19" i="12"/>
  <c r="F18" i="12"/>
  <c r="A18" i="12" s="1"/>
  <c r="E18" i="12"/>
  <c r="D18" i="12"/>
  <c r="C18" i="12"/>
  <c r="B18" i="12"/>
  <c r="F17" i="12"/>
  <c r="A17" i="12" s="1"/>
  <c r="E17" i="12"/>
  <c r="D17" i="12"/>
  <c r="C17" i="12"/>
  <c r="B17" i="12"/>
  <c r="F16" i="12"/>
  <c r="A16" i="12" s="1"/>
  <c r="E16" i="12"/>
  <c r="D16" i="12"/>
  <c r="C16" i="12"/>
  <c r="B16" i="12"/>
  <c r="F15" i="12"/>
  <c r="A15" i="12" s="1"/>
  <c r="E15" i="12"/>
  <c r="D15" i="12"/>
  <c r="C15" i="12"/>
  <c r="B15" i="12"/>
  <c r="F14" i="12"/>
  <c r="A14" i="12" s="1"/>
  <c r="E14" i="12"/>
  <c r="D14" i="12"/>
  <c r="C14" i="12"/>
  <c r="B14" i="12"/>
  <c r="F13" i="12"/>
  <c r="A13" i="12" s="1"/>
  <c r="E13" i="12"/>
  <c r="D13" i="12"/>
  <c r="C13" i="12"/>
  <c r="B13" i="12"/>
  <c r="F12" i="12"/>
  <c r="A12" i="12" s="1"/>
  <c r="E12" i="12"/>
  <c r="D12" i="12"/>
  <c r="C12" i="12"/>
  <c r="B12" i="12"/>
  <c r="F11" i="12"/>
  <c r="A11" i="12" s="1"/>
  <c r="E11" i="12"/>
  <c r="D11" i="12"/>
  <c r="C11" i="12"/>
  <c r="B11" i="12"/>
  <c r="F34" i="11"/>
  <c r="E34" i="11"/>
  <c r="D34" i="11"/>
  <c r="C34" i="11"/>
  <c r="B34" i="11"/>
  <c r="A34" i="11"/>
  <c r="F33" i="11"/>
  <c r="A33" i="11" s="1"/>
  <c r="E33" i="11"/>
  <c r="D33" i="11"/>
  <c r="C33" i="11"/>
  <c r="B33" i="11"/>
  <c r="F24" i="11"/>
  <c r="A24" i="11" s="1"/>
  <c r="E24" i="11"/>
  <c r="D24" i="11"/>
  <c r="C24" i="11"/>
  <c r="B24" i="11"/>
  <c r="F23" i="11"/>
  <c r="A23" i="11" s="1"/>
  <c r="E23" i="11"/>
  <c r="D23" i="11"/>
  <c r="C23" i="11"/>
  <c r="B23" i="11"/>
  <c r="F14" i="11"/>
  <c r="A14" i="11" s="1"/>
  <c r="E14" i="11"/>
  <c r="D14" i="11"/>
  <c r="C14" i="11"/>
  <c r="B14" i="11"/>
  <c r="F13" i="11"/>
  <c r="A13" i="11" s="1"/>
  <c r="E13" i="11"/>
  <c r="D13" i="11"/>
  <c r="C13" i="11"/>
  <c r="B13" i="11"/>
  <c r="F12" i="11"/>
  <c r="A12" i="11" s="1"/>
  <c r="E12" i="11"/>
  <c r="D12" i="11"/>
  <c r="C12" i="11"/>
  <c r="B12" i="11"/>
  <c r="F11" i="11"/>
  <c r="E11" i="11"/>
  <c r="D11" i="11"/>
  <c r="C11" i="11"/>
  <c r="B11" i="11"/>
  <c r="A11" i="11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W55" i="23"/>
  <c r="V55" i="23"/>
  <c r="I55" i="23"/>
  <c r="X54" i="23"/>
  <c r="I54" i="23"/>
  <c r="I53" i="23"/>
  <c r="Z34" i="23"/>
  <c r="Z76" i="23" s="1"/>
  <c r="Y34" i="23"/>
  <c r="Y76" i="23" s="1"/>
  <c r="X34" i="23"/>
  <c r="X76" i="23" s="1"/>
  <c r="W34" i="23"/>
  <c r="W76" i="23" s="1"/>
  <c r="V34" i="23"/>
  <c r="V76" i="23" s="1"/>
  <c r="U34" i="23"/>
  <c r="U76" i="23" s="1"/>
  <c r="T34" i="23"/>
  <c r="T76" i="23" s="1"/>
  <c r="S34" i="23"/>
  <c r="S76" i="23" s="1"/>
  <c r="R34" i="23"/>
  <c r="R76" i="23" s="1"/>
  <c r="Q34" i="23"/>
  <c r="Q76" i="23" s="1"/>
  <c r="P34" i="23"/>
  <c r="P76" i="23" s="1"/>
  <c r="O34" i="23"/>
  <c r="O76" i="23" s="1"/>
  <c r="N34" i="23"/>
  <c r="N76" i="23" s="1"/>
  <c r="M34" i="23"/>
  <c r="M76" i="23" s="1"/>
  <c r="L34" i="23"/>
  <c r="L76" i="23" s="1"/>
  <c r="K34" i="23"/>
  <c r="K76" i="23" s="1"/>
  <c r="J34" i="23"/>
  <c r="J76" i="23" s="1"/>
  <c r="Z33" i="23"/>
  <c r="Z75" i="23" s="1"/>
  <c r="Y33" i="23"/>
  <c r="Y75" i="23" s="1"/>
  <c r="X33" i="23"/>
  <c r="X75" i="23" s="1"/>
  <c r="W33" i="23"/>
  <c r="W75" i="23" s="1"/>
  <c r="V33" i="23"/>
  <c r="V75" i="23" s="1"/>
  <c r="U33" i="23"/>
  <c r="U75" i="23" s="1"/>
  <c r="T33" i="23"/>
  <c r="T75" i="23" s="1"/>
  <c r="S33" i="23"/>
  <c r="S75" i="23" s="1"/>
  <c r="R33" i="23"/>
  <c r="R75" i="23" s="1"/>
  <c r="Q33" i="23"/>
  <c r="Q75" i="23" s="1"/>
  <c r="P33" i="23"/>
  <c r="P75" i="23" s="1"/>
  <c r="O33" i="23"/>
  <c r="O75" i="23" s="1"/>
  <c r="N33" i="23"/>
  <c r="N75" i="23" s="1"/>
  <c r="M33" i="23"/>
  <c r="M75" i="23" s="1"/>
  <c r="L33" i="23"/>
  <c r="L75" i="23" s="1"/>
  <c r="K33" i="23"/>
  <c r="K75" i="23" s="1"/>
  <c r="J33" i="23"/>
  <c r="J75" i="23" s="1"/>
  <c r="Z24" i="23"/>
  <c r="Z66" i="23" s="1"/>
  <c r="Y24" i="23"/>
  <c r="Y66" i="23" s="1"/>
  <c r="X24" i="23"/>
  <c r="X66" i="23" s="1"/>
  <c r="W24" i="23"/>
  <c r="W66" i="23" s="1"/>
  <c r="V24" i="23"/>
  <c r="V66" i="23" s="1"/>
  <c r="U24" i="23"/>
  <c r="U66" i="23" s="1"/>
  <c r="T24" i="23"/>
  <c r="T66" i="23" s="1"/>
  <c r="S24" i="23"/>
  <c r="S66" i="23" s="1"/>
  <c r="R24" i="23"/>
  <c r="R66" i="23" s="1"/>
  <c r="Q24" i="23"/>
  <c r="Q66" i="23" s="1"/>
  <c r="P24" i="23"/>
  <c r="P66" i="23" s="1"/>
  <c r="O24" i="23"/>
  <c r="O66" i="23" s="1"/>
  <c r="N24" i="23"/>
  <c r="N66" i="23" s="1"/>
  <c r="M24" i="23"/>
  <c r="M66" i="23" s="1"/>
  <c r="L24" i="23"/>
  <c r="L66" i="23" s="1"/>
  <c r="K24" i="23"/>
  <c r="K66" i="23" s="1"/>
  <c r="J24" i="23"/>
  <c r="J66" i="23" s="1"/>
  <c r="Z23" i="23"/>
  <c r="Z65" i="23" s="1"/>
  <c r="Y23" i="23"/>
  <c r="Y65" i="23" s="1"/>
  <c r="X23" i="23"/>
  <c r="X65" i="23" s="1"/>
  <c r="W23" i="23"/>
  <c r="W65" i="23" s="1"/>
  <c r="V23" i="23"/>
  <c r="V65" i="23" s="1"/>
  <c r="U23" i="23"/>
  <c r="U65" i="23" s="1"/>
  <c r="T23" i="23"/>
  <c r="T65" i="23" s="1"/>
  <c r="S23" i="23"/>
  <c r="S65" i="23" s="1"/>
  <c r="R23" i="23"/>
  <c r="R65" i="23" s="1"/>
  <c r="Q23" i="23"/>
  <c r="Q65" i="23" s="1"/>
  <c r="P23" i="23"/>
  <c r="P65" i="23" s="1"/>
  <c r="O23" i="23"/>
  <c r="O65" i="23" s="1"/>
  <c r="N23" i="23"/>
  <c r="N65" i="23" s="1"/>
  <c r="M23" i="23"/>
  <c r="M65" i="23" s="1"/>
  <c r="L23" i="23"/>
  <c r="L65" i="23" s="1"/>
  <c r="K23" i="23"/>
  <c r="K65" i="23" s="1"/>
  <c r="J23" i="23"/>
  <c r="J65" i="23" s="1"/>
  <c r="Z14" i="23"/>
  <c r="Z56" i="23" s="1"/>
  <c r="Y14" i="23"/>
  <c r="Y56" i="23" s="1"/>
  <c r="X14" i="23"/>
  <c r="X56" i="23" s="1"/>
  <c r="W14" i="23"/>
  <c r="W56" i="23" s="1"/>
  <c r="V14" i="23"/>
  <c r="V56" i="23" s="1"/>
  <c r="U14" i="23"/>
  <c r="U56" i="23" s="1"/>
  <c r="T14" i="23"/>
  <c r="T56" i="23" s="1"/>
  <c r="S14" i="23"/>
  <c r="S56" i="23" s="1"/>
  <c r="R14" i="23"/>
  <c r="R56" i="23" s="1"/>
  <c r="Q14" i="23"/>
  <c r="Q56" i="23" s="1"/>
  <c r="P14" i="23"/>
  <c r="P56" i="23" s="1"/>
  <c r="O14" i="23"/>
  <c r="O56" i="23" s="1"/>
  <c r="N14" i="23"/>
  <c r="N56" i="23" s="1"/>
  <c r="M14" i="23"/>
  <c r="M56" i="23" s="1"/>
  <c r="L14" i="23"/>
  <c r="L56" i="23" s="1"/>
  <c r="K14" i="23"/>
  <c r="K56" i="23" s="1"/>
  <c r="J14" i="23"/>
  <c r="J56" i="23" s="1"/>
  <c r="Z13" i="23"/>
  <c r="Z55" i="23" s="1"/>
  <c r="Y13" i="23"/>
  <c r="Y55" i="23" s="1"/>
  <c r="X13" i="23"/>
  <c r="X55" i="23" s="1"/>
  <c r="W13" i="23"/>
  <c r="V13" i="23"/>
  <c r="U13" i="23"/>
  <c r="U55" i="23" s="1"/>
  <c r="T13" i="23"/>
  <c r="T55" i="23" s="1"/>
  <c r="S13" i="23"/>
  <c r="S55" i="23" s="1"/>
  <c r="R13" i="23"/>
  <c r="R55" i="23" s="1"/>
  <c r="Q13" i="23"/>
  <c r="Q55" i="23" s="1"/>
  <c r="P13" i="23"/>
  <c r="P55" i="23" s="1"/>
  <c r="O13" i="23"/>
  <c r="O55" i="23" s="1"/>
  <c r="N13" i="23"/>
  <c r="N55" i="23" s="1"/>
  <c r="M13" i="23"/>
  <c r="M55" i="23" s="1"/>
  <c r="L13" i="23"/>
  <c r="L55" i="23" s="1"/>
  <c r="K13" i="23"/>
  <c r="K55" i="23" s="1"/>
  <c r="J13" i="23"/>
  <c r="J55" i="23" s="1"/>
  <c r="Z12" i="23"/>
  <c r="Z54" i="23" s="1"/>
  <c r="Y12" i="23"/>
  <c r="Y54" i="23" s="1"/>
  <c r="X12" i="23"/>
  <c r="W12" i="23"/>
  <c r="W54" i="23" s="1"/>
  <c r="V12" i="23"/>
  <c r="V54" i="23" s="1"/>
  <c r="U12" i="23"/>
  <c r="U54" i="23" s="1"/>
  <c r="T12" i="23"/>
  <c r="T54" i="23" s="1"/>
  <c r="S12" i="23"/>
  <c r="S54" i="23" s="1"/>
  <c r="R12" i="23"/>
  <c r="R54" i="23" s="1"/>
  <c r="Q12" i="23"/>
  <c r="Q54" i="23" s="1"/>
  <c r="P12" i="23"/>
  <c r="P54" i="23" s="1"/>
  <c r="O12" i="23"/>
  <c r="O54" i="23" s="1"/>
  <c r="N12" i="23"/>
  <c r="N54" i="23" s="1"/>
  <c r="M12" i="23"/>
  <c r="M54" i="23" s="1"/>
  <c r="L12" i="23"/>
  <c r="L54" i="23" s="1"/>
  <c r="K12" i="23"/>
  <c r="K54" i="23" s="1"/>
  <c r="J12" i="23"/>
  <c r="J54" i="23" s="1"/>
  <c r="Z11" i="23"/>
  <c r="Z53" i="23" s="1"/>
  <c r="Y11" i="23"/>
  <c r="Y53" i="23" s="1"/>
  <c r="X11" i="23"/>
  <c r="X53" i="23" s="1"/>
  <c r="W11" i="23"/>
  <c r="W53" i="23" s="1"/>
  <c r="V11" i="23"/>
  <c r="V53" i="23" s="1"/>
  <c r="U11" i="23"/>
  <c r="U53" i="23" s="1"/>
  <c r="T11" i="23"/>
  <c r="T53" i="23" s="1"/>
  <c r="S11" i="23"/>
  <c r="S53" i="23" s="1"/>
  <c r="R11" i="23"/>
  <c r="R53" i="23" s="1"/>
  <c r="Q11" i="23"/>
  <c r="Q53" i="23" s="1"/>
  <c r="P11" i="23"/>
  <c r="P53" i="23" s="1"/>
  <c r="O11" i="23"/>
  <c r="O53" i="23" s="1"/>
  <c r="N11" i="23"/>
  <c r="N53" i="23" s="1"/>
  <c r="M11" i="23"/>
  <c r="M53" i="23" s="1"/>
  <c r="L11" i="23"/>
  <c r="L53" i="23" s="1"/>
  <c r="K11" i="23"/>
  <c r="K53" i="23" s="1"/>
  <c r="J11" i="23"/>
  <c r="J53" i="23" s="1"/>
  <c r="F38" i="10"/>
  <c r="E38" i="10"/>
  <c r="D38" i="10"/>
  <c r="C38" i="10"/>
  <c r="B38" i="10"/>
  <c r="A38" i="10"/>
  <c r="F37" i="10"/>
  <c r="A37" i="10" s="1"/>
  <c r="E37" i="10"/>
  <c r="D37" i="10"/>
  <c r="C37" i="10"/>
  <c r="B37" i="10"/>
  <c r="F36" i="10"/>
  <c r="A36" i="10" s="1"/>
  <c r="E36" i="10"/>
  <c r="D36" i="10"/>
  <c r="C36" i="10"/>
  <c r="B36" i="10"/>
  <c r="F35" i="10"/>
  <c r="A35" i="10" s="1"/>
  <c r="E35" i="10"/>
  <c r="D35" i="10"/>
  <c r="C35" i="10"/>
  <c r="B35" i="10"/>
  <c r="F34" i="10"/>
  <c r="A34" i="10" s="1"/>
  <c r="E34" i="10"/>
  <c r="D34" i="10"/>
  <c r="C34" i="10"/>
  <c r="B34" i="10"/>
  <c r="F33" i="10"/>
  <c r="A33" i="10" s="1"/>
  <c r="E33" i="10"/>
  <c r="D33" i="10"/>
  <c r="C33" i="10"/>
  <c r="B33" i="10"/>
  <c r="F32" i="10"/>
  <c r="A32" i="10" s="1"/>
  <c r="E32" i="10"/>
  <c r="D32" i="10"/>
  <c r="C32" i="10"/>
  <c r="B32" i="10"/>
  <c r="F31" i="10"/>
  <c r="A31" i="10" s="1"/>
  <c r="E31" i="10"/>
  <c r="D31" i="10"/>
  <c r="C31" i="10"/>
  <c r="B31" i="10"/>
  <c r="F30" i="10"/>
  <c r="A30" i="10" s="1"/>
  <c r="E30" i="10"/>
  <c r="D30" i="10"/>
  <c r="C30" i="10"/>
  <c r="B30" i="10"/>
  <c r="F29" i="10"/>
  <c r="A29" i="10" s="1"/>
  <c r="E29" i="10"/>
  <c r="D29" i="10"/>
  <c r="C29" i="10"/>
  <c r="B29" i="10"/>
  <c r="F28" i="10"/>
  <c r="A28" i="10" s="1"/>
  <c r="E28" i="10"/>
  <c r="D28" i="10"/>
  <c r="C28" i="10"/>
  <c r="B28" i="10"/>
  <c r="F27" i="10"/>
  <c r="A27" i="10" s="1"/>
  <c r="E27" i="10"/>
  <c r="D27" i="10"/>
  <c r="C27" i="10"/>
  <c r="B27" i="10"/>
  <c r="F26" i="10"/>
  <c r="A26" i="10" s="1"/>
  <c r="E26" i="10"/>
  <c r="D26" i="10"/>
  <c r="C26" i="10"/>
  <c r="B26" i="10"/>
  <c r="F25" i="10"/>
  <c r="A25" i="10" s="1"/>
  <c r="E25" i="10"/>
  <c r="D25" i="10"/>
  <c r="C25" i="10"/>
  <c r="B25" i="10"/>
  <c r="F24" i="10"/>
  <c r="A24" i="10" s="1"/>
  <c r="E24" i="10"/>
  <c r="D24" i="10"/>
  <c r="C24" i="10"/>
  <c r="B24" i="10"/>
  <c r="F23" i="10"/>
  <c r="A23" i="10" s="1"/>
  <c r="E23" i="10"/>
  <c r="D23" i="10"/>
  <c r="C23" i="10"/>
  <c r="B23" i="10"/>
  <c r="F22" i="10"/>
  <c r="A22" i="10" s="1"/>
  <c r="E22" i="10"/>
  <c r="D22" i="10"/>
  <c r="C22" i="10"/>
  <c r="B22" i="10"/>
  <c r="F21" i="10"/>
  <c r="A21" i="10" s="1"/>
  <c r="E21" i="10"/>
  <c r="D21" i="10"/>
  <c r="C21" i="10"/>
  <c r="B21" i="10"/>
  <c r="F20" i="10"/>
  <c r="A20" i="10" s="1"/>
  <c r="E20" i="10"/>
  <c r="D20" i="10"/>
  <c r="C20" i="10"/>
  <c r="B20" i="10"/>
  <c r="F19" i="10"/>
  <c r="A19" i="10" s="1"/>
  <c r="E19" i="10"/>
  <c r="D19" i="10"/>
  <c r="C19" i="10"/>
  <c r="B19" i="10"/>
  <c r="F18" i="10"/>
  <c r="E18" i="10"/>
  <c r="D18" i="10"/>
  <c r="C18" i="10"/>
  <c r="B18" i="10"/>
  <c r="A18" i="10"/>
  <c r="F17" i="10"/>
  <c r="A17" i="10" s="1"/>
  <c r="E17" i="10"/>
  <c r="D17" i="10"/>
  <c r="C17" i="10"/>
  <c r="B17" i="10"/>
  <c r="F16" i="10"/>
  <c r="A16" i="10" s="1"/>
  <c r="E16" i="10"/>
  <c r="D16" i="10"/>
  <c r="C16" i="10"/>
  <c r="B16" i="10"/>
  <c r="F15" i="10"/>
  <c r="A15" i="10" s="1"/>
  <c r="E15" i="10"/>
  <c r="D15" i="10"/>
  <c r="C15" i="10"/>
  <c r="B15" i="10"/>
  <c r="F14" i="10"/>
  <c r="A14" i="10" s="1"/>
  <c r="E14" i="10"/>
  <c r="D14" i="10"/>
  <c r="C14" i="10"/>
  <c r="B14" i="10"/>
  <c r="F13" i="10"/>
  <c r="A13" i="10" s="1"/>
  <c r="E13" i="10"/>
  <c r="D13" i="10"/>
  <c r="C13" i="10"/>
  <c r="B13" i="10"/>
  <c r="F12" i="10"/>
  <c r="A12" i="10" s="1"/>
  <c r="E12" i="10"/>
  <c r="D12" i="10"/>
  <c r="C12" i="10"/>
  <c r="B12" i="10"/>
  <c r="F11" i="10"/>
  <c r="E11" i="10"/>
  <c r="D11" i="10"/>
  <c r="C11" i="10"/>
  <c r="B11" i="10"/>
  <c r="A11" i="10"/>
  <c r="F38" i="23"/>
  <c r="A38" i="23" s="1"/>
  <c r="E38" i="23"/>
  <c r="D38" i="23"/>
  <c r="C38" i="23"/>
  <c r="B38" i="23"/>
  <c r="F37" i="23"/>
  <c r="A37" i="23" s="1"/>
  <c r="E37" i="23"/>
  <c r="D37" i="23"/>
  <c r="C37" i="23"/>
  <c r="B37" i="23"/>
  <c r="F36" i="23"/>
  <c r="A36" i="23" s="1"/>
  <c r="E36" i="23"/>
  <c r="D36" i="23"/>
  <c r="C36" i="23"/>
  <c r="B36" i="23"/>
  <c r="F35" i="23"/>
  <c r="A35" i="23" s="1"/>
  <c r="E35" i="23"/>
  <c r="D35" i="23"/>
  <c r="C35" i="23"/>
  <c r="B35" i="23"/>
  <c r="F34" i="23"/>
  <c r="A34" i="23" s="1"/>
  <c r="E34" i="23"/>
  <c r="D34" i="23"/>
  <c r="C34" i="23"/>
  <c r="B34" i="23"/>
  <c r="F33" i="23"/>
  <c r="A33" i="23" s="1"/>
  <c r="E33" i="23"/>
  <c r="D33" i="23"/>
  <c r="C33" i="23"/>
  <c r="B33" i="23"/>
  <c r="F32" i="23"/>
  <c r="A32" i="23" s="1"/>
  <c r="E32" i="23"/>
  <c r="D32" i="23"/>
  <c r="C32" i="23"/>
  <c r="B32" i="23"/>
  <c r="F31" i="23"/>
  <c r="A31" i="23" s="1"/>
  <c r="E31" i="23"/>
  <c r="D31" i="23"/>
  <c r="C31" i="23"/>
  <c r="B31" i="23"/>
  <c r="F30" i="23"/>
  <c r="A30" i="23" s="1"/>
  <c r="E30" i="23"/>
  <c r="D30" i="23"/>
  <c r="C30" i="23"/>
  <c r="B30" i="23"/>
  <c r="F29" i="23"/>
  <c r="A29" i="23" s="1"/>
  <c r="E29" i="23"/>
  <c r="D29" i="23"/>
  <c r="C29" i="23"/>
  <c r="B29" i="23"/>
  <c r="F28" i="23"/>
  <c r="A28" i="23" s="1"/>
  <c r="E28" i="23"/>
  <c r="D28" i="23"/>
  <c r="C28" i="23"/>
  <c r="B28" i="23"/>
  <c r="F27" i="23"/>
  <c r="A27" i="23" s="1"/>
  <c r="E27" i="23"/>
  <c r="D27" i="23"/>
  <c r="C27" i="23"/>
  <c r="B27" i="23"/>
  <c r="F26" i="23"/>
  <c r="A26" i="23" s="1"/>
  <c r="E26" i="23"/>
  <c r="D26" i="23"/>
  <c r="C26" i="23"/>
  <c r="B26" i="23"/>
  <c r="F25" i="23"/>
  <c r="A25" i="23" s="1"/>
  <c r="E25" i="23"/>
  <c r="D25" i="23"/>
  <c r="C25" i="23"/>
  <c r="B25" i="23"/>
  <c r="F24" i="23"/>
  <c r="A24" i="23" s="1"/>
  <c r="E24" i="23"/>
  <c r="D24" i="23"/>
  <c r="C24" i="23"/>
  <c r="B24" i="23"/>
  <c r="F23" i="23"/>
  <c r="A23" i="23" s="1"/>
  <c r="E23" i="23"/>
  <c r="D23" i="23"/>
  <c r="C23" i="23"/>
  <c r="B23" i="23"/>
  <c r="F22" i="23"/>
  <c r="A22" i="23" s="1"/>
  <c r="E22" i="23"/>
  <c r="D22" i="23"/>
  <c r="C22" i="23"/>
  <c r="B22" i="23"/>
  <c r="F21" i="23"/>
  <c r="A21" i="23" s="1"/>
  <c r="E21" i="23"/>
  <c r="D21" i="23"/>
  <c r="C21" i="23"/>
  <c r="B21" i="23"/>
  <c r="F20" i="23"/>
  <c r="A20" i="23" s="1"/>
  <c r="E20" i="23"/>
  <c r="D20" i="23"/>
  <c r="C20" i="23"/>
  <c r="B20" i="23"/>
  <c r="F19" i="23"/>
  <c r="A19" i="23" s="1"/>
  <c r="E19" i="23"/>
  <c r="D19" i="23"/>
  <c r="C19" i="23"/>
  <c r="B19" i="23"/>
  <c r="F18" i="23"/>
  <c r="A18" i="23" s="1"/>
  <c r="E18" i="23"/>
  <c r="D18" i="23"/>
  <c r="C18" i="23"/>
  <c r="B18" i="23"/>
  <c r="F17" i="23"/>
  <c r="A17" i="23" s="1"/>
  <c r="E17" i="23"/>
  <c r="D17" i="23"/>
  <c r="C17" i="23"/>
  <c r="B17" i="23"/>
  <c r="F16" i="23"/>
  <c r="A16" i="23" s="1"/>
  <c r="E16" i="23"/>
  <c r="D16" i="23"/>
  <c r="C16" i="23"/>
  <c r="B16" i="23"/>
  <c r="F15" i="23"/>
  <c r="A15" i="23" s="1"/>
  <c r="E15" i="23"/>
  <c r="D15" i="23"/>
  <c r="C15" i="23"/>
  <c r="B15" i="23"/>
  <c r="F14" i="23"/>
  <c r="A14" i="23" s="1"/>
  <c r="E14" i="23"/>
  <c r="D14" i="23"/>
  <c r="C14" i="23"/>
  <c r="B14" i="23"/>
  <c r="F13" i="23"/>
  <c r="E13" i="23"/>
  <c r="D13" i="23"/>
  <c r="C13" i="23"/>
  <c r="B13" i="23"/>
  <c r="A13" i="23"/>
  <c r="F12" i="23"/>
  <c r="A12" i="23" s="1"/>
  <c r="E12" i="23"/>
  <c r="D12" i="23"/>
  <c r="C12" i="23"/>
  <c r="B12" i="23"/>
  <c r="F11" i="23"/>
  <c r="A11" i="23" s="1"/>
  <c r="E11" i="23"/>
  <c r="D11" i="23"/>
  <c r="C11" i="23"/>
  <c r="B11" i="23"/>
  <c r="F38" i="5"/>
  <c r="E38" i="5"/>
  <c r="D38" i="5"/>
  <c r="C38" i="5"/>
  <c r="B38" i="5"/>
  <c r="A38" i="5"/>
  <c r="F37" i="5"/>
  <c r="A37" i="5" s="1"/>
  <c r="E37" i="5"/>
  <c r="D37" i="5"/>
  <c r="C37" i="5"/>
  <c r="B37" i="5"/>
  <c r="F36" i="5"/>
  <c r="A36" i="5" s="1"/>
  <c r="E36" i="5"/>
  <c r="D36" i="5"/>
  <c r="C36" i="5"/>
  <c r="B36" i="5"/>
  <c r="F35" i="5"/>
  <c r="E35" i="5"/>
  <c r="D35" i="5"/>
  <c r="C35" i="5"/>
  <c r="B35" i="5"/>
  <c r="A35" i="5"/>
  <c r="F34" i="5"/>
  <c r="E34" i="5"/>
  <c r="D34" i="5"/>
  <c r="C34" i="5"/>
  <c r="B34" i="5"/>
  <c r="A34" i="5"/>
  <c r="F33" i="5"/>
  <c r="A33" i="5" s="1"/>
  <c r="E33" i="5"/>
  <c r="D33" i="5"/>
  <c r="C33" i="5"/>
  <c r="B33" i="5"/>
  <c r="F32" i="5"/>
  <c r="A32" i="5" s="1"/>
  <c r="E32" i="5"/>
  <c r="D32" i="5"/>
  <c r="C32" i="5"/>
  <c r="B32" i="5"/>
  <c r="F31" i="5"/>
  <c r="E31" i="5"/>
  <c r="D31" i="5"/>
  <c r="C31" i="5"/>
  <c r="B31" i="5"/>
  <c r="A31" i="5"/>
  <c r="F30" i="5"/>
  <c r="A30" i="5" s="1"/>
  <c r="E30" i="5"/>
  <c r="D30" i="5"/>
  <c r="C30" i="5"/>
  <c r="B30" i="5"/>
  <c r="F29" i="5"/>
  <c r="A29" i="5" s="1"/>
  <c r="E29" i="5"/>
  <c r="D29" i="5"/>
  <c r="C29" i="5"/>
  <c r="B29" i="5"/>
  <c r="F28" i="5"/>
  <c r="A28" i="5" s="1"/>
  <c r="E28" i="5"/>
  <c r="D28" i="5"/>
  <c r="C28" i="5"/>
  <c r="B28" i="5"/>
  <c r="F27" i="5"/>
  <c r="A27" i="5" s="1"/>
  <c r="E27" i="5"/>
  <c r="D27" i="5"/>
  <c r="C27" i="5"/>
  <c r="B27" i="5"/>
  <c r="F26" i="5"/>
  <c r="A26" i="5" s="1"/>
  <c r="E26" i="5"/>
  <c r="D26" i="5"/>
  <c r="C26" i="5"/>
  <c r="B26" i="5"/>
  <c r="F25" i="5"/>
  <c r="A25" i="5" s="1"/>
  <c r="E25" i="5"/>
  <c r="D25" i="5"/>
  <c r="C25" i="5"/>
  <c r="B25" i="5"/>
  <c r="F24" i="5"/>
  <c r="A24" i="5" s="1"/>
  <c r="E24" i="5"/>
  <c r="D24" i="5"/>
  <c r="C24" i="5"/>
  <c r="B24" i="5"/>
  <c r="F23" i="5"/>
  <c r="A23" i="5" s="1"/>
  <c r="E23" i="5"/>
  <c r="D23" i="5"/>
  <c r="C23" i="5"/>
  <c r="B23" i="5"/>
  <c r="F22" i="5"/>
  <c r="A22" i="5" s="1"/>
  <c r="E22" i="5"/>
  <c r="D22" i="5"/>
  <c r="C22" i="5"/>
  <c r="B22" i="5"/>
  <c r="F21" i="5"/>
  <c r="A21" i="5" s="1"/>
  <c r="E21" i="5"/>
  <c r="D21" i="5"/>
  <c r="C21" i="5"/>
  <c r="B21" i="5"/>
  <c r="F20" i="5"/>
  <c r="A20" i="5" s="1"/>
  <c r="E20" i="5"/>
  <c r="D20" i="5"/>
  <c r="C20" i="5"/>
  <c r="B20" i="5"/>
  <c r="F19" i="5"/>
  <c r="A19" i="5" s="1"/>
  <c r="E19" i="5"/>
  <c r="D19" i="5"/>
  <c r="C19" i="5"/>
  <c r="B19" i="5"/>
  <c r="F18" i="5"/>
  <c r="A18" i="5" s="1"/>
  <c r="E18" i="5"/>
  <c r="D18" i="5"/>
  <c r="C18" i="5"/>
  <c r="B18" i="5"/>
  <c r="F17" i="5"/>
  <c r="A17" i="5" s="1"/>
  <c r="E17" i="5"/>
  <c r="D17" i="5"/>
  <c r="C17" i="5"/>
  <c r="B17" i="5"/>
  <c r="F16" i="5"/>
  <c r="A16" i="5" s="1"/>
  <c r="E16" i="5"/>
  <c r="D16" i="5"/>
  <c r="C16" i="5"/>
  <c r="B16" i="5"/>
  <c r="F15" i="5"/>
  <c r="A15" i="5" s="1"/>
  <c r="E15" i="5"/>
  <c r="D15" i="5"/>
  <c r="C15" i="5"/>
  <c r="B15" i="5"/>
  <c r="F14" i="5"/>
  <c r="A14" i="5" s="1"/>
  <c r="E14" i="5"/>
  <c r="D14" i="5"/>
  <c r="C14" i="5"/>
  <c r="B14" i="5"/>
  <c r="F13" i="5"/>
  <c r="E13" i="5"/>
  <c r="D13" i="5"/>
  <c r="C13" i="5"/>
  <c r="B13" i="5"/>
  <c r="A13" i="5"/>
  <c r="F12" i="5"/>
  <c r="A12" i="5" s="1"/>
  <c r="E12" i="5"/>
  <c r="D12" i="5"/>
  <c r="C12" i="5"/>
  <c r="B12" i="5"/>
  <c r="F11" i="5"/>
  <c r="A11" i="5" s="1"/>
  <c r="E11" i="5"/>
  <c r="D11" i="5"/>
  <c r="C11" i="5"/>
  <c r="B11" i="5"/>
  <c r="F34" i="9"/>
  <c r="A34" i="9" s="1"/>
  <c r="E34" i="9"/>
  <c r="AF34" i="9" s="1"/>
  <c r="D34" i="9"/>
  <c r="AE34" i="9" s="1"/>
  <c r="C34" i="9"/>
  <c r="AD34" i="9" s="1"/>
  <c r="B34" i="9"/>
  <c r="AB34" i="9" s="1"/>
  <c r="F33" i="9"/>
  <c r="A33" i="9" s="1"/>
  <c r="E33" i="9"/>
  <c r="AF33" i="9" s="1"/>
  <c r="D33" i="9"/>
  <c r="AE33" i="9" s="1"/>
  <c r="C33" i="9"/>
  <c r="AD33" i="9" s="1"/>
  <c r="B33" i="9"/>
  <c r="AB33" i="9" s="1"/>
  <c r="F24" i="9"/>
  <c r="A24" i="9" s="1"/>
  <c r="E24" i="9"/>
  <c r="AF24" i="9" s="1"/>
  <c r="D24" i="9"/>
  <c r="AE24" i="9" s="1"/>
  <c r="C24" i="9"/>
  <c r="AD24" i="9" s="1"/>
  <c r="B24" i="9"/>
  <c r="AB24" i="9" s="1"/>
  <c r="F23" i="9"/>
  <c r="A23" i="9" s="1"/>
  <c r="E23" i="9"/>
  <c r="AF23" i="9" s="1"/>
  <c r="D23" i="9"/>
  <c r="AE23" i="9" s="1"/>
  <c r="C23" i="9"/>
  <c r="AD23" i="9" s="1"/>
  <c r="B23" i="9"/>
  <c r="AB23" i="9" s="1"/>
  <c r="AH23" i="9" s="1"/>
  <c r="F14" i="9"/>
  <c r="A14" i="9" s="1"/>
  <c r="E14" i="9"/>
  <c r="AF14" i="9" s="1"/>
  <c r="D14" i="9"/>
  <c r="AE14" i="9" s="1"/>
  <c r="C14" i="9"/>
  <c r="AD14" i="9" s="1"/>
  <c r="B14" i="9"/>
  <c r="AB14" i="9" s="1"/>
  <c r="F13" i="9"/>
  <c r="A13" i="9" s="1"/>
  <c r="E13" i="9"/>
  <c r="AF13" i="9" s="1"/>
  <c r="D13" i="9"/>
  <c r="AE13" i="9" s="1"/>
  <c r="C13" i="9"/>
  <c r="AD13" i="9" s="1"/>
  <c r="B13" i="9"/>
  <c r="AB13" i="9" s="1"/>
  <c r="F12" i="9"/>
  <c r="A12" i="9" s="1"/>
  <c r="E12" i="9"/>
  <c r="AF12" i="9" s="1"/>
  <c r="D12" i="9"/>
  <c r="AE12" i="9" s="1"/>
  <c r="C12" i="9"/>
  <c r="AD12" i="9" s="1"/>
  <c r="B12" i="9"/>
  <c r="AB12" i="9" s="1"/>
  <c r="AH12" i="9" s="1"/>
  <c r="F11" i="9"/>
  <c r="A11" i="9" s="1"/>
  <c r="E11" i="9"/>
  <c r="AF11" i="9" s="1"/>
  <c r="D11" i="9"/>
  <c r="AE11" i="9" s="1"/>
  <c r="C11" i="9"/>
  <c r="AD11" i="9" s="1"/>
  <c r="B11" i="9"/>
  <c r="AB11" i="9" s="1"/>
  <c r="AH33" i="9" l="1"/>
  <c r="AH13" i="9"/>
  <c r="AH34" i="9"/>
  <c r="AH11" i="9"/>
  <c r="AH24" i="9"/>
  <c r="AH14" i="9"/>
  <c r="T2" i="26"/>
  <c r="T30" i="18" s="1"/>
  <c r="G2" i="26"/>
  <c r="G30" i="18" s="1"/>
  <c r="F2" i="26"/>
  <c r="F30" i="18" s="1"/>
  <c r="O2" i="26"/>
  <c r="O30" i="18" s="1"/>
  <c r="N2" i="26"/>
  <c r="N30" i="18" s="1"/>
  <c r="V2" i="26"/>
  <c r="V30" i="18" s="1"/>
  <c r="W2" i="26"/>
  <c r="W30" i="18" s="1"/>
  <c r="E2" i="26"/>
  <c r="E30" i="18" s="1"/>
  <c r="M2" i="26"/>
  <c r="M30" i="18" s="1"/>
  <c r="U2" i="26"/>
  <c r="U30" i="18" s="1"/>
  <c r="H2" i="26"/>
  <c r="H30" i="18" s="1"/>
  <c r="P2" i="26"/>
  <c r="P30" i="18" s="1"/>
  <c r="X2" i="26"/>
  <c r="X30" i="18" s="1"/>
  <c r="B2" i="26"/>
  <c r="B30" i="18" s="1"/>
  <c r="J2" i="26"/>
  <c r="J30" i="18" s="1"/>
  <c r="R2" i="26"/>
  <c r="R30" i="18" s="1"/>
  <c r="Z2" i="26"/>
  <c r="Z30" i="18" s="1"/>
  <c r="C2" i="26"/>
  <c r="C30" i="18" s="1"/>
  <c r="K2" i="26"/>
  <c r="K30" i="18" s="1"/>
  <c r="S2" i="26"/>
  <c r="S30" i="18" s="1"/>
  <c r="I2" i="26"/>
  <c r="I30" i="18" s="1"/>
  <c r="Q2" i="26"/>
  <c r="Q30" i="18" s="1"/>
  <c r="Y2" i="26"/>
  <c r="Y30" i="18" s="1"/>
  <c r="D2" i="26"/>
  <c r="D30" i="18" s="1"/>
  <c r="L2" i="26"/>
  <c r="L30" i="18" s="1"/>
  <c r="B11" i="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J63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R51" i="21"/>
  <c r="I51" i="21"/>
  <c r="I50" i="21"/>
  <c r="Z31" i="21"/>
  <c r="Z70" i="21" s="1"/>
  <c r="Y31" i="21"/>
  <c r="Y70" i="21" s="1"/>
  <c r="X31" i="21"/>
  <c r="X70" i="21" s="1"/>
  <c r="W31" i="21"/>
  <c r="W70" i="21" s="1"/>
  <c r="V31" i="21"/>
  <c r="V70" i="21" s="1"/>
  <c r="U31" i="21"/>
  <c r="U70" i="21" s="1"/>
  <c r="T31" i="21"/>
  <c r="T70" i="21" s="1"/>
  <c r="S31" i="21"/>
  <c r="S70" i="21" s="1"/>
  <c r="R31" i="21"/>
  <c r="R70" i="21" s="1"/>
  <c r="Q31" i="21"/>
  <c r="Q70" i="21" s="1"/>
  <c r="P31" i="21"/>
  <c r="P70" i="21" s="1"/>
  <c r="O31" i="21"/>
  <c r="O70" i="21" s="1"/>
  <c r="N31" i="21"/>
  <c r="N70" i="21" s="1"/>
  <c r="M31" i="21"/>
  <c r="M70" i="21" s="1"/>
  <c r="L31" i="21"/>
  <c r="L70" i="21" s="1"/>
  <c r="K31" i="21"/>
  <c r="K70" i="21" s="1"/>
  <c r="J31" i="21"/>
  <c r="J70" i="21" s="1"/>
  <c r="Z30" i="21"/>
  <c r="Z69" i="21" s="1"/>
  <c r="Y30" i="21"/>
  <c r="Y69" i="21" s="1"/>
  <c r="X30" i="21"/>
  <c r="X69" i="21" s="1"/>
  <c r="W30" i="21"/>
  <c r="W69" i="21" s="1"/>
  <c r="V30" i="21"/>
  <c r="V69" i="21" s="1"/>
  <c r="U30" i="21"/>
  <c r="U69" i="21" s="1"/>
  <c r="T30" i="21"/>
  <c r="T69" i="21" s="1"/>
  <c r="S30" i="21"/>
  <c r="S69" i="21" s="1"/>
  <c r="R30" i="21"/>
  <c r="R69" i="21" s="1"/>
  <c r="Q30" i="21"/>
  <c r="Q69" i="21" s="1"/>
  <c r="P30" i="21"/>
  <c r="P69" i="21" s="1"/>
  <c r="O30" i="21"/>
  <c r="O69" i="21" s="1"/>
  <c r="N30" i="21"/>
  <c r="N69" i="21" s="1"/>
  <c r="M30" i="21"/>
  <c r="M69" i="21" s="1"/>
  <c r="L30" i="21"/>
  <c r="L69" i="21" s="1"/>
  <c r="K30" i="21"/>
  <c r="K69" i="21" s="1"/>
  <c r="J30" i="21"/>
  <c r="J69" i="21" s="1"/>
  <c r="Z24" i="21"/>
  <c r="Z63" i="21" s="1"/>
  <c r="Y24" i="21"/>
  <c r="Y63" i="21" s="1"/>
  <c r="X24" i="21"/>
  <c r="X63" i="21" s="1"/>
  <c r="W24" i="21"/>
  <c r="W63" i="21" s="1"/>
  <c r="V24" i="21"/>
  <c r="V63" i="21" s="1"/>
  <c r="U24" i="21"/>
  <c r="U63" i="21" s="1"/>
  <c r="T24" i="21"/>
  <c r="T63" i="21" s="1"/>
  <c r="S24" i="21"/>
  <c r="S63" i="21" s="1"/>
  <c r="R24" i="21"/>
  <c r="R63" i="21" s="1"/>
  <c r="Q24" i="21"/>
  <c r="Q63" i="21" s="1"/>
  <c r="P24" i="21"/>
  <c r="P63" i="21" s="1"/>
  <c r="O24" i="21"/>
  <c r="O63" i="21" s="1"/>
  <c r="N24" i="21"/>
  <c r="N63" i="21" s="1"/>
  <c r="M24" i="21"/>
  <c r="M63" i="21" s="1"/>
  <c r="L24" i="21"/>
  <c r="L63" i="21" s="1"/>
  <c r="K24" i="21"/>
  <c r="K63" i="21" s="1"/>
  <c r="J24" i="21"/>
  <c r="Z23" i="21"/>
  <c r="Z62" i="21" s="1"/>
  <c r="Y23" i="21"/>
  <c r="Y62" i="21" s="1"/>
  <c r="X23" i="21"/>
  <c r="X62" i="21" s="1"/>
  <c r="W23" i="21"/>
  <c r="W62" i="21" s="1"/>
  <c r="V23" i="21"/>
  <c r="V62" i="21" s="1"/>
  <c r="U23" i="21"/>
  <c r="U62" i="21" s="1"/>
  <c r="T23" i="21"/>
  <c r="T62" i="21" s="1"/>
  <c r="S23" i="21"/>
  <c r="S62" i="21" s="1"/>
  <c r="R23" i="21"/>
  <c r="R62" i="21" s="1"/>
  <c r="Q23" i="21"/>
  <c r="Q62" i="21" s="1"/>
  <c r="P23" i="21"/>
  <c r="P62" i="21" s="1"/>
  <c r="O23" i="21"/>
  <c r="O62" i="21" s="1"/>
  <c r="N23" i="21"/>
  <c r="N62" i="21" s="1"/>
  <c r="M23" i="21"/>
  <c r="M62" i="21" s="1"/>
  <c r="L23" i="21"/>
  <c r="L62" i="21" s="1"/>
  <c r="K23" i="21"/>
  <c r="K62" i="21" s="1"/>
  <c r="J23" i="21"/>
  <c r="J62" i="21" s="1"/>
  <c r="Z18" i="21"/>
  <c r="Z57" i="21" s="1"/>
  <c r="Y18" i="21"/>
  <c r="Y57" i="21" s="1"/>
  <c r="X18" i="21"/>
  <c r="X57" i="21" s="1"/>
  <c r="W18" i="21"/>
  <c r="W57" i="21" s="1"/>
  <c r="V18" i="21"/>
  <c r="V57" i="21" s="1"/>
  <c r="U18" i="21"/>
  <c r="U57" i="21" s="1"/>
  <c r="T18" i="21"/>
  <c r="T57" i="21" s="1"/>
  <c r="S18" i="21"/>
  <c r="S57" i="21" s="1"/>
  <c r="R18" i="21"/>
  <c r="R57" i="21" s="1"/>
  <c r="Q18" i="21"/>
  <c r="Q57" i="21" s="1"/>
  <c r="P18" i="21"/>
  <c r="P57" i="21" s="1"/>
  <c r="O18" i="21"/>
  <c r="O57" i="21" s="1"/>
  <c r="N18" i="21"/>
  <c r="N57" i="21" s="1"/>
  <c r="M18" i="21"/>
  <c r="M57" i="21" s="1"/>
  <c r="L18" i="21"/>
  <c r="L57" i="21" s="1"/>
  <c r="K18" i="21"/>
  <c r="K57" i="21" s="1"/>
  <c r="J18" i="21"/>
  <c r="J57" i="21" s="1"/>
  <c r="Z17" i="21"/>
  <c r="Z56" i="21" s="1"/>
  <c r="Y17" i="21"/>
  <c r="Y56" i="21" s="1"/>
  <c r="X17" i="21"/>
  <c r="X56" i="21" s="1"/>
  <c r="W17" i="21"/>
  <c r="W56" i="21" s="1"/>
  <c r="V17" i="21"/>
  <c r="V56" i="21" s="1"/>
  <c r="U17" i="21"/>
  <c r="U56" i="21" s="1"/>
  <c r="T17" i="21"/>
  <c r="T56" i="21" s="1"/>
  <c r="S17" i="21"/>
  <c r="S56" i="21" s="1"/>
  <c r="R17" i="21"/>
  <c r="R56" i="21" s="1"/>
  <c r="Q17" i="21"/>
  <c r="Q56" i="21" s="1"/>
  <c r="P17" i="21"/>
  <c r="P56" i="21" s="1"/>
  <c r="O17" i="21"/>
  <c r="O56" i="21" s="1"/>
  <c r="N17" i="21"/>
  <c r="N56" i="21" s="1"/>
  <c r="M17" i="21"/>
  <c r="M56" i="21" s="1"/>
  <c r="L17" i="21"/>
  <c r="L56" i="21" s="1"/>
  <c r="K17" i="21"/>
  <c r="K56" i="21" s="1"/>
  <c r="J17" i="21"/>
  <c r="J56" i="21" s="1"/>
  <c r="Z12" i="21"/>
  <c r="Z51" i="21" s="1"/>
  <c r="Y12" i="21"/>
  <c r="Y51" i="21" s="1"/>
  <c r="X12" i="21"/>
  <c r="X51" i="21" s="1"/>
  <c r="W12" i="21"/>
  <c r="W51" i="21" s="1"/>
  <c r="V12" i="21"/>
  <c r="V51" i="21" s="1"/>
  <c r="U12" i="21"/>
  <c r="U51" i="21" s="1"/>
  <c r="T12" i="21"/>
  <c r="T51" i="21" s="1"/>
  <c r="S12" i="21"/>
  <c r="S51" i="21" s="1"/>
  <c r="R12" i="21"/>
  <c r="Q12" i="21"/>
  <c r="Q51" i="21" s="1"/>
  <c r="P12" i="21"/>
  <c r="P51" i="21" s="1"/>
  <c r="O12" i="21"/>
  <c r="O51" i="21" s="1"/>
  <c r="N12" i="21"/>
  <c r="N51" i="21" s="1"/>
  <c r="M12" i="21"/>
  <c r="M51" i="21" s="1"/>
  <c r="L12" i="21"/>
  <c r="L51" i="21" s="1"/>
  <c r="K12" i="21"/>
  <c r="K51" i="21" s="1"/>
  <c r="J12" i="21"/>
  <c r="J51" i="21" s="1"/>
  <c r="Z11" i="21"/>
  <c r="Z50" i="21" s="1"/>
  <c r="Y11" i="21"/>
  <c r="Y50" i="21" s="1"/>
  <c r="X11" i="21"/>
  <c r="X50" i="21" s="1"/>
  <c r="W11" i="21"/>
  <c r="W50" i="21" s="1"/>
  <c r="V11" i="21"/>
  <c r="V50" i="21" s="1"/>
  <c r="U11" i="21"/>
  <c r="U50" i="21" s="1"/>
  <c r="T11" i="21"/>
  <c r="T50" i="21" s="1"/>
  <c r="S11" i="21"/>
  <c r="S50" i="21" s="1"/>
  <c r="R11" i="21"/>
  <c r="R50" i="21" s="1"/>
  <c r="Q11" i="21"/>
  <c r="Q50" i="21" s="1"/>
  <c r="P11" i="21"/>
  <c r="P50" i="21" s="1"/>
  <c r="O11" i="21"/>
  <c r="O50" i="21" s="1"/>
  <c r="N11" i="21"/>
  <c r="N50" i="21" s="1"/>
  <c r="M11" i="21"/>
  <c r="M50" i="21" s="1"/>
  <c r="L11" i="21"/>
  <c r="L50" i="21" s="1"/>
  <c r="K11" i="21"/>
  <c r="K50" i="21" s="1"/>
  <c r="J11" i="21"/>
  <c r="J50" i="21" s="1"/>
  <c r="J13" i="21"/>
  <c r="J52" i="21" s="1"/>
  <c r="F35" i="7"/>
  <c r="A35" i="7" s="1"/>
  <c r="E35" i="7"/>
  <c r="D35" i="7"/>
  <c r="C35" i="7"/>
  <c r="B35" i="7"/>
  <c r="F34" i="7"/>
  <c r="A34" i="7" s="1"/>
  <c r="E34" i="7"/>
  <c r="D34" i="7"/>
  <c r="C34" i="7"/>
  <c r="B34" i="7"/>
  <c r="F33" i="7"/>
  <c r="A33" i="7" s="1"/>
  <c r="E33" i="7"/>
  <c r="D33" i="7"/>
  <c r="C33" i="7"/>
  <c r="B33" i="7"/>
  <c r="F32" i="7"/>
  <c r="A32" i="7" s="1"/>
  <c r="E32" i="7"/>
  <c r="D32" i="7"/>
  <c r="C32" i="7"/>
  <c r="B32" i="7"/>
  <c r="F31" i="7"/>
  <c r="E31" i="7"/>
  <c r="D31" i="7"/>
  <c r="C31" i="7"/>
  <c r="B31" i="7"/>
  <c r="A31" i="7"/>
  <c r="F30" i="7"/>
  <c r="A30" i="7" s="1"/>
  <c r="E30" i="7"/>
  <c r="D30" i="7"/>
  <c r="C30" i="7"/>
  <c r="B30" i="7"/>
  <c r="F29" i="7"/>
  <c r="A29" i="7" s="1"/>
  <c r="E29" i="7"/>
  <c r="D29" i="7"/>
  <c r="C29" i="7"/>
  <c r="B29" i="7"/>
  <c r="F28" i="7"/>
  <c r="A28" i="7" s="1"/>
  <c r="E28" i="7"/>
  <c r="D28" i="7"/>
  <c r="C28" i="7"/>
  <c r="B28" i="7"/>
  <c r="F27" i="7"/>
  <c r="A27" i="7" s="1"/>
  <c r="E27" i="7"/>
  <c r="D27" i="7"/>
  <c r="C27" i="7"/>
  <c r="B27" i="7"/>
  <c r="F26" i="7"/>
  <c r="A26" i="7" s="1"/>
  <c r="E26" i="7"/>
  <c r="D26" i="7"/>
  <c r="C26" i="7"/>
  <c r="B26" i="7"/>
  <c r="F25" i="7"/>
  <c r="A25" i="7" s="1"/>
  <c r="E25" i="7"/>
  <c r="D25" i="7"/>
  <c r="C25" i="7"/>
  <c r="B25" i="7"/>
  <c r="F24" i="7"/>
  <c r="A24" i="7" s="1"/>
  <c r="E24" i="7"/>
  <c r="D24" i="7"/>
  <c r="C24" i="7"/>
  <c r="B24" i="7"/>
  <c r="F23" i="7"/>
  <c r="A23" i="7" s="1"/>
  <c r="E23" i="7"/>
  <c r="D23" i="7"/>
  <c r="C23" i="7"/>
  <c r="B23" i="7"/>
  <c r="F22" i="7"/>
  <c r="E22" i="7"/>
  <c r="D22" i="7"/>
  <c r="C22" i="7"/>
  <c r="B22" i="7"/>
  <c r="A22" i="7"/>
  <c r="F21" i="7"/>
  <c r="A21" i="7" s="1"/>
  <c r="E21" i="7"/>
  <c r="D21" i="7"/>
  <c r="C21" i="7"/>
  <c r="B21" i="7"/>
  <c r="F20" i="7"/>
  <c r="A20" i="7" s="1"/>
  <c r="E20" i="7"/>
  <c r="D20" i="7"/>
  <c r="C20" i="7"/>
  <c r="B20" i="7"/>
  <c r="F19" i="7"/>
  <c r="A19" i="7" s="1"/>
  <c r="E19" i="7"/>
  <c r="D19" i="7"/>
  <c r="C19" i="7"/>
  <c r="B19" i="7"/>
  <c r="F18" i="7"/>
  <c r="A18" i="7" s="1"/>
  <c r="E18" i="7"/>
  <c r="D18" i="7"/>
  <c r="C18" i="7"/>
  <c r="B18" i="7"/>
  <c r="F17" i="7"/>
  <c r="A17" i="7" s="1"/>
  <c r="E17" i="7"/>
  <c r="D17" i="7"/>
  <c r="C17" i="7"/>
  <c r="B17" i="7"/>
  <c r="F16" i="7"/>
  <c r="A16" i="7" s="1"/>
  <c r="E16" i="7"/>
  <c r="D16" i="7"/>
  <c r="C16" i="7"/>
  <c r="B16" i="7"/>
  <c r="F15" i="7"/>
  <c r="A15" i="7" s="1"/>
  <c r="E15" i="7"/>
  <c r="D15" i="7"/>
  <c r="C15" i="7"/>
  <c r="B15" i="7"/>
  <c r="F14" i="7"/>
  <c r="A14" i="7" s="1"/>
  <c r="E14" i="7"/>
  <c r="D14" i="7"/>
  <c r="C14" i="7"/>
  <c r="B14" i="7"/>
  <c r="F13" i="7"/>
  <c r="A13" i="7" s="1"/>
  <c r="E13" i="7"/>
  <c r="D13" i="7"/>
  <c r="C13" i="7"/>
  <c r="B13" i="7"/>
  <c r="F12" i="7"/>
  <c r="A12" i="7" s="1"/>
  <c r="E12" i="7"/>
  <c r="D12" i="7"/>
  <c r="C12" i="7"/>
  <c r="B12" i="7"/>
  <c r="F11" i="7"/>
  <c r="A11" i="7" s="1"/>
  <c r="E11" i="7"/>
  <c r="D11" i="7"/>
  <c r="C11" i="7"/>
  <c r="B11" i="7"/>
  <c r="F35" i="3"/>
  <c r="A35" i="3" s="1"/>
  <c r="E35" i="3"/>
  <c r="D35" i="3"/>
  <c r="C35" i="3"/>
  <c r="B35" i="3"/>
  <c r="F34" i="3"/>
  <c r="A34" i="3" s="1"/>
  <c r="E34" i="3"/>
  <c r="D34" i="3"/>
  <c r="C34" i="3"/>
  <c r="B34" i="3"/>
  <c r="F33" i="3"/>
  <c r="A33" i="3" s="1"/>
  <c r="E33" i="3"/>
  <c r="D33" i="3"/>
  <c r="C33" i="3"/>
  <c r="B33" i="3"/>
  <c r="F32" i="3"/>
  <c r="A32" i="3" s="1"/>
  <c r="E32" i="3"/>
  <c r="D32" i="3"/>
  <c r="C32" i="3"/>
  <c r="B32" i="3"/>
  <c r="F31" i="3"/>
  <c r="A31" i="3" s="1"/>
  <c r="E31" i="3"/>
  <c r="D31" i="3"/>
  <c r="C31" i="3"/>
  <c r="B31" i="3"/>
  <c r="F30" i="3"/>
  <c r="A30" i="3" s="1"/>
  <c r="E30" i="3"/>
  <c r="D30" i="3"/>
  <c r="C30" i="3"/>
  <c r="B30" i="3"/>
  <c r="F29" i="3"/>
  <c r="A29" i="3" s="1"/>
  <c r="E29" i="3"/>
  <c r="D29" i="3"/>
  <c r="C29" i="3"/>
  <c r="B29" i="3"/>
  <c r="F28" i="3"/>
  <c r="A28" i="3" s="1"/>
  <c r="E28" i="3"/>
  <c r="D28" i="3"/>
  <c r="C28" i="3"/>
  <c r="B28" i="3"/>
  <c r="F27" i="3"/>
  <c r="A27" i="3" s="1"/>
  <c r="E27" i="3"/>
  <c r="D27" i="3"/>
  <c r="C27" i="3"/>
  <c r="B27" i="3"/>
  <c r="F26" i="3"/>
  <c r="A26" i="3" s="1"/>
  <c r="E26" i="3"/>
  <c r="D26" i="3"/>
  <c r="C26" i="3"/>
  <c r="B26" i="3"/>
  <c r="F25" i="3"/>
  <c r="A25" i="3" s="1"/>
  <c r="E25" i="3"/>
  <c r="D25" i="3"/>
  <c r="C25" i="3"/>
  <c r="B25" i="3"/>
  <c r="F24" i="3"/>
  <c r="A24" i="3" s="1"/>
  <c r="E24" i="3"/>
  <c r="D24" i="3"/>
  <c r="C24" i="3"/>
  <c r="B24" i="3"/>
  <c r="F23" i="3"/>
  <c r="A23" i="3" s="1"/>
  <c r="E23" i="3"/>
  <c r="D23" i="3"/>
  <c r="C23" i="3"/>
  <c r="B23" i="3"/>
  <c r="F22" i="3"/>
  <c r="A22" i="3" s="1"/>
  <c r="E22" i="3"/>
  <c r="D22" i="3"/>
  <c r="C22" i="3"/>
  <c r="B22" i="3"/>
  <c r="F21" i="3"/>
  <c r="A21" i="3" s="1"/>
  <c r="E21" i="3"/>
  <c r="D21" i="3"/>
  <c r="C21" i="3"/>
  <c r="B21" i="3"/>
  <c r="F20" i="3"/>
  <c r="A20" i="3" s="1"/>
  <c r="E20" i="3"/>
  <c r="D20" i="3"/>
  <c r="C20" i="3"/>
  <c r="B20" i="3"/>
  <c r="F19" i="3"/>
  <c r="A19" i="3" s="1"/>
  <c r="E19" i="3"/>
  <c r="D19" i="3"/>
  <c r="C19" i="3"/>
  <c r="B19" i="3"/>
  <c r="F18" i="3"/>
  <c r="A18" i="3" s="1"/>
  <c r="E18" i="3"/>
  <c r="D18" i="3"/>
  <c r="C18" i="3"/>
  <c r="B18" i="3"/>
  <c r="F17" i="3"/>
  <c r="A17" i="3" s="1"/>
  <c r="E17" i="3"/>
  <c r="D17" i="3"/>
  <c r="C17" i="3"/>
  <c r="B17" i="3"/>
  <c r="F16" i="3"/>
  <c r="A16" i="3" s="1"/>
  <c r="E16" i="3"/>
  <c r="D16" i="3"/>
  <c r="C16" i="3"/>
  <c r="B16" i="3"/>
  <c r="F15" i="3"/>
  <c r="E15" i="3"/>
  <c r="D15" i="3"/>
  <c r="C15" i="3"/>
  <c r="B15" i="3"/>
  <c r="A15" i="3"/>
  <c r="F14" i="3"/>
  <c r="A14" i="3" s="1"/>
  <c r="E14" i="3"/>
  <c r="D14" i="3"/>
  <c r="C14" i="3"/>
  <c r="B14" i="3"/>
  <c r="F13" i="3"/>
  <c r="A13" i="3" s="1"/>
  <c r="E13" i="3"/>
  <c r="D13" i="3"/>
  <c r="C13" i="3"/>
  <c r="B13" i="3"/>
  <c r="F12" i="3"/>
  <c r="A12" i="3" s="1"/>
  <c r="E12" i="3"/>
  <c r="D12" i="3"/>
  <c r="C12" i="3"/>
  <c r="B12" i="3"/>
  <c r="F11" i="3"/>
  <c r="A11" i="3" s="1"/>
  <c r="E11" i="3"/>
  <c r="D11" i="3"/>
  <c r="C11" i="3"/>
  <c r="B11" i="3"/>
  <c r="F35" i="21"/>
  <c r="A35" i="21" s="1"/>
  <c r="E35" i="21"/>
  <c r="D35" i="21"/>
  <c r="C35" i="21"/>
  <c r="B35" i="21"/>
  <c r="F34" i="21"/>
  <c r="A34" i="21" s="1"/>
  <c r="E34" i="21"/>
  <c r="D34" i="21"/>
  <c r="C34" i="21"/>
  <c r="B34" i="21"/>
  <c r="F33" i="21"/>
  <c r="A33" i="21" s="1"/>
  <c r="E33" i="21"/>
  <c r="D33" i="21"/>
  <c r="C33" i="21"/>
  <c r="B33" i="21"/>
  <c r="F32" i="21"/>
  <c r="A32" i="21" s="1"/>
  <c r="E32" i="21"/>
  <c r="D32" i="21"/>
  <c r="C32" i="21"/>
  <c r="B32" i="21"/>
  <c r="F31" i="21"/>
  <c r="E31" i="21"/>
  <c r="D31" i="21"/>
  <c r="C31" i="21"/>
  <c r="B31" i="21"/>
  <c r="A31" i="21"/>
  <c r="F30" i="21"/>
  <c r="A30" i="21" s="1"/>
  <c r="E30" i="21"/>
  <c r="D30" i="21"/>
  <c r="C30" i="21"/>
  <c r="B30" i="21"/>
  <c r="F29" i="21"/>
  <c r="A29" i="21" s="1"/>
  <c r="E29" i="21"/>
  <c r="D29" i="21"/>
  <c r="C29" i="21"/>
  <c r="B29" i="21"/>
  <c r="F28" i="21"/>
  <c r="A28" i="21" s="1"/>
  <c r="E28" i="21"/>
  <c r="D28" i="21"/>
  <c r="C28" i="21"/>
  <c r="B28" i="21"/>
  <c r="F27" i="21"/>
  <c r="A27" i="21" s="1"/>
  <c r="E27" i="21"/>
  <c r="D27" i="21"/>
  <c r="C27" i="21"/>
  <c r="B27" i="21"/>
  <c r="F26" i="21"/>
  <c r="A26" i="21" s="1"/>
  <c r="E26" i="21"/>
  <c r="D26" i="21"/>
  <c r="C26" i="21"/>
  <c r="B26" i="21"/>
  <c r="F25" i="21"/>
  <c r="A25" i="21" s="1"/>
  <c r="E25" i="21"/>
  <c r="D25" i="21"/>
  <c r="C25" i="21"/>
  <c r="B25" i="21"/>
  <c r="F24" i="21"/>
  <c r="A24" i="21" s="1"/>
  <c r="E24" i="21"/>
  <c r="D24" i="21"/>
  <c r="C24" i="21"/>
  <c r="B24" i="21"/>
  <c r="F23" i="21"/>
  <c r="A23" i="21" s="1"/>
  <c r="E23" i="21"/>
  <c r="D23" i="21"/>
  <c r="C23" i="21"/>
  <c r="B23" i="21"/>
  <c r="F22" i="21"/>
  <c r="A22" i="21" s="1"/>
  <c r="E22" i="21"/>
  <c r="D22" i="21"/>
  <c r="C22" i="21"/>
  <c r="B22" i="21"/>
  <c r="F21" i="21"/>
  <c r="A21" i="21" s="1"/>
  <c r="E21" i="21"/>
  <c r="D21" i="21"/>
  <c r="C21" i="21"/>
  <c r="B21" i="21"/>
  <c r="F20" i="21"/>
  <c r="A20" i="21" s="1"/>
  <c r="E20" i="21"/>
  <c r="D20" i="21"/>
  <c r="C20" i="21"/>
  <c r="B20" i="21"/>
  <c r="F19" i="21"/>
  <c r="A19" i="21" s="1"/>
  <c r="E19" i="21"/>
  <c r="D19" i="21"/>
  <c r="C19" i="21"/>
  <c r="B19" i="21"/>
  <c r="F18" i="21"/>
  <c r="A18" i="21" s="1"/>
  <c r="E18" i="21"/>
  <c r="D18" i="21"/>
  <c r="C18" i="21"/>
  <c r="B18" i="21"/>
  <c r="F17" i="21"/>
  <c r="A17" i="21" s="1"/>
  <c r="E17" i="21"/>
  <c r="D17" i="21"/>
  <c r="C17" i="21"/>
  <c r="B17" i="21"/>
  <c r="F16" i="21"/>
  <c r="A16" i="21" s="1"/>
  <c r="E16" i="21"/>
  <c r="D16" i="21"/>
  <c r="C16" i="21"/>
  <c r="B16" i="21"/>
  <c r="F15" i="21"/>
  <c r="E15" i="21"/>
  <c r="D15" i="21"/>
  <c r="C15" i="21"/>
  <c r="B15" i="21"/>
  <c r="A15" i="21"/>
  <c r="F14" i="21"/>
  <c r="A14" i="21" s="1"/>
  <c r="E14" i="21"/>
  <c r="D14" i="21"/>
  <c r="C14" i="21"/>
  <c r="B14" i="21"/>
  <c r="F13" i="21"/>
  <c r="A13" i="21" s="1"/>
  <c r="E13" i="21"/>
  <c r="D13" i="21"/>
  <c r="C13" i="21"/>
  <c r="B13" i="21"/>
  <c r="F12" i="21"/>
  <c r="A12" i="21" s="1"/>
  <c r="E12" i="21"/>
  <c r="D12" i="21"/>
  <c r="C12" i="21"/>
  <c r="B12" i="21"/>
  <c r="F11" i="21"/>
  <c r="A11" i="21" s="1"/>
  <c r="E11" i="21"/>
  <c r="D11" i="21"/>
  <c r="C11" i="21"/>
  <c r="B11" i="21"/>
  <c r="F35" i="2"/>
  <c r="A35" i="2" s="1"/>
  <c r="E35" i="2"/>
  <c r="D35" i="2"/>
  <c r="C35" i="2"/>
  <c r="B35" i="2"/>
  <c r="F34" i="2"/>
  <c r="A34" i="2" s="1"/>
  <c r="E34" i="2"/>
  <c r="D34" i="2"/>
  <c r="C34" i="2"/>
  <c r="B34" i="2"/>
  <c r="F33" i="2"/>
  <c r="A33" i="2" s="1"/>
  <c r="E33" i="2"/>
  <c r="D33" i="2"/>
  <c r="C33" i="2"/>
  <c r="B33" i="2"/>
  <c r="F32" i="2"/>
  <c r="E32" i="2"/>
  <c r="D32" i="2"/>
  <c r="C32" i="2"/>
  <c r="B32" i="2"/>
  <c r="A32" i="2"/>
  <c r="F31" i="2"/>
  <c r="A31" i="2" s="1"/>
  <c r="E31" i="2"/>
  <c r="D31" i="2"/>
  <c r="C31" i="2"/>
  <c r="B31" i="2"/>
  <c r="F30" i="2"/>
  <c r="A30" i="2" s="1"/>
  <c r="E30" i="2"/>
  <c r="D30" i="2"/>
  <c r="C30" i="2"/>
  <c r="B30" i="2"/>
  <c r="F29" i="2"/>
  <c r="A29" i="2" s="1"/>
  <c r="E29" i="2"/>
  <c r="D29" i="2"/>
  <c r="C29" i="2"/>
  <c r="B29" i="2"/>
  <c r="F28" i="2"/>
  <c r="A28" i="2" s="1"/>
  <c r="E28" i="2"/>
  <c r="D28" i="2"/>
  <c r="C28" i="2"/>
  <c r="B28" i="2"/>
  <c r="F27" i="2"/>
  <c r="A27" i="2" s="1"/>
  <c r="E27" i="2"/>
  <c r="D27" i="2"/>
  <c r="C27" i="2"/>
  <c r="B27" i="2"/>
  <c r="F26" i="2"/>
  <c r="A26" i="2" s="1"/>
  <c r="E26" i="2"/>
  <c r="D26" i="2"/>
  <c r="C26" i="2"/>
  <c r="B26" i="2"/>
  <c r="F25" i="2"/>
  <c r="A25" i="2" s="1"/>
  <c r="E25" i="2"/>
  <c r="D25" i="2"/>
  <c r="C25" i="2"/>
  <c r="B25" i="2"/>
  <c r="F24" i="2"/>
  <c r="A24" i="2" s="1"/>
  <c r="E24" i="2"/>
  <c r="D24" i="2"/>
  <c r="C24" i="2"/>
  <c r="B24" i="2"/>
  <c r="F23" i="2"/>
  <c r="E23" i="2"/>
  <c r="D23" i="2"/>
  <c r="C23" i="2"/>
  <c r="B23" i="2"/>
  <c r="A23" i="2"/>
  <c r="F22" i="2"/>
  <c r="A22" i="2" s="1"/>
  <c r="E22" i="2"/>
  <c r="D22" i="2"/>
  <c r="C22" i="2"/>
  <c r="B22" i="2"/>
  <c r="F21" i="2"/>
  <c r="A21" i="2" s="1"/>
  <c r="E21" i="2"/>
  <c r="D21" i="2"/>
  <c r="C21" i="2"/>
  <c r="B21" i="2"/>
  <c r="F20" i="2"/>
  <c r="A20" i="2" s="1"/>
  <c r="E20" i="2"/>
  <c r="D20" i="2"/>
  <c r="C20" i="2"/>
  <c r="B20" i="2"/>
  <c r="F19" i="2"/>
  <c r="A19" i="2" s="1"/>
  <c r="E19" i="2"/>
  <c r="D19" i="2"/>
  <c r="C19" i="2"/>
  <c r="B19" i="2"/>
  <c r="F18" i="2"/>
  <c r="A18" i="2" s="1"/>
  <c r="E18" i="2"/>
  <c r="D18" i="2"/>
  <c r="C18" i="2"/>
  <c r="B18" i="2"/>
  <c r="F17" i="2"/>
  <c r="A17" i="2" s="1"/>
  <c r="E17" i="2"/>
  <c r="D17" i="2"/>
  <c r="C17" i="2"/>
  <c r="B17" i="2"/>
  <c r="F16" i="2"/>
  <c r="A16" i="2" s="1"/>
  <c r="E16" i="2"/>
  <c r="D16" i="2"/>
  <c r="C16" i="2"/>
  <c r="B16" i="2"/>
  <c r="F15" i="2"/>
  <c r="A15" i="2" s="1"/>
  <c r="E15" i="2"/>
  <c r="D15" i="2"/>
  <c r="C15" i="2"/>
  <c r="B15" i="2"/>
  <c r="F14" i="2"/>
  <c r="E14" i="2"/>
  <c r="D14" i="2"/>
  <c r="C14" i="2"/>
  <c r="B14" i="2"/>
  <c r="A14" i="2"/>
  <c r="F13" i="2"/>
  <c r="A13" i="2" s="1"/>
  <c r="E13" i="2"/>
  <c r="D13" i="2"/>
  <c r="C13" i="2"/>
  <c r="B13" i="2"/>
  <c r="F12" i="2"/>
  <c r="A12" i="2" s="1"/>
  <c r="E12" i="2"/>
  <c r="D12" i="2"/>
  <c r="C12" i="2"/>
  <c r="B12" i="2"/>
  <c r="F11" i="2"/>
  <c r="A11" i="2" s="1"/>
  <c r="E11" i="2"/>
  <c r="D11" i="2"/>
  <c r="C11" i="2"/>
  <c r="B11" i="2"/>
  <c r="F31" i="20" l="1"/>
  <c r="A31" i="20" s="1"/>
  <c r="E31" i="20"/>
  <c r="D31" i="20"/>
  <c r="C31" i="20"/>
  <c r="B31" i="20"/>
  <c r="F30" i="20"/>
  <c r="A30" i="20" s="1"/>
  <c r="E30" i="20"/>
  <c r="D30" i="20"/>
  <c r="C30" i="20"/>
  <c r="B30" i="20"/>
  <c r="F24" i="20"/>
  <c r="A24" i="20" s="1"/>
  <c r="E24" i="20"/>
  <c r="D24" i="20"/>
  <c r="C24" i="20"/>
  <c r="B24" i="20"/>
  <c r="F23" i="20"/>
  <c r="A23" i="20" s="1"/>
  <c r="E23" i="20"/>
  <c r="D23" i="20"/>
  <c r="C23" i="20"/>
  <c r="B23" i="20"/>
  <c r="F18" i="20"/>
  <c r="A18" i="20" s="1"/>
  <c r="E18" i="20"/>
  <c r="D18" i="20"/>
  <c r="C18" i="20"/>
  <c r="B18" i="20"/>
  <c r="F17" i="20"/>
  <c r="A17" i="20" s="1"/>
  <c r="E17" i="20"/>
  <c r="D17" i="20"/>
  <c r="C17" i="20"/>
  <c r="B17" i="20"/>
  <c r="F12" i="20"/>
  <c r="A12" i="20" s="1"/>
  <c r="E12" i="20"/>
  <c r="D12" i="20"/>
  <c r="C12" i="20"/>
  <c r="B12" i="20"/>
  <c r="F11" i="20"/>
  <c r="A11" i="20" s="1"/>
  <c r="E11" i="20"/>
  <c r="D11" i="20"/>
  <c r="C11" i="20"/>
  <c r="B11" i="20"/>
  <c r="F31" i="1"/>
  <c r="A31" i="1" s="1"/>
  <c r="E31" i="1"/>
  <c r="D31" i="1"/>
  <c r="C31" i="1"/>
  <c r="B31" i="1"/>
  <c r="F30" i="1"/>
  <c r="A30" i="1" s="1"/>
  <c r="E30" i="1"/>
  <c r="D30" i="1"/>
  <c r="C30" i="1"/>
  <c r="B30" i="1"/>
  <c r="F24" i="1"/>
  <c r="A24" i="1" s="1"/>
  <c r="E24" i="1"/>
  <c r="D24" i="1"/>
  <c r="C24" i="1"/>
  <c r="B24" i="1"/>
  <c r="F23" i="1"/>
  <c r="A23" i="1" s="1"/>
  <c r="E23" i="1"/>
  <c r="D23" i="1"/>
  <c r="C23" i="1"/>
  <c r="B23" i="1"/>
  <c r="F18" i="1"/>
  <c r="A18" i="1" s="1"/>
  <c r="E18" i="1"/>
  <c r="D18" i="1"/>
  <c r="C18" i="1"/>
  <c r="B18" i="1"/>
  <c r="F17" i="1"/>
  <c r="A17" i="1" s="1"/>
  <c r="E17" i="1"/>
  <c r="D17" i="1"/>
  <c r="C17" i="1"/>
  <c r="B17" i="1"/>
  <c r="F11" i="1"/>
  <c r="A11" i="1" s="1"/>
  <c r="E11" i="1"/>
  <c r="D11" i="1"/>
  <c r="C11" i="1"/>
  <c r="F12" i="1"/>
  <c r="A12" i="1" s="1"/>
  <c r="E12" i="1"/>
  <c r="D12" i="1"/>
  <c r="C12" i="1"/>
  <c r="B12" i="1"/>
  <c r="E49" i="16"/>
  <c r="D49" i="16"/>
  <c r="C49" i="16"/>
  <c r="E48" i="16"/>
  <c r="D48" i="16"/>
  <c r="C48" i="16"/>
  <c r="E47" i="16"/>
  <c r="D47" i="16"/>
  <c r="C47" i="16"/>
  <c r="E46" i="16"/>
  <c r="D46" i="16"/>
  <c r="C46" i="16"/>
  <c r="E35" i="15"/>
  <c r="E49" i="15"/>
  <c r="D49" i="15"/>
  <c r="C49" i="15"/>
  <c r="E48" i="15"/>
  <c r="D48" i="15"/>
  <c r="C48" i="15"/>
  <c r="E47" i="15"/>
  <c r="D47" i="15"/>
  <c r="C47" i="15"/>
  <c r="E46" i="15"/>
  <c r="D46" i="15"/>
  <c r="C46" i="15"/>
  <c r="E45" i="15"/>
  <c r="D45" i="15"/>
  <c r="C45" i="15"/>
  <c r="E44" i="15"/>
  <c r="D44" i="15"/>
  <c r="C44" i="15"/>
  <c r="E43" i="15"/>
  <c r="D43" i="15"/>
  <c r="C43" i="15"/>
  <c r="E42" i="15"/>
  <c r="D42" i="15"/>
  <c r="C42" i="15"/>
  <c r="E39" i="15"/>
  <c r="D39" i="15"/>
  <c r="C39" i="15"/>
  <c r="E38" i="15"/>
  <c r="D38" i="15"/>
  <c r="C38" i="15"/>
  <c r="E37" i="15"/>
  <c r="D37" i="15"/>
  <c r="C37" i="15"/>
  <c r="E36" i="15"/>
  <c r="D36" i="15"/>
  <c r="C36" i="15"/>
  <c r="D35" i="15"/>
  <c r="C35" i="15"/>
  <c r="E34" i="15"/>
  <c r="D34" i="15"/>
  <c r="C34" i="15"/>
  <c r="E33" i="15"/>
  <c r="D33" i="15"/>
  <c r="C33" i="15"/>
  <c r="E30" i="15"/>
  <c r="D30" i="15"/>
  <c r="C30" i="15"/>
  <c r="E29" i="15"/>
  <c r="D29" i="15"/>
  <c r="C29" i="15"/>
  <c r="E28" i="15"/>
  <c r="D28" i="15"/>
  <c r="C28" i="15"/>
  <c r="E27" i="15"/>
  <c r="D27" i="15"/>
  <c r="C27" i="15"/>
  <c r="E26" i="15"/>
  <c r="D26" i="15"/>
  <c r="C26" i="15"/>
  <c r="E25" i="15"/>
  <c r="D25" i="15"/>
  <c r="C25" i="15"/>
  <c r="E24" i="15"/>
  <c r="D24" i="15"/>
  <c r="C24" i="15"/>
  <c r="E23" i="15"/>
  <c r="D23" i="15"/>
  <c r="C23" i="15"/>
  <c r="E22" i="15"/>
  <c r="D22" i="15"/>
  <c r="C22" i="15"/>
  <c r="E21" i="15"/>
  <c r="D21" i="15"/>
  <c r="C21" i="15"/>
  <c r="E20" i="15"/>
  <c r="D20" i="15"/>
  <c r="C20" i="15"/>
  <c r="E19" i="15"/>
  <c r="D19" i="15"/>
  <c r="C19" i="15"/>
  <c r="E16" i="15"/>
  <c r="D16" i="15"/>
  <c r="C16" i="15"/>
  <c r="E15" i="15"/>
  <c r="D15" i="15"/>
  <c r="C15" i="15"/>
  <c r="E14" i="15"/>
  <c r="D14" i="15"/>
  <c r="C14" i="15"/>
  <c r="E13" i="15"/>
  <c r="D13" i="15"/>
  <c r="C13" i="15"/>
  <c r="E51" i="13" l="1"/>
  <c r="D51" i="13"/>
  <c r="C51" i="13"/>
  <c r="E50" i="13"/>
  <c r="D50" i="13"/>
  <c r="C50" i="13"/>
  <c r="E49" i="13"/>
  <c r="D49" i="13"/>
  <c r="C49" i="13"/>
  <c r="E48" i="13"/>
  <c r="D48" i="13"/>
  <c r="C48" i="13"/>
  <c r="E47" i="13"/>
  <c r="D47" i="13"/>
  <c r="C47" i="13"/>
  <c r="E46" i="13"/>
  <c r="D46" i="13"/>
  <c r="C46" i="13"/>
  <c r="E45" i="13"/>
  <c r="D45" i="13"/>
  <c r="C45" i="13"/>
  <c r="E44" i="13"/>
  <c r="D44" i="13"/>
  <c r="C44" i="13"/>
  <c r="E43" i="13"/>
  <c r="D43" i="13"/>
  <c r="C43" i="13"/>
  <c r="E42" i="13"/>
  <c r="D42" i="13"/>
  <c r="C42" i="13"/>
  <c r="E41" i="13"/>
  <c r="D41" i="13"/>
  <c r="C41" i="13"/>
  <c r="E40" i="13"/>
  <c r="D40" i="13"/>
  <c r="C40" i="13"/>
  <c r="E39" i="13"/>
  <c r="D39" i="13"/>
  <c r="C39" i="13"/>
  <c r="I85" i="24"/>
  <c r="I84" i="24"/>
  <c r="I83" i="24"/>
  <c r="I82" i="24"/>
  <c r="I81" i="24"/>
  <c r="I80" i="24"/>
  <c r="I79" i="24"/>
  <c r="I78" i="24"/>
  <c r="I77" i="24"/>
  <c r="I76" i="24"/>
  <c r="I75" i="24"/>
  <c r="I74" i="24"/>
  <c r="I73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E51" i="24"/>
  <c r="D51" i="24"/>
  <c r="C51" i="24"/>
  <c r="E50" i="24"/>
  <c r="D50" i="24"/>
  <c r="C50" i="24"/>
  <c r="E49" i="24"/>
  <c r="D49" i="24"/>
  <c r="C49" i="24"/>
  <c r="E48" i="24"/>
  <c r="D48" i="24"/>
  <c r="C48" i="24"/>
  <c r="E47" i="24"/>
  <c r="D47" i="24"/>
  <c r="C47" i="24"/>
  <c r="E46" i="24"/>
  <c r="D46" i="24"/>
  <c r="C46" i="24"/>
  <c r="E45" i="24"/>
  <c r="D45" i="24"/>
  <c r="C45" i="24"/>
  <c r="E44" i="24"/>
  <c r="D44" i="24"/>
  <c r="C44" i="24"/>
  <c r="E43" i="24"/>
  <c r="D43" i="24"/>
  <c r="C43" i="24"/>
  <c r="E42" i="24"/>
  <c r="D42" i="24"/>
  <c r="C42" i="24"/>
  <c r="E41" i="24"/>
  <c r="D41" i="24"/>
  <c r="C41" i="24"/>
  <c r="E40" i="24"/>
  <c r="D40" i="24"/>
  <c r="C40" i="24"/>
  <c r="E39" i="24"/>
  <c r="D39" i="24"/>
  <c r="C39" i="24"/>
  <c r="E51" i="12"/>
  <c r="D51" i="12"/>
  <c r="C51" i="12"/>
  <c r="E50" i="12"/>
  <c r="D50" i="12"/>
  <c r="C50" i="12"/>
  <c r="E49" i="12"/>
  <c r="D49" i="12"/>
  <c r="C49" i="12"/>
  <c r="E48" i="12"/>
  <c r="D48" i="12"/>
  <c r="C48" i="12"/>
  <c r="E47" i="12"/>
  <c r="D47" i="12"/>
  <c r="C47" i="12"/>
  <c r="E46" i="12"/>
  <c r="D46" i="12"/>
  <c r="C46" i="12"/>
  <c r="E45" i="12"/>
  <c r="D45" i="12"/>
  <c r="C45" i="12"/>
  <c r="E44" i="12"/>
  <c r="D44" i="12"/>
  <c r="C44" i="12"/>
  <c r="E43" i="12"/>
  <c r="D43" i="12"/>
  <c r="C43" i="12"/>
  <c r="E42" i="12"/>
  <c r="D42" i="12"/>
  <c r="C42" i="12"/>
  <c r="E41" i="12"/>
  <c r="D41" i="12"/>
  <c r="C41" i="12"/>
  <c r="E40" i="12"/>
  <c r="D40" i="12"/>
  <c r="C40" i="12"/>
  <c r="E39" i="12"/>
  <c r="D39" i="12"/>
  <c r="C39" i="12"/>
  <c r="E51" i="11"/>
  <c r="D51" i="11"/>
  <c r="C51" i="11"/>
  <c r="E50" i="11"/>
  <c r="D50" i="11"/>
  <c r="C50" i="11"/>
  <c r="E49" i="11"/>
  <c r="D49" i="11"/>
  <c r="C49" i="11"/>
  <c r="E48" i="11"/>
  <c r="D48" i="11"/>
  <c r="C48" i="11"/>
  <c r="E47" i="11"/>
  <c r="D47" i="11"/>
  <c r="C47" i="11"/>
  <c r="E46" i="11"/>
  <c r="D46" i="11"/>
  <c r="C46" i="11"/>
  <c r="E45" i="11"/>
  <c r="D45" i="11"/>
  <c r="C45" i="11"/>
  <c r="E44" i="11"/>
  <c r="D44" i="11"/>
  <c r="C44" i="11"/>
  <c r="E43" i="11"/>
  <c r="D43" i="11"/>
  <c r="C43" i="11"/>
  <c r="E42" i="11"/>
  <c r="D42" i="11"/>
  <c r="C42" i="11"/>
  <c r="E41" i="11"/>
  <c r="D41" i="11"/>
  <c r="C41" i="11"/>
  <c r="E40" i="11"/>
  <c r="D40" i="11"/>
  <c r="C40" i="11"/>
  <c r="E39" i="11"/>
  <c r="D39" i="11"/>
  <c r="C39" i="11"/>
  <c r="E38" i="11"/>
  <c r="D38" i="11"/>
  <c r="C38" i="11"/>
  <c r="E37" i="11"/>
  <c r="D37" i="11"/>
  <c r="C37" i="11"/>
  <c r="E36" i="11"/>
  <c r="D36" i="11"/>
  <c r="C36" i="11"/>
  <c r="E35" i="11"/>
  <c r="D35" i="11"/>
  <c r="C35" i="11"/>
  <c r="E32" i="11"/>
  <c r="D32" i="11"/>
  <c r="C32" i="11"/>
  <c r="E31" i="11"/>
  <c r="D31" i="11"/>
  <c r="C31" i="11"/>
  <c r="E30" i="11"/>
  <c r="D30" i="11"/>
  <c r="C30" i="11"/>
  <c r="E29" i="11"/>
  <c r="D29" i="11"/>
  <c r="C29" i="11"/>
  <c r="E28" i="11"/>
  <c r="D28" i="11"/>
  <c r="C28" i="11"/>
  <c r="E27" i="11"/>
  <c r="D27" i="11"/>
  <c r="C27" i="11"/>
  <c r="E26" i="11"/>
  <c r="D26" i="11"/>
  <c r="C26" i="11"/>
  <c r="E25" i="11"/>
  <c r="D25" i="11"/>
  <c r="C25" i="11"/>
  <c r="E22" i="11"/>
  <c r="D22" i="11"/>
  <c r="C22" i="11"/>
  <c r="E21" i="11"/>
  <c r="D21" i="11"/>
  <c r="C21" i="11"/>
  <c r="E20" i="11"/>
  <c r="D20" i="11"/>
  <c r="C20" i="11"/>
  <c r="E19" i="11"/>
  <c r="D19" i="11"/>
  <c r="C19" i="11"/>
  <c r="E18" i="11"/>
  <c r="D18" i="11"/>
  <c r="C18" i="11"/>
  <c r="E17" i="11"/>
  <c r="D17" i="11"/>
  <c r="C17" i="11"/>
  <c r="E16" i="11"/>
  <c r="D16" i="11"/>
  <c r="C16" i="11"/>
  <c r="E15" i="11"/>
  <c r="D15" i="11"/>
  <c r="C15" i="11"/>
  <c r="E51" i="10" l="1"/>
  <c r="D51" i="10"/>
  <c r="C51" i="10"/>
  <c r="E50" i="10"/>
  <c r="D50" i="10"/>
  <c r="C50" i="10"/>
  <c r="E49" i="10"/>
  <c r="D49" i="10"/>
  <c r="C49" i="10"/>
  <c r="E48" i="10"/>
  <c r="D48" i="10"/>
  <c r="C48" i="10"/>
  <c r="E47" i="10"/>
  <c r="D47" i="10"/>
  <c r="C47" i="10"/>
  <c r="E46" i="10"/>
  <c r="D46" i="10"/>
  <c r="C46" i="10"/>
  <c r="E45" i="10"/>
  <c r="D45" i="10"/>
  <c r="C45" i="10"/>
  <c r="E44" i="10"/>
  <c r="D44" i="10"/>
  <c r="C44" i="10"/>
  <c r="E43" i="10"/>
  <c r="D43" i="10"/>
  <c r="C43" i="10"/>
  <c r="E42" i="10"/>
  <c r="D42" i="10"/>
  <c r="C42" i="10"/>
  <c r="E41" i="10"/>
  <c r="D41" i="10"/>
  <c r="C41" i="10"/>
  <c r="E40" i="10"/>
  <c r="D40" i="10"/>
  <c r="C40" i="10"/>
  <c r="E39" i="10"/>
  <c r="D39" i="10"/>
  <c r="C39" i="10"/>
  <c r="E51" i="23"/>
  <c r="D51" i="23"/>
  <c r="C51" i="23"/>
  <c r="E50" i="23"/>
  <c r="D50" i="23"/>
  <c r="C50" i="23"/>
  <c r="E49" i="23"/>
  <c r="D49" i="23"/>
  <c r="C49" i="23"/>
  <c r="E48" i="23"/>
  <c r="D48" i="23"/>
  <c r="C48" i="23"/>
  <c r="E47" i="23"/>
  <c r="D47" i="23"/>
  <c r="C47" i="23"/>
  <c r="E46" i="23"/>
  <c r="D46" i="23"/>
  <c r="C46" i="23"/>
  <c r="E45" i="23"/>
  <c r="D45" i="23"/>
  <c r="C45" i="23"/>
  <c r="E44" i="23"/>
  <c r="D44" i="23"/>
  <c r="C44" i="23"/>
  <c r="E43" i="23"/>
  <c r="D43" i="23"/>
  <c r="C43" i="23"/>
  <c r="E42" i="23"/>
  <c r="D42" i="23"/>
  <c r="C42" i="23"/>
  <c r="E41" i="23"/>
  <c r="D41" i="23"/>
  <c r="C41" i="23"/>
  <c r="E40" i="23"/>
  <c r="D40" i="23"/>
  <c r="C40" i="23"/>
  <c r="E39" i="23"/>
  <c r="D39" i="23"/>
  <c r="C39" i="23"/>
  <c r="E51" i="5"/>
  <c r="D51" i="5"/>
  <c r="C51" i="5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40" i="5"/>
  <c r="D40" i="5"/>
  <c r="C40" i="5"/>
  <c r="E39" i="5"/>
  <c r="D39" i="5"/>
  <c r="C39" i="5"/>
  <c r="E51" i="9"/>
  <c r="AF51" i="9" s="1"/>
  <c r="D51" i="9"/>
  <c r="AE51" i="9" s="1"/>
  <c r="C51" i="9"/>
  <c r="AD51" i="9" s="1"/>
  <c r="E50" i="9"/>
  <c r="AF50" i="9" s="1"/>
  <c r="D50" i="9"/>
  <c r="AE50" i="9" s="1"/>
  <c r="C50" i="9"/>
  <c r="AD50" i="9" s="1"/>
  <c r="E49" i="9"/>
  <c r="AF49" i="9" s="1"/>
  <c r="D49" i="9"/>
  <c r="AE49" i="9" s="1"/>
  <c r="C49" i="9"/>
  <c r="AD49" i="9" s="1"/>
  <c r="E48" i="9"/>
  <c r="AF48" i="9" s="1"/>
  <c r="D48" i="9"/>
  <c r="AE48" i="9" s="1"/>
  <c r="C48" i="9"/>
  <c r="AD48" i="9" s="1"/>
  <c r="E47" i="9"/>
  <c r="AF47" i="9" s="1"/>
  <c r="D47" i="9"/>
  <c r="AE47" i="9" s="1"/>
  <c r="C47" i="9"/>
  <c r="AD47" i="9" s="1"/>
  <c r="E46" i="9"/>
  <c r="AF46" i="9" s="1"/>
  <c r="D46" i="9"/>
  <c r="AE46" i="9" s="1"/>
  <c r="C46" i="9"/>
  <c r="AD46" i="9" s="1"/>
  <c r="E45" i="9"/>
  <c r="AF45" i="9" s="1"/>
  <c r="D45" i="9"/>
  <c r="AE45" i="9" s="1"/>
  <c r="C45" i="9"/>
  <c r="AD45" i="9" s="1"/>
  <c r="E44" i="9"/>
  <c r="AF44" i="9" s="1"/>
  <c r="D44" i="9"/>
  <c r="AE44" i="9" s="1"/>
  <c r="C44" i="9"/>
  <c r="AD44" i="9" s="1"/>
  <c r="E43" i="9"/>
  <c r="AF43" i="9" s="1"/>
  <c r="D43" i="9"/>
  <c r="AE43" i="9" s="1"/>
  <c r="C43" i="9"/>
  <c r="AD43" i="9" s="1"/>
  <c r="E42" i="9"/>
  <c r="AF42" i="9" s="1"/>
  <c r="D42" i="9"/>
  <c r="AE42" i="9" s="1"/>
  <c r="C42" i="9"/>
  <c r="AD42" i="9" s="1"/>
  <c r="E41" i="9"/>
  <c r="AF41" i="9" s="1"/>
  <c r="D41" i="9"/>
  <c r="AE41" i="9" s="1"/>
  <c r="C41" i="9"/>
  <c r="AD41" i="9" s="1"/>
  <c r="E40" i="9"/>
  <c r="AF40" i="9" s="1"/>
  <c r="D40" i="9"/>
  <c r="AE40" i="9" s="1"/>
  <c r="C40" i="9"/>
  <c r="AD40" i="9" s="1"/>
  <c r="E39" i="9"/>
  <c r="AF39" i="9" s="1"/>
  <c r="D39" i="9"/>
  <c r="AE39" i="9" s="1"/>
  <c r="C39" i="9"/>
  <c r="AD39" i="9" s="1"/>
  <c r="E38" i="9"/>
  <c r="AF38" i="9" s="1"/>
  <c r="D38" i="9"/>
  <c r="AE38" i="9" s="1"/>
  <c r="C38" i="9"/>
  <c r="AD38" i="9" s="1"/>
  <c r="E37" i="9"/>
  <c r="AF37" i="9" s="1"/>
  <c r="D37" i="9"/>
  <c r="AE37" i="9" s="1"/>
  <c r="C37" i="9"/>
  <c r="AD37" i="9" s="1"/>
  <c r="E36" i="9"/>
  <c r="AF36" i="9" s="1"/>
  <c r="D36" i="9"/>
  <c r="AE36" i="9" s="1"/>
  <c r="C36" i="9"/>
  <c r="AD36" i="9" s="1"/>
  <c r="E35" i="9"/>
  <c r="AF35" i="9" s="1"/>
  <c r="D35" i="9"/>
  <c r="AE35" i="9" s="1"/>
  <c r="C35" i="9"/>
  <c r="AD35" i="9" s="1"/>
  <c r="E32" i="9"/>
  <c r="AF32" i="9" s="1"/>
  <c r="D32" i="9"/>
  <c r="AE32" i="9" s="1"/>
  <c r="C32" i="9"/>
  <c r="AD32" i="9" s="1"/>
  <c r="E31" i="9"/>
  <c r="AF31" i="9" s="1"/>
  <c r="D31" i="9"/>
  <c r="AE31" i="9" s="1"/>
  <c r="C31" i="9"/>
  <c r="AD31" i="9" s="1"/>
  <c r="E30" i="9"/>
  <c r="AF30" i="9" s="1"/>
  <c r="D30" i="9"/>
  <c r="AE30" i="9" s="1"/>
  <c r="C30" i="9"/>
  <c r="AD30" i="9" s="1"/>
  <c r="E29" i="9"/>
  <c r="AF29" i="9" s="1"/>
  <c r="D29" i="9"/>
  <c r="AE29" i="9" s="1"/>
  <c r="C29" i="9"/>
  <c r="AD29" i="9" s="1"/>
  <c r="E28" i="9"/>
  <c r="AF28" i="9" s="1"/>
  <c r="D28" i="9"/>
  <c r="AE28" i="9" s="1"/>
  <c r="C28" i="9"/>
  <c r="AD28" i="9" s="1"/>
  <c r="E27" i="9"/>
  <c r="AF27" i="9" s="1"/>
  <c r="D27" i="9"/>
  <c r="AE27" i="9" s="1"/>
  <c r="C27" i="9"/>
  <c r="AD27" i="9" s="1"/>
  <c r="E26" i="9"/>
  <c r="AF26" i="9" s="1"/>
  <c r="D26" i="9"/>
  <c r="AE26" i="9" s="1"/>
  <c r="C26" i="9"/>
  <c r="AD26" i="9" s="1"/>
  <c r="E25" i="9"/>
  <c r="AF25" i="9" s="1"/>
  <c r="D25" i="9"/>
  <c r="AE25" i="9" s="1"/>
  <c r="C25" i="9"/>
  <c r="AD25" i="9" s="1"/>
  <c r="E22" i="9"/>
  <c r="AF22" i="9" s="1"/>
  <c r="D22" i="9"/>
  <c r="AE22" i="9" s="1"/>
  <c r="C22" i="9"/>
  <c r="AD22" i="9" s="1"/>
  <c r="E21" i="9"/>
  <c r="AF21" i="9" s="1"/>
  <c r="D21" i="9"/>
  <c r="AE21" i="9" s="1"/>
  <c r="C21" i="9"/>
  <c r="AD21" i="9" s="1"/>
  <c r="E20" i="9"/>
  <c r="AF20" i="9" s="1"/>
  <c r="D20" i="9"/>
  <c r="AE20" i="9" s="1"/>
  <c r="C20" i="9"/>
  <c r="AD20" i="9" s="1"/>
  <c r="E19" i="9"/>
  <c r="AF19" i="9" s="1"/>
  <c r="D19" i="9"/>
  <c r="AE19" i="9" s="1"/>
  <c r="C19" i="9"/>
  <c r="AD19" i="9" s="1"/>
  <c r="E18" i="9"/>
  <c r="AF18" i="9" s="1"/>
  <c r="D18" i="9"/>
  <c r="AE18" i="9" s="1"/>
  <c r="C18" i="9"/>
  <c r="AD18" i="9" s="1"/>
  <c r="E17" i="9"/>
  <c r="AF17" i="9" s="1"/>
  <c r="D17" i="9"/>
  <c r="AE17" i="9" s="1"/>
  <c r="C17" i="9"/>
  <c r="AD17" i="9" s="1"/>
  <c r="E16" i="9"/>
  <c r="AF16" i="9" s="1"/>
  <c r="D16" i="9"/>
  <c r="AE16" i="9" s="1"/>
  <c r="C16" i="9"/>
  <c r="AD16" i="9" s="1"/>
  <c r="E15" i="9"/>
  <c r="AF15" i="9" s="1"/>
  <c r="D15" i="9"/>
  <c r="AE15" i="9" s="1"/>
  <c r="C15" i="9"/>
  <c r="AD15" i="9" s="1"/>
  <c r="J14" i="21"/>
  <c r="J53" i="21" s="1"/>
  <c r="J15" i="21"/>
  <c r="J54" i="21" s="1"/>
  <c r="J16" i="21"/>
  <c r="J55" i="21" s="1"/>
  <c r="J19" i="21"/>
  <c r="J58" i="21" s="1"/>
  <c r="J20" i="21"/>
  <c r="J59" i="21" s="1"/>
  <c r="J21" i="21"/>
  <c r="J60" i="21" s="1"/>
  <c r="J22" i="21"/>
  <c r="J61" i="21" s="1"/>
  <c r="J25" i="21"/>
  <c r="J64" i="21" s="1"/>
  <c r="J26" i="21"/>
  <c r="J65" i="21" s="1"/>
  <c r="J27" i="21"/>
  <c r="J66" i="21" s="1"/>
  <c r="J28" i="21"/>
  <c r="J67" i="21" s="1"/>
  <c r="J29" i="21"/>
  <c r="J68" i="21" s="1"/>
  <c r="J32" i="21"/>
  <c r="J71" i="21" s="1"/>
  <c r="J33" i="21"/>
  <c r="J72" i="21" s="1"/>
  <c r="J34" i="21"/>
  <c r="J73" i="21" s="1"/>
  <c r="J35" i="21"/>
  <c r="J74" i="21" s="1"/>
  <c r="J36" i="21"/>
  <c r="J75" i="21" s="1"/>
  <c r="J37" i="21"/>
  <c r="J76" i="21" s="1"/>
  <c r="J38" i="21"/>
  <c r="J77" i="21" s="1"/>
  <c r="J39" i="21"/>
  <c r="J78" i="21" s="1"/>
  <c r="J40" i="21"/>
  <c r="J79" i="21" s="1"/>
  <c r="J41" i="21"/>
  <c r="J80" i="21" s="1"/>
  <c r="J42" i="21"/>
  <c r="J81" i="21" s="1"/>
  <c r="J43" i="21"/>
  <c r="J82" i="21" s="1"/>
  <c r="J44" i="21"/>
  <c r="J83" i="21" s="1"/>
  <c r="J45" i="21"/>
  <c r="J84" i="21" s="1"/>
  <c r="J46" i="21"/>
  <c r="J85" i="21" s="1"/>
  <c r="J47" i="21"/>
  <c r="J86" i="21" s="1"/>
  <c r="J48" i="21"/>
  <c r="J87" i="21" s="1"/>
  <c r="E48" i="7"/>
  <c r="D48" i="7"/>
  <c r="C48" i="7"/>
  <c r="E47" i="7"/>
  <c r="D47" i="7"/>
  <c r="C47" i="7"/>
  <c r="E46" i="7"/>
  <c r="D46" i="7"/>
  <c r="C46" i="7"/>
  <c r="E45" i="7"/>
  <c r="D45" i="7"/>
  <c r="C45" i="7"/>
  <c r="E44" i="7"/>
  <c r="D44" i="7"/>
  <c r="C44" i="7"/>
  <c r="E43" i="7"/>
  <c r="D43" i="7"/>
  <c r="C43" i="7"/>
  <c r="E42" i="7"/>
  <c r="D42" i="7"/>
  <c r="C42" i="7"/>
  <c r="E41" i="7"/>
  <c r="D41" i="7"/>
  <c r="C41" i="7"/>
  <c r="E40" i="7"/>
  <c r="D40" i="7"/>
  <c r="C40" i="7"/>
  <c r="E39" i="7"/>
  <c r="D39" i="7"/>
  <c r="C39" i="7"/>
  <c r="E38" i="7"/>
  <c r="D38" i="7"/>
  <c r="C38" i="7"/>
  <c r="E37" i="7"/>
  <c r="D37" i="7"/>
  <c r="C37" i="7"/>
  <c r="E36" i="7"/>
  <c r="D36" i="7"/>
  <c r="C36" i="7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48" i="21"/>
  <c r="D48" i="21"/>
  <c r="C48" i="21"/>
  <c r="E47" i="21"/>
  <c r="D47" i="21"/>
  <c r="C47" i="21"/>
  <c r="E46" i="21"/>
  <c r="D46" i="21"/>
  <c r="C46" i="21"/>
  <c r="E45" i="21"/>
  <c r="D45" i="21"/>
  <c r="C45" i="21"/>
  <c r="E44" i="21"/>
  <c r="D44" i="21"/>
  <c r="C44" i="21"/>
  <c r="E43" i="21"/>
  <c r="D43" i="21"/>
  <c r="C43" i="21"/>
  <c r="E42" i="21"/>
  <c r="D42" i="21"/>
  <c r="C42" i="21"/>
  <c r="E41" i="21"/>
  <c r="D41" i="21"/>
  <c r="C41" i="21"/>
  <c r="E40" i="21"/>
  <c r="D40" i="21"/>
  <c r="C40" i="21"/>
  <c r="E39" i="21"/>
  <c r="D39" i="21"/>
  <c r="C39" i="21"/>
  <c r="E38" i="21"/>
  <c r="D38" i="21"/>
  <c r="C38" i="21"/>
  <c r="E37" i="21"/>
  <c r="D37" i="21"/>
  <c r="C37" i="21"/>
  <c r="E36" i="21"/>
  <c r="D36" i="21"/>
  <c r="C36" i="21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48" i="20"/>
  <c r="D48" i="20"/>
  <c r="C48" i="20"/>
  <c r="E47" i="20"/>
  <c r="D47" i="20"/>
  <c r="C47" i="20"/>
  <c r="E46" i="20"/>
  <c r="D46" i="20"/>
  <c r="C46" i="20"/>
  <c r="E45" i="20"/>
  <c r="D45" i="20"/>
  <c r="C45" i="20"/>
  <c r="E44" i="20"/>
  <c r="D44" i="20"/>
  <c r="C44" i="20"/>
  <c r="E43" i="20"/>
  <c r="D43" i="20"/>
  <c r="C43" i="20"/>
  <c r="E42" i="20"/>
  <c r="D42" i="20"/>
  <c r="C42" i="20"/>
  <c r="E41" i="20"/>
  <c r="D41" i="20"/>
  <c r="C41" i="20"/>
  <c r="E40" i="20"/>
  <c r="D40" i="20"/>
  <c r="C40" i="20"/>
  <c r="E39" i="20"/>
  <c r="D39" i="20"/>
  <c r="C39" i="20"/>
  <c r="E38" i="20"/>
  <c r="D38" i="20"/>
  <c r="C38" i="20"/>
  <c r="E37" i="20"/>
  <c r="D37" i="20"/>
  <c r="C37" i="20"/>
  <c r="E36" i="20"/>
  <c r="D36" i="20"/>
  <c r="C36" i="20"/>
  <c r="E35" i="20"/>
  <c r="D35" i="20"/>
  <c r="C35" i="20"/>
  <c r="E34" i="20"/>
  <c r="D34" i="20"/>
  <c r="C34" i="20"/>
  <c r="E33" i="20"/>
  <c r="D33" i="20"/>
  <c r="C33" i="20"/>
  <c r="E32" i="20"/>
  <c r="D32" i="20"/>
  <c r="C32" i="20"/>
  <c r="E29" i="20"/>
  <c r="D29" i="20"/>
  <c r="C29" i="20"/>
  <c r="E28" i="20"/>
  <c r="D28" i="20"/>
  <c r="C28" i="20"/>
  <c r="E27" i="20"/>
  <c r="D27" i="20"/>
  <c r="C27" i="20"/>
  <c r="E26" i="20"/>
  <c r="D26" i="20"/>
  <c r="C26" i="20"/>
  <c r="E25" i="20"/>
  <c r="D25" i="20"/>
  <c r="C25" i="20"/>
  <c r="E22" i="20"/>
  <c r="D22" i="20"/>
  <c r="C22" i="20"/>
  <c r="E21" i="20"/>
  <c r="D21" i="20"/>
  <c r="C21" i="20"/>
  <c r="E20" i="20"/>
  <c r="D20" i="20"/>
  <c r="C20" i="20"/>
  <c r="E19" i="20"/>
  <c r="D19" i="20"/>
  <c r="C19" i="20"/>
  <c r="E16" i="20"/>
  <c r="D16" i="20"/>
  <c r="C16" i="20"/>
  <c r="E15" i="20"/>
  <c r="D15" i="20"/>
  <c r="C15" i="20"/>
  <c r="E14" i="20"/>
  <c r="D14" i="20"/>
  <c r="C14" i="20"/>
  <c r="E13" i="20"/>
  <c r="D13" i="20"/>
  <c r="C13" i="20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2" i="1"/>
  <c r="D22" i="1"/>
  <c r="C22" i="1"/>
  <c r="E21" i="1"/>
  <c r="D21" i="1"/>
  <c r="C21" i="1"/>
  <c r="E20" i="1"/>
  <c r="D20" i="1"/>
  <c r="C20" i="1"/>
  <c r="E19" i="1"/>
  <c r="D19" i="1"/>
  <c r="C19" i="1"/>
  <c r="E16" i="1"/>
  <c r="D16" i="1"/>
  <c r="C16" i="1"/>
  <c r="E15" i="1"/>
  <c r="D15" i="1"/>
  <c r="C15" i="1"/>
  <c r="E14" i="1"/>
  <c r="D14" i="1"/>
  <c r="C14" i="1"/>
  <c r="E13" i="1"/>
  <c r="D13" i="1"/>
  <c r="C13" i="1"/>
  <c r="A27" i="18" l="1"/>
  <c r="Z51" i="24"/>
  <c r="Z85" i="24" s="1"/>
  <c r="Y51" i="24"/>
  <c r="Y85" i="24" s="1"/>
  <c r="X51" i="24"/>
  <c r="X85" i="24" s="1"/>
  <c r="W51" i="24"/>
  <c r="W85" i="24" s="1"/>
  <c r="V51" i="24"/>
  <c r="V85" i="24" s="1"/>
  <c r="P51" i="24"/>
  <c r="P85" i="24" s="1"/>
  <c r="O51" i="24"/>
  <c r="O85" i="24" s="1"/>
  <c r="N51" i="24"/>
  <c r="N85" i="24" s="1"/>
  <c r="M51" i="24"/>
  <c r="M85" i="24" s="1"/>
  <c r="L51" i="24"/>
  <c r="L85" i="24" s="1"/>
  <c r="K51" i="24"/>
  <c r="K85" i="24" s="1"/>
  <c r="J51" i="24"/>
  <c r="J85" i="24" s="1"/>
  <c r="Z50" i="24"/>
  <c r="Z84" i="24" s="1"/>
  <c r="Y50" i="24"/>
  <c r="Y84" i="24" s="1"/>
  <c r="X50" i="24"/>
  <c r="X84" i="24" s="1"/>
  <c r="W50" i="24"/>
  <c r="W84" i="24" s="1"/>
  <c r="V50" i="24"/>
  <c r="V84" i="24" s="1"/>
  <c r="P50" i="24"/>
  <c r="P84" i="24" s="1"/>
  <c r="O50" i="24"/>
  <c r="O84" i="24" s="1"/>
  <c r="N50" i="24"/>
  <c r="N84" i="24" s="1"/>
  <c r="M50" i="24"/>
  <c r="M84" i="24" s="1"/>
  <c r="L50" i="24"/>
  <c r="L84" i="24" s="1"/>
  <c r="K50" i="24"/>
  <c r="K84" i="24" s="1"/>
  <c r="J50" i="24"/>
  <c r="J84" i="24" s="1"/>
  <c r="Z49" i="24"/>
  <c r="Z83" i="24" s="1"/>
  <c r="Y49" i="24"/>
  <c r="Y83" i="24" s="1"/>
  <c r="X49" i="24"/>
  <c r="X83" i="24" s="1"/>
  <c r="W49" i="24"/>
  <c r="W83" i="24" s="1"/>
  <c r="V49" i="24"/>
  <c r="V83" i="24" s="1"/>
  <c r="P49" i="24"/>
  <c r="P83" i="24" s="1"/>
  <c r="O49" i="24"/>
  <c r="O83" i="24" s="1"/>
  <c r="N49" i="24"/>
  <c r="N83" i="24" s="1"/>
  <c r="M49" i="24"/>
  <c r="M83" i="24" s="1"/>
  <c r="L49" i="24"/>
  <c r="L83" i="24" s="1"/>
  <c r="K49" i="24"/>
  <c r="K83" i="24" s="1"/>
  <c r="J49" i="24"/>
  <c r="J83" i="24" s="1"/>
  <c r="Z48" i="24"/>
  <c r="Z82" i="24" s="1"/>
  <c r="Y48" i="24"/>
  <c r="Y82" i="24" s="1"/>
  <c r="X48" i="24"/>
  <c r="X82" i="24" s="1"/>
  <c r="W48" i="24"/>
  <c r="W82" i="24" s="1"/>
  <c r="V48" i="24"/>
  <c r="V82" i="24" s="1"/>
  <c r="P48" i="24"/>
  <c r="P82" i="24" s="1"/>
  <c r="O48" i="24"/>
  <c r="O82" i="24" s="1"/>
  <c r="N48" i="24"/>
  <c r="N82" i="24" s="1"/>
  <c r="M48" i="24"/>
  <c r="M82" i="24" s="1"/>
  <c r="L48" i="24"/>
  <c r="L82" i="24" s="1"/>
  <c r="K48" i="24"/>
  <c r="K82" i="24" s="1"/>
  <c r="J48" i="24"/>
  <c r="J82" i="24" s="1"/>
  <c r="Z47" i="24"/>
  <c r="Z81" i="24" s="1"/>
  <c r="Y47" i="24"/>
  <c r="Y81" i="24" s="1"/>
  <c r="X47" i="24"/>
  <c r="X81" i="24" s="1"/>
  <c r="W47" i="24"/>
  <c r="W81" i="24" s="1"/>
  <c r="V47" i="24"/>
  <c r="V81" i="24" s="1"/>
  <c r="P47" i="24"/>
  <c r="P81" i="24" s="1"/>
  <c r="O47" i="24"/>
  <c r="O81" i="24" s="1"/>
  <c r="N47" i="24"/>
  <c r="N81" i="24" s="1"/>
  <c r="M47" i="24"/>
  <c r="M81" i="24" s="1"/>
  <c r="L47" i="24"/>
  <c r="L81" i="24" s="1"/>
  <c r="K47" i="24"/>
  <c r="K81" i="24" s="1"/>
  <c r="J47" i="24"/>
  <c r="J81" i="24" s="1"/>
  <c r="Z46" i="24"/>
  <c r="Z80" i="24" s="1"/>
  <c r="Y46" i="24"/>
  <c r="Y80" i="24" s="1"/>
  <c r="X46" i="24"/>
  <c r="X80" i="24" s="1"/>
  <c r="W46" i="24"/>
  <c r="W80" i="24" s="1"/>
  <c r="V46" i="24"/>
  <c r="V80" i="24" s="1"/>
  <c r="P46" i="24"/>
  <c r="P80" i="24" s="1"/>
  <c r="O46" i="24"/>
  <c r="O80" i="24" s="1"/>
  <c r="N46" i="24"/>
  <c r="N80" i="24" s="1"/>
  <c r="M46" i="24"/>
  <c r="M80" i="24" s="1"/>
  <c r="L46" i="24"/>
  <c r="L80" i="24" s="1"/>
  <c r="K46" i="24"/>
  <c r="K80" i="24" s="1"/>
  <c r="J46" i="24"/>
  <c r="J80" i="24" s="1"/>
  <c r="Z45" i="24"/>
  <c r="Z79" i="24" s="1"/>
  <c r="Y45" i="24"/>
  <c r="Y79" i="24" s="1"/>
  <c r="X45" i="24"/>
  <c r="X79" i="24" s="1"/>
  <c r="W45" i="24"/>
  <c r="W79" i="24" s="1"/>
  <c r="V45" i="24"/>
  <c r="V79" i="24" s="1"/>
  <c r="P45" i="24"/>
  <c r="P79" i="24" s="1"/>
  <c r="O45" i="24"/>
  <c r="O79" i="24" s="1"/>
  <c r="N45" i="24"/>
  <c r="N79" i="24" s="1"/>
  <c r="M45" i="24"/>
  <c r="M79" i="24" s="1"/>
  <c r="L45" i="24"/>
  <c r="L79" i="24" s="1"/>
  <c r="K45" i="24"/>
  <c r="K79" i="24" s="1"/>
  <c r="J45" i="24"/>
  <c r="J79" i="24" s="1"/>
  <c r="Z44" i="24"/>
  <c r="Z78" i="24" s="1"/>
  <c r="Y44" i="24"/>
  <c r="Y78" i="24" s="1"/>
  <c r="X44" i="24"/>
  <c r="X78" i="24" s="1"/>
  <c r="W44" i="24"/>
  <c r="W78" i="24" s="1"/>
  <c r="V44" i="24"/>
  <c r="V78" i="24" s="1"/>
  <c r="P44" i="24"/>
  <c r="P78" i="24" s="1"/>
  <c r="O44" i="24"/>
  <c r="O78" i="24" s="1"/>
  <c r="N44" i="24"/>
  <c r="N78" i="24" s="1"/>
  <c r="M44" i="24"/>
  <c r="M78" i="24" s="1"/>
  <c r="L44" i="24"/>
  <c r="L78" i="24" s="1"/>
  <c r="K44" i="24"/>
  <c r="K78" i="24" s="1"/>
  <c r="J44" i="24"/>
  <c r="J78" i="24" s="1"/>
  <c r="Z43" i="24"/>
  <c r="Z77" i="24" s="1"/>
  <c r="Y43" i="24"/>
  <c r="Y77" i="24" s="1"/>
  <c r="X43" i="24"/>
  <c r="X77" i="24" s="1"/>
  <c r="W43" i="24"/>
  <c r="W77" i="24" s="1"/>
  <c r="V43" i="24"/>
  <c r="V77" i="24" s="1"/>
  <c r="P43" i="24"/>
  <c r="P77" i="24" s="1"/>
  <c r="O43" i="24"/>
  <c r="O77" i="24" s="1"/>
  <c r="N43" i="24"/>
  <c r="N77" i="24" s="1"/>
  <c r="M43" i="24"/>
  <c r="M77" i="24" s="1"/>
  <c r="L43" i="24"/>
  <c r="L77" i="24" s="1"/>
  <c r="K43" i="24"/>
  <c r="K77" i="24" s="1"/>
  <c r="J43" i="24"/>
  <c r="J77" i="24" s="1"/>
  <c r="Z42" i="24"/>
  <c r="Z76" i="24" s="1"/>
  <c r="Y42" i="24"/>
  <c r="Y76" i="24" s="1"/>
  <c r="X42" i="24"/>
  <c r="X76" i="24" s="1"/>
  <c r="W42" i="24"/>
  <c r="W76" i="24" s="1"/>
  <c r="V42" i="24"/>
  <c r="V76" i="24" s="1"/>
  <c r="P42" i="24"/>
  <c r="P76" i="24" s="1"/>
  <c r="O42" i="24"/>
  <c r="O76" i="24" s="1"/>
  <c r="N42" i="24"/>
  <c r="N76" i="24" s="1"/>
  <c r="M42" i="24"/>
  <c r="M76" i="24" s="1"/>
  <c r="L42" i="24"/>
  <c r="L76" i="24" s="1"/>
  <c r="K42" i="24"/>
  <c r="K76" i="24" s="1"/>
  <c r="J42" i="24"/>
  <c r="J76" i="24" s="1"/>
  <c r="Z41" i="24"/>
  <c r="Z75" i="24" s="1"/>
  <c r="Y41" i="24"/>
  <c r="Y75" i="24" s="1"/>
  <c r="X41" i="24"/>
  <c r="X75" i="24" s="1"/>
  <c r="W41" i="24"/>
  <c r="W75" i="24" s="1"/>
  <c r="V41" i="24"/>
  <c r="V75" i="24" s="1"/>
  <c r="P41" i="24"/>
  <c r="P75" i="24" s="1"/>
  <c r="O41" i="24"/>
  <c r="O75" i="24" s="1"/>
  <c r="N41" i="24"/>
  <c r="N75" i="24" s="1"/>
  <c r="M41" i="24"/>
  <c r="M75" i="24" s="1"/>
  <c r="L41" i="24"/>
  <c r="L75" i="24" s="1"/>
  <c r="K41" i="24"/>
  <c r="K75" i="24" s="1"/>
  <c r="J41" i="24"/>
  <c r="J75" i="24" s="1"/>
  <c r="Z40" i="24"/>
  <c r="Z74" i="24" s="1"/>
  <c r="Y40" i="24"/>
  <c r="Y74" i="24" s="1"/>
  <c r="X40" i="24"/>
  <c r="X74" i="24" s="1"/>
  <c r="W40" i="24"/>
  <c r="W74" i="24" s="1"/>
  <c r="V40" i="24"/>
  <c r="V74" i="24" s="1"/>
  <c r="P40" i="24"/>
  <c r="P74" i="24" s="1"/>
  <c r="O40" i="24"/>
  <c r="O74" i="24" s="1"/>
  <c r="N40" i="24"/>
  <c r="N74" i="24" s="1"/>
  <c r="M40" i="24"/>
  <c r="M74" i="24" s="1"/>
  <c r="L40" i="24"/>
  <c r="L74" i="24" s="1"/>
  <c r="K40" i="24"/>
  <c r="K74" i="24" s="1"/>
  <c r="J40" i="24"/>
  <c r="J74" i="24" s="1"/>
  <c r="Z39" i="24"/>
  <c r="Z73" i="24" s="1"/>
  <c r="Y39" i="24"/>
  <c r="Y73" i="24" s="1"/>
  <c r="X39" i="24"/>
  <c r="X73" i="24" s="1"/>
  <c r="W39" i="24"/>
  <c r="W73" i="24" s="1"/>
  <c r="V39" i="24"/>
  <c r="V73" i="24" s="1"/>
  <c r="P39" i="24"/>
  <c r="P73" i="24" s="1"/>
  <c r="O39" i="24"/>
  <c r="O73" i="24" s="1"/>
  <c r="N39" i="24"/>
  <c r="N73" i="24" s="1"/>
  <c r="M39" i="24"/>
  <c r="M73" i="24" s="1"/>
  <c r="L39" i="24"/>
  <c r="L73" i="24" s="1"/>
  <c r="K39" i="24"/>
  <c r="K73" i="24" s="1"/>
  <c r="J39" i="24"/>
  <c r="J73" i="24" s="1"/>
  <c r="Z38" i="24"/>
  <c r="Z72" i="24" s="1"/>
  <c r="Y38" i="24"/>
  <c r="Y72" i="24" s="1"/>
  <c r="X38" i="24"/>
  <c r="X72" i="24" s="1"/>
  <c r="W38" i="24"/>
  <c r="W72" i="24" s="1"/>
  <c r="V38" i="24"/>
  <c r="V72" i="24" s="1"/>
  <c r="P38" i="24"/>
  <c r="P72" i="24" s="1"/>
  <c r="O38" i="24"/>
  <c r="O72" i="24" s="1"/>
  <c r="N38" i="24"/>
  <c r="N72" i="24" s="1"/>
  <c r="M38" i="24"/>
  <c r="M72" i="24" s="1"/>
  <c r="L38" i="24"/>
  <c r="L72" i="24" s="1"/>
  <c r="K38" i="24"/>
  <c r="K72" i="24" s="1"/>
  <c r="J38" i="24"/>
  <c r="J72" i="24" s="1"/>
  <c r="Z37" i="24"/>
  <c r="Z71" i="24" s="1"/>
  <c r="Y37" i="24"/>
  <c r="Y71" i="24" s="1"/>
  <c r="X37" i="24"/>
  <c r="X71" i="24" s="1"/>
  <c r="W37" i="24"/>
  <c r="W71" i="24" s="1"/>
  <c r="V37" i="24"/>
  <c r="V71" i="24" s="1"/>
  <c r="P37" i="24"/>
  <c r="P71" i="24" s="1"/>
  <c r="O37" i="24"/>
  <c r="O71" i="24" s="1"/>
  <c r="N37" i="24"/>
  <c r="N71" i="24" s="1"/>
  <c r="M37" i="24"/>
  <c r="M71" i="24" s="1"/>
  <c r="L37" i="24"/>
  <c r="L71" i="24" s="1"/>
  <c r="K37" i="24"/>
  <c r="K71" i="24" s="1"/>
  <c r="J37" i="24"/>
  <c r="J71" i="24" s="1"/>
  <c r="Z36" i="24"/>
  <c r="Z70" i="24" s="1"/>
  <c r="Y36" i="24"/>
  <c r="Y70" i="24" s="1"/>
  <c r="X36" i="24"/>
  <c r="X70" i="24" s="1"/>
  <c r="W36" i="24"/>
  <c r="W70" i="24" s="1"/>
  <c r="V36" i="24"/>
  <c r="V70" i="24" s="1"/>
  <c r="P36" i="24"/>
  <c r="P70" i="24" s="1"/>
  <c r="O36" i="24"/>
  <c r="O70" i="24" s="1"/>
  <c r="N36" i="24"/>
  <c r="N70" i="24" s="1"/>
  <c r="M36" i="24"/>
  <c r="M70" i="24" s="1"/>
  <c r="L36" i="24"/>
  <c r="L70" i="24" s="1"/>
  <c r="K36" i="24"/>
  <c r="K70" i="24" s="1"/>
  <c r="J36" i="24"/>
  <c r="J70" i="24" s="1"/>
  <c r="Z35" i="24"/>
  <c r="Y35" i="24"/>
  <c r="X35" i="24"/>
  <c r="W35" i="24"/>
  <c r="V35" i="24"/>
  <c r="P35" i="24"/>
  <c r="O35" i="24"/>
  <c r="N35" i="24"/>
  <c r="M35" i="24"/>
  <c r="L35" i="24"/>
  <c r="K35" i="24"/>
  <c r="J35" i="24"/>
  <c r="Z32" i="24"/>
  <c r="Z68" i="24" s="1"/>
  <c r="Y32" i="24"/>
  <c r="Y68" i="24" s="1"/>
  <c r="X32" i="24"/>
  <c r="X68" i="24" s="1"/>
  <c r="W32" i="24"/>
  <c r="W68" i="24" s="1"/>
  <c r="V32" i="24"/>
  <c r="V68" i="24" s="1"/>
  <c r="P32" i="24"/>
  <c r="P68" i="24" s="1"/>
  <c r="O32" i="24"/>
  <c r="O68" i="24" s="1"/>
  <c r="N32" i="24"/>
  <c r="N68" i="24" s="1"/>
  <c r="M32" i="24"/>
  <c r="M68" i="24" s="1"/>
  <c r="L32" i="24"/>
  <c r="L68" i="24" s="1"/>
  <c r="K32" i="24"/>
  <c r="K68" i="24" s="1"/>
  <c r="J32" i="24"/>
  <c r="J68" i="24" s="1"/>
  <c r="Z31" i="24"/>
  <c r="Z67" i="24" s="1"/>
  <c r="Y31" i="24"/>
  <c r="Y67" i="24" s="1"/>
  <c r="X31" i="24"/>
  <c r="X67" i="24" s="1"/>
  <c r="W31" i="24"/>
  <c r="W67" i="24" s="1"/>
  <c r="V31" i="24"/>
  <c r="V67" i="24" s="1"/>
  <c r="P31" i="24"/>
  <c r="P67" i="24" s="1"/>
  <c r="O31" i="24"/>
  <c r="O67" i="24" s="1"/>
  <c r="N31" i="24"/>
  <c r="N67" i="24" s="1"/>
  <c r="M31" i="24"/>
  <c r="M67" i="24" s="1"/>
  <c r="L31" i="24"/>
  <c r="L67" i="24" s="1"/>
  <c r="K31" i="24"/>
  <c r="K67" i="24" s="1"/>
  <c r="J31" i="24"/>
  <c r="J67" i="24" s="1"/>
  <c r="Z30" i="24"/>
  <c r="Z66" i="24" s="1"/>
  <c r="Y30" i="24"/>
  <c r="Y66" i="24" s="1"/>
  <c r="X30" i="24"/>
  <c r="X66" i="24" s="1"/>
  <c r="W30" i="24"/>
  <c r="W66" i="24" s="1"/>
  <c r="V30" i="24"/>
  <c r="V66" i="24" s="1"/>
  <c r="P30" i="24"/>
  <c r="P66" i="24" s="1"/>
  <c r="O30" i="24"/>
  <c r="O66" i="24" s="1"/>
  <c r="N30" i="24"/>
  <c r="N66" i="24" s="1"/>
  <c r="M30" i="24"/>
  <c r="M66" i="24" s="1"/>
  <c r="L30" i="24"/>
  <c r="L66" i="24" s="1"/>
  <c r="K30" i="24"/>
  <c r="K66" i="24" s="1"/>
  <c r="J30" i="24"/>
  <c r="J66" i="24" s="1"/>
  <c r="Z29" i="24"/>
  <c r="Z65" i="24" s="1"/>
  <c r="Y29" i="24"/>
  <c r="Y65" i="24" s="1"/>
  <c r="X29" i="24"/>
  <c r="X65" i="24" s="1"/>
  <c r="W29" i="24"/>
  <c r="W65" i="24" s="1"/>
  <c r="V29" i="24"/>
  <c r="V65" i="24" s="1"/>
  <c r="P29" i="24"/>
  <c r="P65" i="24" s="1"/>
  <c r="O29" i="24"/>
  <c r="O65" i="24" s="1"/>
  <c r="N29" i="24"/>
  <c r="N65" i="24" s="1"/>
  <c r="M29" i="24"/>
  <c r="M65" i="24" s="1"/>
  <c r="L29" i="24"/>
  <c r="L65" i="24" s="1"/>
  <c r="K29" i="24"/>
  <c r="K65" i="24" s="1"/>
  <c r="J29" i="24"/>
  <c r="J65" i="24" s="1"/>
  <c r="Z28" i="24"/>
  <c r="Z64" i="24" s="1"/>
  <c r="Y28" i="24"/>
  <c r="Y64" i="24" s="1"/>
  <c r="X28" i="24"/>
  <c r="X64" i="24" s="1"/>
  <c r="W28" i="24"/>
  <c r="W64" i="24" s="1"/>
  <c r="V28" i="24"/>
  <c r="V64" i="24" s="1"/>
  <c r="P28" i="24"/>
  <c r="P64" i="24" s="1"/>
  <c r="O28" i="24"/>
  <c r="O64" i="24" s="1"/>
  <c r="N28" i="24"/>
  <c r="N64" i="24" s="1"/>
  <c r="M28" i="24"/>
  <c r="M64" i="24" s="1"/>
  <c r="L28" i="24"/>
  <c r="L64" i="24" s="1"/>
  <c r="K28" i="24"/>
  <c r="K64" i="24" s="1"/>
  <c r="J28" i="24"/>
  <c r="J64" i="24" s="1"/>
  <c r="Z27" i="24"/>
  <c r="Z63" i="24" s="1"/>
  <c r="Y27" i="24"/>
  <c r="Y63" i="24" s="1"/>
  <c r="X27" i="24"/>
  <c r="X63" i="24" s="1"/>
  <c r="W27" i="24"/>
  <c r="W63" i="24" s="1"/>
  <c r="V27" i="24"/>
  <c r="V63" i="24" s="1"/>
  <c r="P27" i="24"/>
  <c r="P63" i="24" s="1"/>
  <c r="O27" i="24"/>
  <c r="O63" i="24" s="1"/>
  <c r="N27" i="24"/>
  <c r="N63" i="24" s="1"/>
  <c r="M27" i="24"/>
  <c r="M63" i="24" s="1"/>
  <c r="L27" i="24"/>
  <c r="L63" i="24" s="1"/>
  <c r="K27" i="24"/>
  <c r="K63" i="24" s="1"/>
  <c r="J27" i="24"/>
  <c r="J63" i="24" s="1"/>
  <c r="Z26" i="24"/>
  <c r="Z62" i="24" s="1"/>
  <c r="Y26" i="24"/>
  <c r="Y62" i="24" s="1"/>
  <c r="X26" i="24"/>
  <c r="X62" i="24" s="1"/>
  <c r="W26" i="24"/>
  <c r="W62" i="24" s="1"/>
  <c r="V26" i="24"/>
  <c r="V62" i="24" s="1"/>
  <c r="P26" i="24"/>
  <c r="P62" i="24" s="1"/>
  <c r="O26" i="24"/>
  <c r="O62" i="24" s="1"/>
  <c r="N26" i="24"/>
  <c r="N62" i="24" s="1"/>
  <c r="M26" i="24"/>
  <c r="M62" i="24" s="1"/>
  <c r="L26" i="24"/>
  <c r="L62" i="24" s="1"/>
  <c r="K26" i="24"/>
  <c r="K62" i="24" s="1"/>
  <c r="J26" i="24"/>
  <c r="J62" i="24" s="1"/>
  <c r="Z25" i="24"/>
  <c r="Z61" i="24" s="1"/>
  <c r="Y25" i="24"/>
  <c r="Y61" i="24" s="1"/>
  <c r="X25" i="24"/>
  <c r="X61" i="24" s="1"/>
  <c r="W25" i="24"/>
  <c r="W61" i="24" s="1"/>
  <c r="V25" i="24"/>
  <c r="V61" i="24" s="1"/>
  <c r="P25" i="24"/>
  <c r="P61" i="24" s="1"/>
  <c r="O25" i="24"/>
  <c r="O61" i="24" s="1"/>
  <c r="N25" i="24"/>
  <c r="N61" i="24" s="1"/>
  <c r="M25" i="24"/>
  <c r="M61" i="24" s="1"/>
  <c r="L25" i="24"/>
  <c r="L61" i="24" s="1"/>
  <c r="K25" i="24"/>
  <c r="K61" i="24" s="1"/>
  <c r="J25" i="24"/>
  <c r="J61" i="24" s="1"/>
  <c r="Z22" i="24"/>
  <c r="Z60" i="24" s="1"/>
  <c r="Y22" i="24"/>
  <c r="Y60" i="24" s="1"/>
  <c r="X22" i="24"/>
  <c r="X60" i="24" s="1"/>
  <c r="W22" i="24"/>
  <c r="W60" i="24" s="1"/>
  <c r="V22" i="24"/>
  <c r="V60" i="24" s="1"/>
  <c r="P22" i="24"/>
  <c r="P60" i="24" s="1"/>
  <c r="O22" i="24"/>
  <c r="O60" i="24" s="1"/>
  <c r="N22" i="24"/>
  <c r="N60" i="24" s="1"/>
  <c r="M22" i="24"/>
  <c r="M60" i="24" s="1"/>
  <c r="L22" i="24"/>
  <c r="L60" i="24" s="1"/>
  <c r="K22" i="24"/>
  <c r="K60" i="24" s="1"/>
  <c r="J22" i="24"/>
  <c r="J60" i="24" s="1"/>
  <c r="Z21" i="24"/>
  <c r="Z59" i="24" s="1"/>
  <c r="Y21" i="24"/>
  <c r="Y59" i="24" s="1"/>
  <c r="X21" i="24"/>
  <c r="X59" i="24" s="1"/>
  <c r="W21" i="24"/>
  <c r="W59" i="24" s="1"/>
  <c r="V21" i="24"/>
  <c r="V59" i="24" s="1"/>
  <c r="P21" i="24"/>
  <c r="P59" i="24" s="1"/>
  <c r="O21" i="24"/>
  <c r="O59" i="24" s="1"/>
  <c r="N21" i="24"/>
  <c r="N59" i="24" s="1"/>
  <c r="M21" i="24"/>
  <c r="M59" i="24" s="1"/>
  <c r="L21" i="24"/>
  <c r="L59" i="24" s="1"/>
  <c r="K21" i="24"/>
  <c r="K59" i="24" s="1"/>
  <c r="J21" i="24"/>
  <c r="J59" i="24" s="1"/>
  <c r="Z20" i="24"/>
  <c r="Z58" i="24" s="1"/>
  <c r="Y20" i="24"/>
  <c r="Y58" i="24" s="1"/>
  <c r="X20" i="24"/>
  <c r="X58" i="24" s="1"/>
  <c r="W20" i="24"/>
  <c r="W58" i="24" s="1"/>
  <c r="V20" i="24"/>
  <c r="V58" i="24" s="1"/>
  <c r="P20" i="24"/>
  <c r="P58" i="24" s="1"/>
  <c r="O20" i="24"/>
  <c r="O58" i="24" s="1"/>
  <c r="N20" i="24"/>
  <c r="N58" i="24" s="1"/>
  <c r="M20" i="24"/>
  <c r="M58" i="24" s="1"/>
  <c r="L20" i="24"/>
  <c r="L58" i="24" s="1"/>
  <c r="K20" i="24"/>
  <c r="K58" i="24" s="1"/>
  <c r="J20" i="24"/>
  <c r="J58" i="24" s="1"/>
  <c r="Z19" i="24"/>
  <c r="Z57" i="24" s="1"/>
  <c r="Y19" i="24"/>
  <c r="Y57" i="24" s="1"/>
  <c r="X19" i="24"/>
  <c r="X57" i="24" s="1"/>
  <c r="W19" i="24"/>
  <c r="W57" i="24" s="1"/>
  <c r="V19" i="24"/>
  <c r="V57" i="24" s="1"/>
  <c r="P19" i="24"/>
  <c r="P57" i="24" s="1"/>
  <c r="O19" i="24"/>
  <c r="O57" i="24" s="1"/>
  <c r="N19" i="24"/>
  <c r="N57" i="24" s="1"/>
  <c r="M19" i="24"/>
  <c r="M57" i="24" s="1"/>
  <c r="L19" i="24"/>
  <c r="L57" i="24" s="1"/>
  <c r="K19" i="24"/>
  <c r="K57" i="24" s="1"/>
  <c r="J19" i="24"/>
  <c r="J57" i="24" s="1"/>
  <c r="Z18" i="24"/>
  <c r="Z56" i="24" s="1"/>
  <c r="Y18" i="24"/>
  <c r="Y56" i="24" s="1"/>
  <c r="X18" i="24"/>
  <c r="X56" i="24" s="1"/>
  <c r="W18" i="24"/>
  <c r="W56" i="24" s="1"/>
  <c r="V18" i="24"/>
  <c r="V56" i="24" s="1"/>
  <c r="P18" i="24"/>
  <c r="P56" i="24" s="1"/>
  <c r="O18" i="24"/>
  <c r="O56" i="24" s="1"/>
  <c r="N18" i="24"/>
  <c r="N56" i="24" s="1"/>
  <c r="M18" i="24"/>
  <c r="M56" i="24" s="1"/>
  <c r="L18" i="24"/>
  <c r="L56" i="24" s="1"/>
  <c r="K18" i="24"/>
  <c r="K56" i="24" s="1"/>
  <c r="J18" i="24"/>
  <c r="J56" i="24" s="1"/>
  <c r="Z17" i="24"/>
  <c r="Z55" i="24" s="1"/>
  <c r="Y17" i="24"/>
  <c r="Y55" i="24" s="1"/>
  <c r="X17" i="24"/>
  <c r="X55" i="24" s="1"/>
  <c r="W17" i="24"/>
  <c r="W55" i="24" s="1"/>
  <c r="V17" i="24"/>
  <c r="V55" i="24" s="1"/>
  <c r="P17" i="24"/>
  <c r="P55" i="24" s="1"/>
  <c r="O17" i="24"/>
  <c r="O55" i="24" s="1"/>
  <c r="N17" i="24"/>
  <c r="N55" i="24" s="1"/>
  <c r="M17" i="24"/>
  <c r="M55" i="24" s="1"/>
  <c r="L17" i="24"/>
  <c r="L55" i="24" s="1"/>
  <c r="K17" i="24"/>
  <c r="K55" i="24" s="1"/>
  <c r="J17" i="24"/>
  <c r="J55" i="24" s="1"/>
  <c r="Z16" i="24"/>
  <c r="Z54" i="24" s="1"/>
  <c r="Y16" i="24"/>
  <c r="Y54" i="24" s="1"/>
  <c r="X16" i="24"/>
  <c r="X54" i="24" s="1"/>
  <c r="W16" i="24"/>
  <c r="W54" i="24" s="1"/>
  <c r="V16" i="24"/>
  <c r="V54" i="24" s="1"/>
  <c r="P16" i="24"/>
  <c r="P54" i="24" s="1"/>
  <c r="O16" i="24"/>
  <c r="O54" i="24" s="1"/>
  <c r="N16" i="24"/>
  <c r="N54" i="24" s="1"/>
  <c r="M16" i="24"/>
  <c r="M54" i="24" s="1"/>
  <c r="L16" i="24"/>
  <c r="L54" i="24" s="1"/>
  <c r="K16" i="24"/>
  <c r="K54" i="24" s="1"/>
  <c r="J16" i="24"/>
  <c r="J54" i="24" s="1"/>
  <c r="Z15" i="24"/>
  <c r="Z53" i="24" s="1"/>
  <c r="Y15" i="24"/>
  <c r="Y53" i="24" s="1"/>
  <c r="X15" i="24"/>
  <c r="X53" i="24" s="1"/>
  <c r="W15" i="24"/>
  <c r="W53" i="24" s="1"/>
  <c r="V15" i="24"/>
  <c r="V53" i="24" s="1"/>
  <c r="P15" i="24"/>
  <c r="P53" i="24" s="1"/>
  <c r="O15" i="24"/>
  <c r="O53" i="24" s="1"/>
  <c r="N15" i="24"/>
  <c r="N53" i="24" s="1"/>
  <c r="M15" i="24"/>
  <c r="M53" i="24" s="1"/>
  <c r="L15" i="24"/>
  <c r="L53" i="24" s="1"/>
  <c r="K15" i="24"/>
  <c r="K53" i="24" s="1"/>
  <c r="J15" i="24"/>
  <c r="J53" i="24" s="1"/>
  <c r="F51" i="24"/>
  <c r="A51" i="24" s="1"/>
  <c r="B51" i="24"/>
  <c r="F50" i="24"/>
  <c r="A50" i="24" s="1"/>
  <c r="B50" i="24"/>
  <c r="F49" i="24"/>
  <c r="A49" i="24" s="1"/>
  <c r="B49" i="24"/>
  <c r="F48" i="24"/>
  <c r="A48" i="24" s="1"/>
  <c r="B48" i="24"/>
  <c r="F47" i="24"/>
  <c r="A47" i="24" s="1"/>
  <c r="B47" i="24"/>
  <c r="F46" i="24"/>
  <c r="A46" i="24" s="1"/>
  <c r="B46" i="24"/>
  <c r="F45" i="24"/>
  <c r="A45" i="24" s="1"/>
  <c r="B45" i="24"/>
  <c r="F44" i="24"/>
  <c r="A44" i="24" s="1"/>
  <c r="B44" i="24"/>
  <c r="F43" i="24"/>
  <c r="A43" i="24" s="1"/>
  <c r="B43" i="24"/>
  <c r="F42" i="24"/>
  <c r="A42" i="24" s="1"/>
  <c r="B42" i="24"/>
  <c r="F41" i="24"/>
  <c r="A41" i="24" s="1"/>
  <c r="B41" i="24"/>
  <c r="F40" i="24"/>
  <c r="A40" i="24" s="1"/>
  <c r="B40" i="24"/>
  <c r="F39" i="24"/>
  <c r="A39" i="24" s="1"/>
  <c r="B39" i="24"/>
  <c r="A2" i="24"/>
  <c r="F2" i="24" l="1"/>
  <c r="F27" i="18" s="1"/>
  <c r="D2" i="24"/>
  <c r="H2" i="24"/>
  <c r="G2" i="24"/>
  <c r="G27" i="18" s="1"/>
  <c r="C2" i="24"/>
  <c r="C27" i="18" s="1"/>
  <c r="E2" i="24"/>
  <c r="E27" i="18" s="1"/>
  <c r="I2" i="24"/>
  <c r="I27" i="18" s="1"/>
  <c r="B2" i="24"/>
  <c r="B27" i="18" s="1"/>
  <c r="Q2" i="24"/>
  <c r="R2" i="24"/>
  <c r="R27" i="18" s="1"/>
  <c r="U2" i="24"/>
  <c r="U27" i="18" s="1"/>
  <c r="S2" i="24"/>
  <c r="S27" i="18" s="1"/>
  <c r="T2" i="24"/>
  <c r="T27" i="18" s="1"/>
  <c r="P69" i="24"/>
  <c r="P2" i="24"/>
  <c r="P27" i="18" s="1"/>
  <c r="V69" i="24"/>
  <c r="V2" i="24"/>
  <c r="V27" i="18" s="1"/>
  <c r="O69" i="24"/>
  <c r="O2" i="24"/>
  <c r="O27" i="18" s="1"/>
  <c r="J69" i="24"/>
  <c r="J2" i="24"/>
  <c r="J27" i="18" s="1"/>
  <c r="W69" i="24"/>
  <c r="W2" i="24"/>
  <c r="W27" i="18" s="1"/>
  <c r="X69" i="24"/>
  <c r="X2" i="24"/>
  <c r="X27" i="18" s="1"/>
  <c r="L69" i="24"/>
  <c r="L2" i="24"/>
  <c r="L27" i="18" s="1"/>
  <c r="M69" i="24"/>
  <c r="M2" i="24"/>
  <c r="M27" i="18" s="1"/>
  <c r="Z69" i="24"/>
  <c r="Z2" i="24"/>
  <c r="Z27" i="18" s="1"/>
  <c r="K69" i="24"/>
  <c r="K2" i="24"/>
  <c r="K27" i="18" s="1"/>
  <c r="Y69" i="24"/>
  <c r="Y2" i="24"/>
  <c r="Y27" i="18" s="1"/>
  <c r="N69" i="24"/>
  <c r="N2" i="24"/>
  <c r="N27" i="18" s="1"/>
  <c r="D27" i="18"/>
  <c r="Q27" i="18"/>
  <c r="H27" i="18"/>
  <c r="A24" i="18"/>
  <c r="A20" i="18"/>
  <c r="Z51" i="23" l="1"/>
  <c r="Z93" i="23" s="1"/>
  <c r="Y51" i="23"/>
  <c r="Y93" i="23" s="1"/>
  <c r="X51" i="23"/>
  <c r="X93" i="23" s="1"/>
  <c r="W51" i="23"/>
  <c r="W93" i="23" s="1"/>
  <c r="V51" i="23"/>
  <c r="V93" i="23" s="1"/>
  <c r="U51" i="23"/>
  <c r="U93" i="23" s="1"/>
  <c r="T51" i="23"/>
  <c r="T93" i="23" s="1"/>
  <c r="S51" i="23"/>
  <c r="S93" i="23" s="1"/>
  <c r="R51" i="23"/>
  <c r="R93" i="23" s="1"/>
  <c r="Q51" i="23"/>
  <c r="Q93" i="23" s="1"/>
  <c r="P51" i="23"/>
  <c r="P93" i="23" s="1"/>
  <c r="O51" i="23"/>
  <c r="O93" i="23" s="1"/>
  <c r="N51" i="23"/>
  <c r="N93" i="23" s="1"/>
  <c r="M51" i="23"/>
  <c r="M93" i="23" s="1"/>
  <c r="L51" i="23"/>
  <c r="L93" i="23" s="1"/>
  <c r="K51" i="23"/>
  <c r="K93" i="23" s="1"/>
  <c r="J51" i="23"/>
  <c r="J93" i="23" s="1"/>
  <c r="Z50" i="23"/>
  <c r="Z92" i="23" s="1"/>
  <c r="Y50" i="23"/>
  <c r="Y92" i="23" s="1"/>
  <c r="X50" i="23"/>
  <c r="X92" i="23" s="1"/>
  <c r="W50" i="23"/>
  <c r="W92" i="23" s="1"/>
  <c r="V50" i="23"/>
  <c r="V92" i="23" s="1"/>
  <c r="U50" i="23"/>
  <c r="U92" i="23" s="1"/>
  <c r="T50" i="23"/>
  <c r="T92" i="23" s="1"/>
  <c r="S50" i="23"/>
  <c r="S92" i="23" s="1"/>
  <c r="R50" i="23"/>
  <c r="R92" i="23" s="1"/>
  <c r="Q50" i="23"/>
  <c r="Q92" i="23" s="1"/>
  <c r="P50" i="23"/>
  <c r="P92" i="23" s="1"/>
  <c r="O50" i="23"/>
  <c r="O92" i="23" s="1"/>
  <c r="N50" i="23"/>
  <c r="N92" i="23" s="1"/>
  <c r="M50" i="23"/>
  <c r="M92" i="23" s="1"/>
  <c r="L50" i="23"/>
  <c r="L92" i="23" s="1"/>
  <c r="K50" i="23"/>
  <c r="K92" i="23" s="1"/>
  <c r="J50" i="23"/>
  <c r="J92" i="23" s="1"/>
  <c r="Z49" i="23"/>
  <c r="Z91" i="23" s="1"/>
  <c r="Y49" i="23"/>
  <c r="Y91" i="23" s="1"/>
  <c r="X49" i="23"/>
  <c r="X91" i="23" s="1"/>
  <c r="W49" i="23"/>
  <c r="W91" i="23" s="1"/>
  <c r="V49" i="23"/>
  <c r="V91" i="23" s="1"/>
  <c r="U49" i="23"/>
  <c r="U91" i="23" s="1"/>
  <c r="T49" i="23"/>
  <c r="T91" i="23" s="1"/>
  <c r="S49" i="23"/>
  <c r="S91" i="23" s="1"/>
  <c r="R49" i="23"/>
  <c r="R91" i="23" s="1"/>
  <c r="Q49" i="23"/>
  <c r="Q91" i="23" s="1"/>
  <c r="P49" i="23"/>
  <c r="P91" i="23" s="1"/>
  <c r="O49" i="23"/>
  <c r="O91" i="23" s="1"/>
  <c r="N49" i="23"/>
  <c r="N91" i="23" s="1"/>
  <c r="M49" i="23"/>
  <c r="M91" i="23" s="1"/>
  <c r="L49" i="23"/>
  <c r="L91" i="23" s="1"/>
  <c r="K49" i="23"/>
  <c r="K91" i="23" s="1"/>
  <c r="J49" i="23"/>
  <c r="J91" i="23" s="1"/>
  <c r="Z48" i="23"/>
  <c r="Z90" i="23" s="1"/>
  <c r="Y48" i="23"/>
  <c r="Y90" i="23" s="1"/>
  <c r="X48" i="23"/>
  <c r="X90" i="23" s="1"/>
  <c r="W48" i="23"/>
  <c r="W90" i="23" s="1"/>
  <c r="V48" i="23"/>
  <c r="V90" i="23" s="1"/>
  <c r="U48" i="23"/>
  <c r="U90" i="23" s="1"/>
  <c r="T48" i="23"/>
  <c r="T90" i="23" s="1"/>
  <c r="S48" i="23"/>
  <c r="S90" i="23" s="1"/>
  <c r="R48" i="23"/>
  <c r="R90" i="23" s="1"/>
  <c r="Q48" i="23"/>
  <c r="Q90" i="23" s="1"/>
  <c r="P48" i="23"/>
  <c r="P90" i="23" s="1"/>
  <c r="O48" i="23"/>
  <c r="O90" i="23" s="1"/>
  <c r="N48" i="23"/>
  <c r="N90" i="23" s="1"/>
  <c r="M48" i="23"/>
  <c r="M90" i="23" s="1"/>
  <c r="L48" i="23"/>
  <c r="L90" i="23" s="1"/>
  <c r="K48" i="23"/>
  <c r="K90" i="23" s="1"/>
  <c r="J48" i="23"/>
  <c r="J90" i="23" s="1"/>
  <c r="Z47" i="23"/>
  <c r="Z89" i="23" s="1"/>
  <c r="Y47" i="23"/>
  <c r="Y89" i="23" s="1"/>
  <c r="X47" i="23"/>
  <c r="X89" i="23" s="1"/>
  <c r="W47" i="23"/>
  <c r="W89" i="23" s="1"/>
  <c r="V47" i="23"/>
  <c r="V89" i="23" s="1"/>
  <c r="U47" i="23"/>
  <c r="U89" i="23" s="1"/>
  <c r="T47" i="23"/>
  <c r="T89" i="23" s="1"/>
  <c r="S47" i="23"/>
  <c r="S89" i="23" s="1"/>
  <c r="R47" i="23"/>
  <c r="R89" i="23" s="1"/>
  <c r="Q47" i="23"/>
  <c r="Q89" i="23" s="1"/>
  <c r="P47" i="23"/>
  <c r="P89" i="23" s="1"/>
  <c r="O47" i="23"/>
  <c r="O89" i="23" s="1"/>
  <c r="N47" i="23"/>
  <c r="N89" i="23" s="1"/>
  <c r="M47" i="23"/>
  <c r="M89" i="23" s="1"/>
  <c r="L47" i="23"/>
  <c r="L89" i="23" s="1"/>
  <c r="K47" i="23"/>
  <c r="K89" i="23" s="1"/>
  <c r="J47" i="23"/>
  <c r="J89" i="23" s="1"/>
  <c r="Z46" i="23"/>
  <c r="Z88" i="23" s="1"/>
  <c r="Y46" i="23"/>
  <c r="Y88" i="23" s="1"/>
  <c r="X46" i="23"/>
  <c r="X88" i="23" s="1"/>
  <c r="W46" i="23"/>
  <c r="W88" i="23" s="1"/>
  <c r="V46" i="23"/>
  <c r="V88" i="23" s="1"/>
  <c r="U46" i="23"/>
  <c r="U88" i="23" s="1"/>
  <c r="T46" i="23"/>
  <c r="T88" i="23" s="1"/>
  <c r="S46" i="23"/>
  <c r="S88" i="23" s="1"/>
  <c r="R46" i="23"/>
  <c r="R88" i="23" s="1"/>
  <c r="Q46" i="23"/>
  <c r="Q88" i="23" s="1"/>
  <c r="P46" i="23"/>
  <c r="P88" i="23" s="1"/>
  <c r="O46" i="23"/>
  <c r="O88" i="23" s="1"/>
  <c r="N46" i="23"/>
  <c r="N88" i="23" s="1"/>
  <c r="M46" i="23"/>
  <c r="M88" i="23" s="1"/>
  <c r="L46" i="23"/>
  <c r="L88" i="23" s="1"/>
  <c r="K46" i="23"/>
  <c r="K88" i="23" s="1"/>
  <c r="J46" i="23"/>
  <c r="J88" i="23" s="1"/>
  <c r="Z45" i="23"/>
  <c r="Z87" i="23" s="1"/>
  <c r="Y45" i="23"/>
  <c r="Y87" i="23" s="1"/>
  <c r="X45" i="23"/>
  <c r="X87" i="23" s="1"/>
  <c r="W45" i="23"/>
  <c r="W87" i="23" s="1"/>
  <c r="V45" i="23"/>
  <c r="V87" i="23" s="1"/>
  <c r="U45" i="23"/>
  <c r="U87" i="23" s="1"/>
  <c r="T45" i="23"/>
  <c r="T87" i="23" s="1"/>
  <c r="S45" i="23"/>
  <c r="S87" i="23" s="1"/>
  <c r="R45" i="23"/>
  <c r="R87" i="23" s="1"/>
  <c r="Q45" i="23"/>
  <c r="Q87" i="23" s="1"/>
  <c r="P45" i="23"/>
  <c r="P87" i="23" s="1"/>
  <c r="O45" i="23"/>
  <c r="O87" i="23" s="1"/>
  <c r="N45" i="23"/>
  <c r="N87" i="23" s="1"/>
  <c r="M45" i="23"/>
  <c r="M87" i="23" s="1"/>
  <c r="L45" i="23"/>
  <c r="L87" i="23" s="1"/>
  <c r="K45" i="23"/>
  <c r="K87" i="23" s="1"/>
  <c r="J45" i="23"/>
  <c r="J87" i="23" s="1"/>
  <c r="Z44" i="23"/>
  <c r="Z86" i="23" s="1"/>
  <c r="Y44" i="23"/>
  <c r="Y86" i="23" s="1"/>
  <c r="X44" i="23"/>
  <c r="X86" i="23" s="1"/>
  <c r="W44" i="23"/>
  <c r="W86" i="23" s="1"/>
  <c r="V44" i="23"/>
  <c r="V86" i="23" s="1"/>
  <c r="U44" i="23"/>
  <c r="U86" i="23" s="1"/>
  <c r="T44" i="23"/>
  <c r="T86" i="23" s="1"/>
  <c r="S44" i="23"/>
  <c r="S86" i="23" s="1"/>
  <c r="R44" i="23"/>
  <c r="R86" i="23" s="1"/>
  <c r="Q44" i="23"/>
  <c r="Q86" i="23" s="1"/>
  <c r="P44" i="23"/>
  <c r="P86" i="23" s="1"/>
  <c r="O44" i="23"/>
  <c r="O86" i="23" s="1"/>
  <c r="N44" i="23"/>
  <c r="N86" i="23" s="1"/>
  <c r="M44" i="23"/>
  <c r="M86" i="23" s="1"/>
  <c r="L44" i="23"/>
  <c r="L86" i="23" s="1"/>
  <c r="K44" i="23"/>
  <c r="K86" i="23" s="1"/>
  <c r="J44" i="23"/>
  <c r="J86" i="23" s="1"/>
  <c r="Z43" i="23"/>
  <c r="Z85" i="23" s="1"/>
  <c r="Y43" i="23"/>
  <c r="Y85" i="23" s="1"/>
  <c r="X43" i="23"/>
  <c r="X85" i="23" s="1"/>
  <c r="W43" i="23"/>
  <c r="W85" i="23" s="1"/>
  <c r="V43" i="23"/>
  <c r="V85" i="23" s="1"/>
  <c r="U43" i="23"/>
  <c r="U85" i="23" s="1"/>
  <c r="T43" i="23"/>
  <c r="T85" i="23" s="1"/>
  <c r="S43" i="23"/>
  <c r="S85" i="23" s="1"/>
  <c r="R43" i="23"/>
  <c r="R85" i="23" s="1"/>
  <c r="Q43" i="23"/>
  <c r="Q85" i="23" s="1"/>
  <c r="P43" i="23"/>
  <c r="P85" i="23" s="1"/>
  <c r="O43" i="23"/>
  <c r="O85" i="23" s="1"/>
  <c r="N43" i="23"/>
  <c r="N85" i="23" s="1"/>
  <c r="M43" i="23"/>
  <c r="M85" i="23" s="1"/>
  <c r="L43" i="23"/>
  <c r="L85" i="23" s="1"/>
  <c r="K43" i="23"/>
  <c r="K85" i="23" s="1"/>
  <c r="J43" i="23"/>
  <c r="J85" i="23" s="1"/>
  <c r="Z42" i="23"/>
  <c r="Z84" i="23" s="1"/>
  <c r="Y42" i="23"/>
  <c r="Y84" i="23" s="1"/>
  <c r="X42" i="23"/>
  <c r="X84" i="23" s="1"/>
  <c r="W42" i="23"/>
  <c r="W84" i="23" s="1"/>
  <c r="V42" i="23"/>
  <c r="V84" i="23" s="1"/>
  <c r="U42" i="23"/>
  <c r="U84" i="23" s="1"/>
  <c r="T42" i="23"/>
  <c r="T84" i="23" s="1"/>
  <c r="S42" i="23"/>
  <c r="S84" i="23" s="1"/>
  <c r="R42" i="23"/>
  <c r="R84" i="23" s="1"/>
  <c r="Q42" i="23"/>
  <c r="Q84" i="23" s="1"/>
  <c r="P42" i="23"/>
  <c r="P84" i="23" s="1"/>
  <c r="O42" i="23"/>
  <c r="O84" i="23" s="1"/>
  <c r="N42" i="23"/>
  <c r="N84" i="23" s="1"/>
  <c r="M42" i="23"/>
  <c r="M84" i="23" s="1"/>
  <c r="L42" i="23"/>
  <c r="L84" i="23" s="1"/>
  <c r="K42" i="23"/>
  <c r="K84" i="23" s="1"/>
  <c r="J42" i="23"/>
  <c r="J84" i="23" s="1"/>
  <c r="Z41" i="23"/>
  <c r="Z83" i="23" s="1"/>
  <c r="Y41" i="23"/>
  <c r="Y83" i="23" s="1"/>
  <c r="X41" i="23"/>
  <c r="X83" i="23" s="1"/>
  <c r="W41" i="23"/>
  <c r="W83" i="23" s="1"/>
  <c r="V41" i="23"/>
  <c r="V83" i="23" s="1"/>
  <c r="U41" i="23"/>
  <c r="U83" i="23" s="1"/>
  <c r="T41" i="23"/>
  <c r="T83" i="23" s="1"/>
  <c r="S41" i="23"/>
  <c r="S83" i="23" s="1"/>
  <c r="R41" i="23"/>
  <c r="R83" i="23" s="1"/>
  <c r="Q41" i="23"/>
  <c r="Q83" i="23" s="1"/>
  <c r="P41" i="23"/>
  <c r="P83" i="23" s="1"/>
  <c r="O41" i="23"/>
  <c r="O83" i="23" s="1"/>
  <c r="N41" i="23"/>
  <c r="N83" i="23" s="1"/>
  <c r="M41" i="23"/>
  <c r="M83" i="23" s="1"/>
  <c r="L41" i="23"/>
  <c r="L83" i="23" s="1"/>
  <c r="K41" i="23"/>
  <c r="K83" i="23" s="1"/>
  <c r="J41" i="23"/>
  <c r="J83" i="23" s="1"/>
  <c r="Z40" i="23"/>
  <c r="Z82" i="23" s="1"/>
  <c r="Y40" i="23"/>
  <c r="Y82" i="23" s="1"/>
  <c r="X40" i="23"/>
  <c r="X82" i="23" s="1"/>
  <c r="W40" i="23"/>
  <c r="W82" i="23" s="1"/>
  <c r="V40" i="23"/>
  <c r="V82" i="23" s="1"/>
  <c r="U40" i="23"/>
  <c r="U82" i="23" s="1"/>
  <c r="T40" i="23"/>
  <c r="T82" i="23" s="1"/>
  <c r="S40" i="23"/>
  <c r="S82" i="23" s="1"/>
  <c r="R40" i="23"/>
  <c r="R82" i="23" s="1"/>
  <c r="Q40" i="23"/>
  <c r="Q82" i="23" s="1"/>
  <c r="P40" i="23"/>
  <c r="P82" i="23" s="1"/>
  <c r="O40" i="23"/>
  <c r="O82" i="23" s="1"/>
  <c r="N40" i="23"/>
  <c r="N82" i="23" s="1"/>
  <c r="M40" i="23"/>
  <c r="M82" i="23" s="1"/>
  <c r="L40" i="23"/>
  <c r="L82" i="23" s="1"/>
  <c r="K40" i="23"/>
  <c r="K82" i="23" s="1"/>
  <c r="J40" i="23"/>
  <c r="J82" i="23" s="1"/>
  <c r="Z39" i="23"/>
  <c r="Z81" i="23" s="1"/>
  <c r="Y39" i="23"/>
  <c r="Y81" i="23" s="1"/>
  <c r="X39" i="23"/>
  <c r="X81" i="23" s="1"/>
  <c r="W39" i="23"/>
  <c r="W81" i="23" s="1"/>
  <c r="V39" i="23"/>
  <c r="V81" i="23" s="1"/>
  <c r="U39" i="23"/>
  <c r="U81" i="23" s="1"/>
  <c r="T39" i="23"/>
  <c r="T81" i="23" s="1"/>
  <c r="S39" i="23"/>
  <c r="S81" i="23" s="1"/>
  <c r="R39" i="23"/>
  <c r="R81" i="23" s="1"/>
  <c r="Q39" i="23"/>
  <c r="Q81" i="23" s="1"/>
  <c r="P39" i="23"/>
  <c r="P81" i="23" s="1"/>
  <c r="O39" i="23"/>
  <c r="O81" i="23" s="1"/>
  <c r="N39" i="23"/>
  <c r="N81" i="23" s="1"/>
  <c r="M39" i="23"/>
  <c r="M81" i="23" s="1"/>
  <c r="L39" i="23"/>
  <c r="L81" i="23" s="1"/>
  <c r="K39" i="23"/>
  <c r="K81" i="23" s="1"/>
  <c r="J39" i="23"/>
  <c r="J81" i="23" s="1"/>
  <c r="Z38" i="23"/>
  <c r="Z80" i="23" s="1"/>
  <c r="Y38" i="23"/>
  <c r="Y80" i="23" s="1"/>
  <c r="X38" i="23"/>
  <c r="X80" i="23" s="1"/>
  <c r="W38" i="23"/>
  <c r="W80" i="23" s="1"/>
  <c r="V38" i="23"/>
  <c r="V80" i="23" s="1"/>
  <c r="U38" i="23"/>
  <c r="U80" i="23" s="1"/>
  <c r="T38" i="23"/>
  <c r="T80" i="23" s="1"/>
  <c r="S38" i="23"/>
  <c r="S80" i="23" s="1"/>
  <c r="R38" i="23"/>
  <c r="R80" i="23" s="1"/>
  <c r="Q38" i="23"/>
  <c r="Q80" i="23" s="1"/>
  <c r="P38" i="23"/>
  <c r="P80" i="23" s="1"/>
  <c r="O38" i="23"/>
  <c r="O80" i="23" s="1"/>
  <c r="N38" i="23"/>
  <c r="N80" i="23" s="1"/>
  <c r="M38" i="23"/>
  <c r="M80" i="23" s="1"/>
  <c r="L38" i="23"/>
  <c r="L80" i="23" s="1"/>
  <c r="K38" i="23"/>
  <c r="K80" i="23" s="1"/>
  <c r="J38" i="23"/>
  <c r="J80" i="23" s="1"/>
  <c r="Z37" i="23"/>
  <c r="Z79" i="23" s="1"/>
  <c r="Y37" i="23"/>
  <c r="Y79" i="23" s="1"/>
  <c r="X37" i="23"/>
  <c r="X79" i="23" s="1"/>
  <c r="W37" i="23"/>
  <c r="W79" i="23" s="1"/>
  <c r="V37" i="23"/>
  <c r="V79" i="23" s="1"/>
  <c r="U37" i="23"/>
  <c r="U79" i="23" s="1"/>
  <c r="T37" i="23"/>
  <c r="T79" i="23" s="1"/>
  <c r="S37" i="23"/>
  <c r="S79" i="23" s="1"/>
  <c r="R37" i="23"/>
  <c r="R79" i="23" s="1"/>
  <c r="Q37" i="23"/>
  <c r="Q79" i="23" s="1"/>
  <c r="P37" i="23"/>
  <c r="P79" i="23" s="1"/>
  <c r="O37" i="23"/>
  <c r="O79" i="23" s="1"/>
  <c r="N37" i="23"/>
  <c r="N79" i="23" s="1"/>
  <c r="M37" i="23"/>
  <c r="M79" i="23" s="1"/>
  <c r="L37" i="23"/>
  <c r="L79" i="23" s="1"/>
  <c r="K37" i="23"/>
  <c r="K79" i="23" s="1"/>
  <c r="J37" i="23"/>
  <c r="J79" i="23" s="1"/>
  <c r="Z36" i="23"/>
  <c r="Z78" i="23" s="1"/>
  <c r="Y36" i="23"/>
  <c r="Y78" i="23" s="1"/>
  <c r="X36" i="23"/>
  <c r="X78" i="23" s="1"/>
  <c r="W36" i="23"/>
  <c r="W78" i="23" s="1"/>
  <c r="V36" i="23"/>
  <c r="V78" i="23" s="1"/>
  <c r="U36" i="23"/>
  <c r="U78" i="23" s="1"/>
  <c r="T36" i="23"/>
  <c r="T78" i="23" s="1"/>
  <c r="S36" i="23"/>
  <c r="S78" i="23" s="1"/>
  <c r="R36" i="23"/>
  <c r="R78" i="23" s="1"/>
  <c r="Q36" i="23"/>
  <c r="Q78" i="23" s="1"/>
  <c r="P36" i="23"/>
  <c r="P78" i="23" s="1"/>
  <c r="O36" i="23"/>
  <c r="O78" i="23" s="1"/>
  <c r="N36" i="23"/>
  <c r="N78" i="23" s="1"/>
  <c r="M36" i="23"/>
  <c r="M78" i="23" s="1"/>
  <c r="L36" i="23"/>
  <c r="L78" i="23" s="1"/>
  <c r="K36" i="23"/>
  <c r="K78" i="23" s="1"/>
  <c r="J36" i="23"/>
  <c r="J78" i="23" s="1"/>
  <c r="Z35" i="23"/>
  <c r="Z77" i="23" s="1"/>
  <c r="Y35" i="23"/>
  <c r="Y77" i="23" s="1"/>
  <c r="X35" i="23"/>
  <c r="X77" i="23" s="1"/>
  <c r="W35" i="23"/>
  <c r="W77" i="23" s="1"/>
  <c r="V35" i="23"/>
  <c r="V77" i="23" s="1"/>
  <c r="U35" i="23"/>
  <c r="U77" i="23" s="1"/>
  <c r="T35" i="23"/>
  <c r="T77" i="23" s="1"/>
  <c r="S35" i="23"/>
  <c r="S77" i="23" s="1"/>
  <c r="R35" i="23"/>
  <c r="R77" i="23" s="1"/>
  <c r="Q35" i="23"/>
  <c r="Q77" i="23" s="1"/>
  <c r="P35" i="23"/>
  <c r="P77" i="23" s="1"/>
  <c r="O35" i="23"/>
  <c r="O77" i="23" s="1"/>
  <c r="N35" i="23"/>
  <c r="N77" i="23" s="1"/>
  <c r="M35" i="23"/>
  <c r="M77" i="23" s="1"/>
  <c r="L35" i="23"/>
  <c r="L77" i="23" s="1"/>
  <c r="K35" i="23"/>
  <c r="K77" i="23" s="1"/>
  <c r="J35" i="23"/>
  <c r="J77" i="23" s="1"/>
  <c r="Z32" i="23"/>
  <c r="Z74" i="23" s="1"/>
  <c r="Y32" i="23"/>
  <c r="Y74" i="23" s="1"/>
  <c r="X32" i="23"/>
  <c r="X74" i="23" s="1"/>
  <c r="W32" i="23"/>
  <c r="W74" i="23" s="1"/>
  <c r="V32" i="23"/>
  <c r="V74" i="23" s="1"/>
  <c r="U32" i="23"/>
  <c r="U74" i="23" s="1"/>
  <c r="T32" i="23"/>
  <c r="T74" i="23" s="1"/>
  <c r="S32" i="23"/>
  <c r="S74" i="23" s="1"/>
  <c r="R32" i="23"/>
  <c r="R74" i="23" s="1"/>
  <c r="Q32" i="23"/>
  <c r="Q74" i="23" s="1"/>
  <c r="P32" i="23"/>
  <c r="P74" i="23" s="1"/>
  <c r="O32" i="23"/>
  <c r="O74" i="23" s="1"/>
  <c r="N32" i="23"/>
  <c r="N74" i="23" s="1"/>
  <c r="M32" i="23"/>
  <c r="M74" i="23" s="1"/>
  <c r="L32" i="23"/>
  <c r="L74" i="23" s="1"/>
  <c r="K32" i="23"/>
  <c r="K74" i="23" s="1"/>
  <c r="J32" i="23"/>
  <c r="J74" i="23" s="1"/>
  <c r="Z31" i="23"/>
  <c r="Z73" i="23" s="1"/>
  <c r="Y31" i="23"/>
  <c r="Y73" i="23" s="1"/>
  <c r="X31" i="23"/>
  <c r="X73" i="23" s="1"/>
  <c r="W31" i="23"/>
  <c r="W73" i="23" s="1"/>
  <c r="V31" i="23"/>
  <c r="V73" i="23" s="1"/>
  <c r="U31" i="23"/>
  <c r="U73" i="23" s="1"/>
  <c r="T31" i="23"/>
  <c r="T73" i="23" s="1"/>
  <c r="S31" i="23"/>
  <c r="S73" i="23" s="1"/>
  <c r="R31" i="23"/>
  <c r="R73" i="23" s="1"/>
  <c r="Q31" i="23"/>
  <c r="Q73" i="23" s="1"/>
  <c r="P31" i="23"/>
  <c r="P73" i="23" s="1"/>
  <c r="O31" i="23"/>
  <c r="O73" i="23" s="1"/>
  <c r="N31" i="23"/>
  <c r="N73" i="23" s="1"/>
  <c r="M31" i="23"/>
  <c r="M73" i="23" s="1"/>
  <c r="L31" i="23"/>
  <c r="L73" i="23" s="1"/>
  <c r="K31" i="23"/>
  <c r="K73" i="23" s="1"/>
  <c r="J31" i="23"/>
  <c r="J73" i="23" s="1"/>
  <c r="Z30" i="23"/>
  <c r="Z72" i="23" s="1"/>
  <c r="Y30" i="23"/>
  <c r="Y72" i="23" s="1"/>
  <c r="X30" i="23"/>
  <c r="X72" i="23" s="1"/>
  <c r="W30" i="23"/>
  <c r="W72" i="23" s="1"/>
  <c r="V30" i="23"/>
  <c r="V72" i="23" s="1"/>
  <c r="U30" i="23"/>
  <c r="U72" i="23" s="1"/>
  <c r="T30" i="23"/>
  <c r="T72" i="23" s="1"/>
  <c r="S30" i="23"/>
  <c r="S72" i="23" s="1"/>
  <c r="R30" i="23"/>
  <c r="R72" i="23" s="1"/>
  <c r="Q30" i="23"/>
  <c r="Q72" i="23" s="1"/>
  <c r="P30" i="23"/>
  <c r="P72" i="23" s="1"/>
  <c r="O30" i="23"/>
  <c r="O72" i="23" s="1"/>
  <c r="N30" i="23"/>
  <c r="N72" i="23" s="1"/>
  <c r="M30" i="23"/>
  <c r="M72" i="23" s="1"/>
  <c r="L30" i="23"/>
  <c r="L72" i="23" s="1"/>
  <c r="K30" i="23"/>
  <c r="K72" i="23" s="1"/>
  <c r="J30" i="23"/>
  <c r="J72" i="23" s="1"/>
  <c r="Z29" i="23"/>
  <c r="Z71" i="23" s="1"/>
  <c r="Y29" i="23"/>
  <c r="Y71" i="23" s="1"/>
  <c r="X29" i="23"/>
  <c r="X71" i="23" s="1"/>
  <c r="W29" i="23"/>
  <c r="W71" i="23" s="1"/>
  <c r="V29" i="23"/>
  <c r="V71" i="23" s="1"/>
  <c r="U29" i="23"/>
  <c r="U71" i="23" s="1"/>
  <c r="T29" i="23"/>
  <c r="T71" i="23" s="1"/>
  <c r="S29" i="23"/>
  <c r="S71" i="23" s="1"/>
  <c r="R29" i="23"/>
  <c r="R71" i="23" s="1"/>
  <c r="Q29" i="23"/>
  <c r="Q71" i="23" s="1"/>
  <c r="P29" i="23"/>
  <c r="P71" i="23" s="1"/>
  <c r="O29" i="23"/>
  <c r="O71" i="23" s="1"/>
  <c r="N29" i="23"/>
  <c r="N71" i="23" s="1"/>
  <c r="M29" i="23"/>
  <c r="M71" i="23" s="1"/>
  <c r="L29" i="23"/>
  <c r="L71" i="23" s="1"/>
  <c r="K29" i="23"/>
  <c r="K71" i="23" s="1"/>
  <c r="J29" i="23"/>
  <c r="J71" i="23" s="1"/>
  <c r="Z28" i="23"/>
  <c r="Z70" i="23" s="1"/>
  <c r="Y28" i="23"/>
  <c r="Y70" i="23" s="1"/>
  <c r="X28" i="23"/>
  <c r="X70" i="23" s="1"/>
  <c r="W28" i="23"/>
  <c r="W70" i="23" s="1"/>
  <c r="V28" i="23"/>
  <c r="V70" i="23" s="1"/>
  <c r="U28" i="23"/>
  <c r="U70" i="23" s="1"/>
  <c r="T28" i="23"/>
  <c r="T70" i="23" s="1"/>
  <c r="S28" i="23"/>
  <c r="S70" i="23" s="1"/>
  <c r="R28" i="23"/>
  <c r="R70" i="23" s="1"/>
  <c r="Q28" i="23"/>
  <c r="Q70" i="23" s="1"/>
  <c r="P28" i="23"/>
  <c r="P70" i="23" s="1"/>
  <c r="O28" i="23"/>
  <c r="O70" i="23" s="1"/>
  <c r="N28" i="23"/>
  <c r="N70" i="23" s="1"/>
  <c r="M28" i="23"/>
  <c r="M70" i="23" s="1"/>
  <c r="L28" i="23"/>
  <c r="L70" i="23" s="1"/>
  <c r="K28" i="23"/>
  <c r="K70" i="23" s="1"/>
  <c r="J28" i="23"/>
  <c r="J70" i="23" s="1"/>
  <c r="Z27" i="23"/>
  <c r="Z69" i="23" s="1"/>
  <c r="Y27" i="23"/>
  <c r="Y69" i="23" s="1"/>
  <c r="X27" i="23"/>
  <c r="X69" i="23" s="1"/>
  <c r="W27" i="23"/>
  <c r="W69" i="23" s="1"/>
  <c r="V27" i="23"/>
  <c r="V69" i="23" s="1"/>
  <c r="U27" i="23"/>
  <c r="U69" i="23" s="1"/>
  <c r="T27" i="23"/>
  <c r="T69" i="23" s="1"/>
  <c r="S27" i="23"/>
  <c r="S69" i="23" s="1"/>
  <c r="R27" i="23"/>
  <c r="R69" i="23" s="1"/>
  <c r="Q27" i="23"/>
  <c r="Q69" i="23" s="1"/>
  <c r="P27" i="23"/>
  <c r="P69" i="23" s="1"/>
  <c r="O27" i="23"/>
  <c r="O69" i="23" s="1"/>
  <c r="N27" i="23"/>
  <c r="N69" i="23" s="1"/>
  <c r="M27" i="23"/>
  <c r="M69" i="23" s="1"/>
  <c r="L27" i="23"/>
  <c r="L69" i="23" s="1"/>
  <c r="K27" i="23"/>
  <c r="K69" i="23" s="1"/>
  <c r="J27" i="23"/>
  <c r="J69" i="23" s="1"/>
  <c r="Z26" i="23"/>
  <c r="Z68" i="23" s="1"/>
  <c r="Y26" i="23"/>
  <c r="Y68" i="23" s="1"/>
  <c r="X26" i="23"/>
  <c r="X68" i="23" s="1"/>
  <c r="W26" i="23"/>
  <c r="W68" i="23" s="1"/>
  <c r="V26" i="23"/>
  <c r="V68" i="23" s="1"/>
  <c r="U26" i="23"/>
  <c r="U68" i="23" s="1"/>
  <c r="T26" i="23"/>
  <c r="T68" i="23" s="1"/>
  <c r="S26" i="23"/>
  <c r="S68" i="23" s="1"/>
  <c r="R26" i="23"/>
  <c r="R68" i="23" s="1"/>
  <c r="Q26" i="23"/>
  <c r="Q68" i="23" s="1"/>
  <c r="P26" i="23"/>
  <c r="P68" i="23" s="1"/>
  <c r="O26" i="23"/>
  <c r="O68" i="23" s="1"/>
  <c r="N26" i="23"/>
  <c r="N68" i="23" s="1"/>
  <c r="M26" i="23"/>
  <c r="M68" i="23" s="1"/>
  <c r="L26" i="23"/>
  <c r="L68" i="23" s="1"/>
  <c r="K26" i="23"/>
  <c r="K68" i="23" s="1"/>
  <c r="J26" i="23"/>
  <c r="J68" i="23" s="1"/>
  <c r="Z25" i="23"/>
  <c r="Z67" i="23" s="1"/>
  <c r="Y25" i="23"/>
  <c r="Y67" i="23" s="1"/>
  <c r="X25" i="23"/>
  <c r="X67" i="23" s="1"/>
  <c r="W25" i="23"/>
  <c r="W67" i="23" s="1"/>
  <c r="V25" i="23"/>
  <c r="V67" i="23" s="1"/>
  <c r="U25" i="23"/>
  <c r="U67" i="23" s="1"/>
  <c r="T25" i="23"/>
  <c r="T67" i="23" s="1"/>
  <c r="S25" i="23"/>
  <c r="S67" i="23" s="1"/>
  <c r="R25" i="23"/>
  <c r="R67" i="23" s="1"/>
  <c r="Q25" i="23"/>
  <c r="Q67" i="23" s="1"/>
  <c r="P25" i="23"/>
  <c r="P67" i="23" s="1"/>
  <c r="O25" i="23"/>
  <c r="O67" i="23" s="1"/>
  <c r="N25" i="23"/>
  <c r="N67" i="23" s="1"/>
  <c r="M25" i="23"/>
  <c r="M67" i="23" s="1"/>
  <c r="L25" i="23"/>
  <c r="L67" i="23" s="1"/>
  <c r="K25" i="23"/>
  <c r="K67" i="23" s="1"/>
  <c r="J25" i="23"/>
  <c r="J67" i="23" s="1"/>
  <c r="Z22" i="23"/>
  <c r="Z64" i="23" s="1"/>
  <c r="Y22" i="23"/>
  <c r="Y64" i="23" s="1"/>
  <c r="X22" i="23"/>
  <c r="X64" i="23" s="1"/>
  <c r="W22" i="23"/>
  <c r="W64" i="23" s="1"/>
  <c r="V22" i="23"/>
  <c r="V64" i="23" s="1"/>
  <c r="U22" i="23"/>
  <c r="U64" i="23" s="1"/>
  <c r="T22" i="23"/>
  <c r="T64" i="23" s="1"/>
  <c r="S22" i="23"/>
  <c r="S64" i="23" s="1"/>
  <c r="R22" i="23"/>
  <c r="R64" i="23" s="1"/>
  <c r="Q22" i="23"/>
  <c r="Q64" i="23" s="1"/>
  <c r="P22" i="23"/>
  <c r="P64" i="23" s="1"/>
  <c r="O22" i="23"/>
  <c r="O64" i="23" s="1"/>
  <c r="N22" i="23"/>
  <c r="N64" i="23" s="1"/>
  <c r="M22" i="23"/>
  <c r="M64" i="23" s="1"/>
  <c r="L22" i="23"/>
  <c r="L64" i="23" s="1"/>
  <c r="K22" i="23"/>
  <c r="K64" i="23" s="1"/>
  <c r="J22" i="23"/>
  <c r="J64" i="23" s="1"/>
  <c r="Z21" i="23"/>
  <c r="Z63" i="23" s="1"/>
  <c r="Y21" i="23"/>
  <c r="Y63" i="23" s="1"/>
  <c r="X21" i="23"/>
  <c r="X63" i="23" s="1"/>
  <c r="W21" i="23"/>
  <c r="W63" i="23" s="1"/>
  <c r="V21" i="23"/>
  <c r="V63" i="23" s="1"/>
  <c r="U21" i="23"/>
  <c r="U63" i="23" s="1"/>
  <c r="T21" i="23"/>
  <c r="T63" i="23" s="1"/>
  <c r="S21" i="23"/>
  <c r="S63" i="23" s="1"/>
  <c r="R21" i="23"/>
  <c r="R63" i="23" s="1"/>
  <c r="Q21" i="23"/>
  <c r="Q63" i="23" s="1"/>
  <c r="P21" i="23"/>
  <c r="P63" i="23" s="1"/>
  <c r="O21" i="23"/>
  <c r="O63" i="23" s="1"/>
  <c r="N21" i="23"/>
  <c r="N63" i="23" s="1"/>
  <c r="M21" i="23"/>
  <c r="M63" i="23" s="1"/>
  <c r="L21" i="23"/>
  <c r="L63" i="23" s="1"/>
  <c r="K21" i="23"/>
  <c r="K63" i="23" s="1"/>
  <c r="J21" i="23"/>
  <c r="J63" i="23" s="1"/>
  <c r="Z20" i="23"/>
  <c r="Z62" i="23" s="1"/>
  <c r="Y20" i="23"/>
  <c r="Y62" i="23" s="1"/>
  <c r="X20" i="23"/>
  <c r="X62" i="23" s="1"/>
  <c r="W20" i="23"/>
  <c r="W62" i="23" s="1"/>
  <c r="V20" i="23"/>
  <c r="V62" i="23" s="1"/>
  <c r="U20" i="23"/>
  <c r="U62" i="23" s="1"/>
  <c r="T20" i="23"/>
  <c r="T62" i="23" s="1"/>
  <c r="S20" i="23"/>
  <c r="S62" i="23" s="1"/>
  <c r="R20" i="23"/>
  <c r="R62" i="23" s="1"/>
  <c r="Q20" i="23"/>
  <c r="Q62" i="23" s="1"/>
  <c r="P20" i="23"/>
  <c r="P62" i="23" s="1"/>
  <c r="O20" i="23"/>
  <c r="O62" i="23" s="1"/>
  <c r="N20" i="23"/>
  <c r="N62" i="23" s="1"/>
  <c r="M20" i="23"/>
  <c r="M62" i="23" s="1"/>
  <c r="L20" i="23"/>
  <c r="L62" i="23" s="1"/>
  <c r="K20" i="23"/>
  <c r="K62" i="23" s="1"/>
  <c r="J20" i="23"/>
  <c r="J62" i="23" s="1"/>
  <c r="Z19" i="23"/>
  <c r="Z61" i="23" s="1"/>
  <c r="Y19" i="23"/>
  <c r="Y61" i="23" s="1"/>
  <c r="X19" i="23"/>
  <c r="X61" i="23" s="1"/>
  <c r="W19" i="23"/>
  <c r="W61" i="23" s="1"/>
  <c r="V19" i="23"/>
  <c r="V61" i="23" s="1"/>
  <c r="U19" i="23"/>
  <c r="U61" i="23" s="1"/>
  <c r="T19" i="23"/>
  <c r="T61" i="23" s="1"/>
  <c r="S19" i="23"/>
  <c r="S61" i="23" s="1"/>
  <c r="R19" i="23"/>
  <c r="R61" i="23" s="1"/>
  <c r="Q19" i="23"/>
  <c r="Q61" i="23" s="1"/>
  <c r="P19" i="23"/>
  <c r="P61" i="23" s="1"/>
  <c r="O19" i="23"/>
  <c r="O61" i="23" s="1"/>
  <c r="N19" i="23"/>
  <c r="N61" i="23" s="1"/>
  <c r="M19" i="23"/>
  <c r="M61" i="23" s="1"/>
  <c r="L19" i="23"/>
  <c r="L61" i="23" s="1"/>
  <c r="K19" i="23"/>
  <c r="K61" i="23" s="1"/>
  <c r="J19" i="23"/>
  <c r="J61" i="23" s="1"/>
  <c r="Z18" i="23"/>
  <c r="Z60" i="23" s="1"/>
  <c r="Y18" i="23"/>
  <c r="Y60" i="23" s="1"/>
  <c r="X18" i="23"/>
  <c r="X60" i="23" s="1"/>
  <c r="W18" i="23"/>
  <c r="W60" i="23" s="1"/>
  <c r="V18" i="23"/>
  <c r="V60" i="23" s="1"/>
  <c r="U18" i="23"/>
  <c r="U60" i="23" s="1"/>
  <c r="T18" i="23"/>
  <c r="T60" i="23" s="1"/>
  <c r="S18" i="23"/>
  <c r="S60" i="23" s="1"/>
  <c r="R18" i="23"/>
  <c r="R60" i="23" s="1"/>
  <c r="Q18" i="23"/>
  <c r="Q60" i="23" s="1"/>
  <c r="P18" i="23"/>
  <c r="P60" i="23" s="1"/>
  <c r="O18" i="23"/>
  <c r="O60" i="23" s="1"/>
  <c r="N18" i="23"/>
  <c r="N60" i="23" s="1"/>
  <c r="M18" i="23"/>
  <c r="M60" i="23" s="1"/>
  <c r="L18" i="23"/>
  <c r="L60" i="23" s="1"/>
  <c r="K18" i="23"/>
  <c r="K60" i="23" s="1"/>
  <c r="J18" i="23"/>
  <c r="J60" i="23" s="1"/>
  <c r="Z17" i="23"/>
  <c r="Z59" i="23" s="1"/>
  <c r="Y17" i="23"/>
  <c r="Y59" i="23" s="1"/>
  <c r="X17" i="23"/>
  <c r="X59" i="23" s="1"/>
  <c r="W17" i="23"/>
  <c r="W59" i="23" s="1"/>
  <c r="V17" i="23"/>
  <c r="V59" i="23" s="1"/>
  <c r="U17" i="23"/>
  <c r="U59" i="23" s="1"/>
  <c r="T17" i="23"/>
  <c r="T59" i="23" s="1"/>
  <c r="S17" i="23"/>
  <c r="S59" i="23" s="1"/>
  <c r="R17" i="23"/>
  <c r="R59" i="23" s="1"/>
  <c r="Q17" i="23"/>
  <c r="Q59" i="23" s="1"/>
  <c r="P17" i="23"/>
  <c r="P59" i="23" s="1"/>
  <c r="O17" i="23"/>
  <c r="O59" i="23" s="1"/>
  <c r="N17" i="23"/>
  <c r="N59" i="23" s="1"/>
  <c r="M17" i="23"/>
  <c r="M59" i="23" s="1"/>
  <c r="L17" i="23"/>
  <c r="L59" i="23" s="1"/>
  <c r="K17" i="23"/>
  <c r="K59" i="23" s="1"/>
  <c r="J17" i="23"/>
  <c r="J59" i="23" s="1"/>
  <c r="Z16" i="23"/>
  <c r="Z58" i="23" s="1"/>
  <c r="Y16" i="23"/>
  <c r="Y58" i="23" s="1"/>
  <c r="X16" i="23"/>
  <c r="X58" i="23" s="1"/>
  <c r="W16" i="23"/>
  <c r="W58" i="23" s="1"/>
  <c r="V16" i="23"/>
  <c r="V58" i="23" s="1"/>
  <c r="U16" i="23"/>
  <c r="U58" i="23" s="1"/>
  <c r="T16" i="23"/>
  <c r="T58" i="23" s="1"/>
  <c r="S16" i="23"/>
  <c r="S58" i="23" s="1"/>
  <c r="R16" i="23"/>
  <c r="R58" i="23" s="1"/>
  <c r="Q16" i="23"/>
  <c r="Q58" i="23" s="1"/>
  <c r="P16" i="23"/>
  <c r="P58" i="23" s="1"/>
  <c r="O16" i="23"/>
  <c r="O58" i="23" s="1"/>
  <c r="N16" i="23"/>
  <c r="N58" i="23" s="1"/>
  <c r="M16" i="23"/>
  <c r="M58" i="23" s="1"/>
  <c r="L16" i="23"/>
  <c r="L58" i="23" s="1"/>
  <c r="K16" i="23"/>
  <c r="K58" i="23" s="1"/>
  <c r="J16" i="23"/>
  <c r="J58" i="23" s="1"/>
  <c r="Z15" i="23"/>
  <c r="Z57" i="23" s="1"/>
  <c r="Y15" i="23"/>
  <c r="Y57" i="23" s="1"/>
  <c r="X15" i="23"/>
  <c r="X57" i="23" s="1"/>
  <c r="W15" i="23"/>
  <c r="W57" i="23" s="1"/>
  <c r="V15" i="23"/>
  <c r="V57" i="23" s="1"/>
  <c r="U15" i="23"/>
  <c r="U57" i="23" s="1"/>
  <c r="T15" i="23"/>
  <c r="T57" i="23" s="1"/>
  <c r="S15" i="23"/>
  <c r="S57" i="23" s="1"/>
  <c r="R15" i="23"/>
  <c r="R57" i="23" s="1"/>
  <c r="Q15" i="23"/>
  <c r="Q57" i="23" s="1"/>
  <c r="P15" i="23"/>
  <c r="P57" i="23" s="1"/>
  <c r="O15" i="23"/>
  <c r="O57" i="23" s="1"/>
  <c r="N15" i="23"/>
  <c r="N57" i="23" s="1"/>
  <c r="M15" i="23"/>
  <c r="M57" i="23" s="1"/>
  <c r="L15" i="23"/>
  <c r="L57" i="23" s="1"/>
  <c r="K15" i="23"/>
  <c r="K57" i="23" s="1"/>
  <c r="J15" i="23"/>
  <c r="J57" i="23" s="1"/>
  <c r="F51" i="23"/>
  <c r="A51" i="23" s="1"/>
  <c r="B51" i="23"/>
  <c r="F50" i="23"/>
  <c r="A50" i="23" s="1"/>
  <c r="B50" i="23"/>
  <c r="F49" i="23"/>
  <c r="A49" i="23" s="1"/>
  <c r="B49" i="23"/>
  <c r="F48" i="23"/>
  <c r="A48" i="23" s="1"/>
  <c r="B48" i="23"/>
  <c r="F47" i="23"/>
  <c r="A47" i="23" s="1"/>
  <c r="B47" i="23"/>
  <c r="F46" i="23"/>
  <c r="A46" i="23" s="1"/>
  <c r="B46" i="23"/>
  <c r="F45" i="23"/>
  <c r="A45" i="23" s="1"/>
  <c r="B45" i="23"/>
  <c r="F44" i="23"/>
  <c r="A44" i="23" s="1"/>
  <c r="B44" i="23"/>
  <c r="F43" i="23"/>
  <c r="A43" i="23" s="1"/>
  <c r="B43" i="23"/>
  <c r="F42" i="23"/>
  <c r="A42" i="23" s="1"/>
  <c r="B42" i="23"/>
  <c r="F41" i="23"/>
  <c r="A41" i="23" s="1"/>
  <c r="B41" i="23"/>
  <c r="F40" i="23"/>
  <c r="A40" i="23" s="1"/>
  <c r="B40" i="23"/>
  <c r="F39" i="23"/>
  <c r="A39" i="23" s="1"/>
  <c r="B39" i="23"/>
  <c r="A2" i="23"/>
  <c r="Z48" i="21"/>
  <c r="Z87" i="21" s="1"/>
  <c r="Y48" i="21"/>
  <c r="Y87" i="21" s="1"/>
  <c r="X48" i="21"/>
  <c r="X87" i="21" s="1"/>
  <c r="W48" i="21"/>
  <c r="W87" i="21" s="1"/>
  <c r="V48" i="21"/>
  <c r="V87" i="21" s="1"/>
  <c r="U48" i="21"/>
  <c r="U87" i="21" s="1"/>
  <c r="T48" i="21"/>
  <c r="T87" i="21" s="1"/>
  <c r="S48" i="21"/>
  <c r="S87" i="21" s="1"/>
  <c r="R48" i="21"/>
  <c r="R87" i="21" s="1"/>
  <c r="Q48" i="21"/>
  <c r="Q87" i="21" s="1"/>
  <c r="P48" i="21"/>
  <c r="P87" i="21" s="1"/>
  <c r="O48" i="21"/>
  <c r="O87" i="21" s="1"/>
  <c r="N48" i="21"/>
  <c r="N87" i="21" s="1"/>
  <c r="M48" i="21"/>
  <c r="M87" i="21" s="1"/>
  <c r="L48" i="21"/>
  <c r="L87" i="21" s="1"/>
  <c r="K48" i="21"/>
  <c r="K87" i="21" s="1"/>
  <c r="Z47" i="21"/>
  <c r="Z86" i="21" s="1"/>
  <c r="Y47" i="21"/>
  <c r="Y86" i="21" s="1"/>
  <c r="X47" i="21"/>
  <c r="X86" i="21" s="1"/>
  <c r="W47" i="21"/>
  <c r="W86" i="21" s="1"/>
  <c r="V47" i="21"/>
  <c r="V86" i="21" s="1"/>
  <c r="U47" i="21"/>
  <c r="U86" i="21" s="1"/>
  <c r="T47" i="21"/>
  <c r="T86" i="21" s="1"/>
  <c r="S47" i="21"/>
  <c r="S86" i="21" s="1"/>
  <c r="R47" i="21"/>
  <c r="R86" i="21" s="1"/>
  <c r="Q47" i="21"/>
  <c r="Q86" i="21" s="1"/>
  <c r="P47" i="21"/>
  <c r="P86" i="21" s="1"/>
  <c r="O47" i="21"/>
  <c r="O86" i="21" s="1"/>
  <c r="N47" i="21"/>
  <c r="N86" i="21" s="1"/>
  <c r="M47" i="21"/>
  <c r="M86" i="21" s="1"/>
  <c r="L47" i="21"/>
  <c r="L86" i="21" s="1"/>
  <c r="K47" i="21"/>
  <c r="K86" i="21" s="1"/>
  <c r="Z46" i="21"/>
  <c r="Z85" i="21" s="1"/>
  <c r="Y46" i="21"/>
  <c r="Y85" i="21" s="1"/>
  <c r="X46" i="21"/>
  <c r="X85" i="21" s="1"/>
  <c r="W46" i="21"/>
  <c r="W85" i="21" s="1"/>
  <c r="V46" i="21"/>
  <c r="V85" i="21" s="1"/>
  <c r="U46" i="21"/>
  <c r="U85" i="21" s="1"/>
  <c r="T46" i="21"/>
  <c r="T85" i="21" s="1"/>
  <c r="S46" i="21"/>
  <c r="S85" i="21" s="1"/>
  <c r="R46" i="21"/>
  <c r="R85" i="21" s="1"/>
  <c r="Q46" i="21"/>
  <c r="Q85" i="21" s="1"/>
  <c r="P46" i="21"/>
  <c r="P85" i="21" s="1"/>
  <c r="O46" i="21"/>
  <c r="O85" i="21" s="1"/>
  <c r="N46" i="21"/>
  <c r="N85" i="21" s="1"/>
  <c r="M46" i="21"/>
  <c r="M85" i="21" s="1"/>
  <c r="L46" i="21"/>
  <c r="L85" i="21" s="1"/>
  <c r="K46" i="21"/>
  <c r="K85" i="21" s="1"/>
  <c r="Z45" i="21"/>
  <c r="Z84" i="21" s="1"/>
  <c r="Y45" i="21"/>
  <c r="Y84" i="21" s="1"/>
  <c r="X45" i="21"/>
  <c r="X84" i="21" s="1"/>
  <c r="W45" i="21"/>
  <c r="W84" i="21" s="1"/>
  <c r="V45" i="21"/>
  <c r="V84" i="21" s="1"/>
  <c r="U45" i="21"/>
  <c r="U84" i="21" s="1"/>
  <c r="T45" i="21"/>
  <c r="T84" i="21" s="1"/>
  <c r="S45" i="21"/>
  <c r="S84" i="21" s="1"/>
  <c r="R45" i="21"/>
  <c r="R84" i="21" s="1"/>
  <c r="Q45" i="21"/>
  <c r="Q84" i="21" s="1"/>
  <c r="P45" i="21"/>
  <c r="P84" i="21" s="1"/>
  <c r="O45" i="21"/>
  <c r="O84" i="21" s="1"/>
  <c r="N45" i="21"/>
  <c r="N84" i="21" s="1"/>
  <c r="M45" i="21"/>
  <c r="M84" i="21" s="1"/>
  <c r="L45" i="21"/>
  <c r="L84" i="21" s="1"/>
  <c r="K45" i="21"/>
  <c r="K84" i="21" s="1"/>
  <c r="Z44" i="21"/>
  <c r="Z83" i="21" s="1"/>
  <c r="Y44" i="21"/>
  <c r="Y83" i="21" s="1"/>
  <c r="X44" i="21"/>
  <c r="X83" i="21" s="1"/>
  <c r="W44" i="21"/>
  <c r="W83" i="21" s="1"/>
  <c r="V44" i="21"/>
  <c r="V83" i="21" s="1"/>
  <c r="U44" i="21"/>
  <c r="U83" i="21" s="1"/>
  <c r="T44" i="21"/>
  <c r="T83" i="21" s="1"/>
  <c r="S44" i="21"/>
  <c r="S83" i="21" s="1"/>
  <c r="R44" i="21"/>
  <c r="R83" i="21" s="1"/>
  <c r="Q44" i="21"/>
  <c r="Q83" i="21" s="1"/>
  <c r="P44" i="21"/>
  <c r="P83" i="21" s="1"/>
  <c r="O44" i="21"/>
  <c r="O83" i="21" s="1"/>
  <c r="N44" i="21"/>
  <c r="N83" i="21" s="1"/>
  <c r="M44" i="21"/>
  <c r="M83" i="21" s="1"/>
  <c r="L44" i="21"/>
  <c r="L83" i="21" s="1"/>
  <c r="K44" i="21"/>
  <c r="K83" i="21" s="1"/>
  <c r="Z43" i="21"/>
  <c r="Z82" i="21" s="1"/>
  <c r="Y43" i="21"/>
  <c r="Y82" i="21" s="1"/>
  <c r="X43" i="21"/>
  <c r="X82" i="21" s="1"/>
  <c r="W43" i="21"/>
  <c r="W82" i="21" s="1"/>
  <c r="V43" i="21"/>
  <c r="V82" i="21" s="1"/>
  <c r="U43" i="21"/>
  <c r="U82" i="21" s="1"/>
  <c r="T43" i="21"/>
  <c r="T82" i="21" s="1"/>
  <c r="S43" i="21"/>
  <c r="S82" i="21" s="1"/>
  <c r="R43" i="21"/>
  <c r="R82" i="21" s="1"/>
  <c r="Q43" i="21"/>
  <c r="Q82" i="21" s="1"/>
  <c r="P43" i="21"/>
  <c r="P82" i="21" s="1"/>
  <c r="O43" i="21"/>
  <c r="O82" i="21" s="1"/>
  <c r="N43" i="21"/>
  <c r="N82" i="21" s="1"/>
  <c r="M43" i="21"/>
  <c r="M82" i="21" s="1"/>
  <c r="L43" i="21"/>
  <c r="L82" i="21" s="1"/>
  <c r="K43" i="21"/>
  <c r="K82" i="21" s="1"/>
  <c r="Z42" i="21"/>
  <c r="Z81" i="21" s="1"/>
  <c r="Y42" i="21"/>
  <c r="Y81" i="21" s="1"/>
  <c r="X42" i="21"/>
  <c r="X81" i="21" s="1"/>
  <c r="W42" i="21"/>
  <c r="W81" i="21" s="1"/>
  <c r="V42" i="21"/>
  <c r="V81" i="21" s="1"/>
  <c r="U42" i="21"/>
  <c r="U81" i="21" s="1"/>
  <c r="T42" i="21"/>
  <c r="T81" i="21" s="1"/>
  <c r="S42" i="21"/>
  <c r="S81" i="21" s="1"/>
  <c r="R42" i="21"/>
  <c r="R81" i="21" s="1"/>
  <c r="Q42" i="21"/>
  <c r="Q81" i="21" s="1"/>
  <c r="P42" i="21"/>
  <c r="P81" i="21" s="1"/>
  <c r="O42" i="21"/>
  <c r="O81" i="21" s="1"/>
  <c r="N42" i="21"/>
  <c r="N81" i="21" s="1"/>
  <c r="M42" i="21"/>
  <c r="M81" i="21" s="1"/>
  <c r="L42" i="21"/>
  <c r="L81" i="21" s="1"/>
  <c r="K42" i="21"/>
  <c r="K81" i="21" s="1"/>
  <c r="Z41" i="21"/>
  <c r="Z80" i="21" s="1"/>
  <c r="Y41" i="21"/>
  <c r="Y80" i="21" s="1"/>
  <c r="X41" i="21"/>
  <c r="X80" i="21" s="1"/>
  <c r="W41" i="21"/>
  <c r="W80" i="21" s="1"/>
  <c r="V41" i="21"/>
  <c r="V80" i="21" s="1"/>
  <c r="U41" i="21"/>
  <c r="U80" i="21" s="1"/>
  <c r="T41" i="21"/>
  <c r="T80" i="21" s="1"/>
  <c r="S41" i="21"/>
  <c r="S80" i="21" s="1"/>
  <c r="R41" i="21"/>
  <c r="R80" i="21" s="1"/>
  <c r="Q41" i="21"/>
  <c r="Q80" i="21" s="1"/>
  <c r="P41" i="21"/>
  <c r="P80" i="21" s="1"/>
  <c r="O41" i="21"/>
  <c r="O80" i="21" s="1"/>
  <c r="N41" i="21"/>
  <c r="N80" i="21" s="1"/>
  <c r="M41" i="21"/>
  <c r="M80" i="21" s="1"/>
  <c r="L41" i="21"/>
  <c r="L80" i="21" s="1"/>
  <c r="K41" i="21"/>
  <c r="K80" i="21" s="1"/>
  <c r="Z40" i="21"/>
  <c r="Z79" i="21" s="1"/>
  <c r="Y40" i="21"/>
  <c r="Y79" i="21" s="1"/>
  <c r="X40" i="21"/>
  <c r="X79" i="21" s="1"/>
  <c r="W40" i="21"/>
  <c r="W79" i="21" s="1"/>
  <c r="V40" i="21"/>
  <c r="V79" i="21" s="1"/>
  <c r="U40" i="21"/>
  <c r="U79" i="21" s="1"/>
  <c r="T40" i="21"/>
  <c r="T79" i="21" s="1"/>
  <c r="S40" i="21"/>
  <c r="S79" i="21" s="1"/>
  <c r="R40" i="21"/>
  <c r="R79" i="21" s="1"/>
  <c r="Q40" i="21"/>
  <c r="Q79" i="21" s="1"/>
  <c r="P40" i="21"/>
  <c r="P79" i="21" s="1"/>
  <c r="O40" i="21"/>
  <c r="O79" i="21" s="1"/>
  <c r="N40" i="21"/>
  <c r="N79" i="21" s="1"/>
  <c r="M40" i="21"/>
  <c r="M79" i="21" s="1"/>
  <c r="L40" i="21"/>
  <c r="L79" i="21" s="1"/>
  <c r="K40" i="21"/>
  <c r="K79" i="21" s="1"/>
  <c r="Z39" i="21"/>
  <c r="Z78" i="21" s="1"/>
  <c r="Y39" i="21"/>
  <c r="Y78" i="21" s="1"/>
  <c r="X39" i="21"/>
  <c r="X78" i="21" s="1"/>
  <c r="W39" i="21"/>
  <c r="W78" i="21" s="1"/>
  <c r="V39" i="21"/>
  <c r="V78" i="21" s="1"/>
  <c r="U39" i="21"/>
  <c r="U78" i="21" s="1"/>
  <c r="T39" i="21"/>
  <c r="T78" i="21" s="1"/>
  <c r="S39" i="21"/>
  <c r="S78" i="21" s="1"/>
  <c r="R39" i="21"/>
  <c r="R78" i="21" s="1"/>
  <c r="Q39" i="21"/>
  <c r="Q78" i="21" s="1"/>
  <c r="P39" i="21"/>
  <c r="P78" i="21" s="1"/>
  <c r="O39" i="21"/>
  <c r="O78" i="21" s="1"/>
  <c r="N39" i="21"/>
  <c r="N78" i="21" s="1"/>
  <c r="M39" i="21"/>
  <c r="M78" i="21" s="1"/>
  <c r="L39" i="21"/>
  <c r="L78" i="21" s="1"/>
  <c r="K39" i="21"/>
  <c r="K78" i="21" s="1"/>
  <c r="Z38" i="21"/>
  <c r="Z77" i="21" s="1"/>
  <c r="Y38" i="21"/>
  <c r="Y77" i="21" s="1"/>
  <c r="X38" i="21"/>
  <c r="X77" i="21" s="1"/>
  <c r="W38" i="21"/>
  <c r="W77" i="21" s="1"/>
  <c r="V38" i="21"/>
  <c r="V77" i="21" s="1"/>
  <c r="U38" i="21"/>
  <c r="U77" i="21" s="1"/>
  <c r="T38" i="21"/>
  <c r="T77" i="21" s="1"/>
  <c r="S38" i="21"/>
  <c r="S77" i="21" s="1"/>
  <c r="R38" i="21"/>
  <c r="R77" i="21" s="1"/>
  <c r="Q38" i="21"/>
  <c r="Q77" i="21" s="1"/>
  <c r="P38" i="21"/>
  <c r="P77" i="21" s="1"/>
  <c r="O38" i="21"/>
  <c r="O77" i="21" s="1"/>
  <c r="N38" i="21"/>
  <c r="N77" i="21" s="1"/>
  <c r="M38" i="21"/>
  <c r="M77" i="21" s="1"/>
  <c r="L38" i="21"/>
  <c r="L77" i="21" s="1"/>
  <c r="K38" i="21"/>
  <c r="K77" i="21" s="1"/>
  <c r="Z37" i="21"/>
  <c r="Z76" i="21" s="1"/>
  <c r="Y37" i="21"/>
  <c r="Y76" i="21" s="1"/>
  <c r="X37" i="21"/>
  <c r="X76" i="21" s="1"/>
  <c r="W37" i="21"/>
  <c r="W76" i="21" s="1"/>
  <c r="V37" i="21"/>
  <c r="V76" i="21" s="1"/>
  <c r="U37" i="21"/>
  <c r="U76" i="21" s="1"/>
  <c r="T37" i="21"/>
  <c r="T76" i="21" s="1"/>
  <c r="S37" i="21"/>
  <c r="S76" i="21" s="1"/>
  <c r="R37" i="21"/>
  <c r="R76" i="21" s="1"/>
  <c r="Q37" i="21"/>
  <c r="Q76" i="21" s="1"/>
  <c r="P37" i="21"/>
  <c r="P76" i="21" s="1"/>
  <c r="O37" i="21"/>
  <c r="O76" i="21" s="1"/>
  <c r="N37" i="21"/>
  <c r="N76" i="21" s="1"/>
  <c r="M37" i="21"/>
  <c r="M76" i="21" s="1"/>
  <c r="L37" i="21"/>
  <c r="L76" i="21" s="1"/>
  <c r="K37" i="21"/>
  <c r="K76" i="21" s="1"/>
  <c r="Z36" i="21"/>
  <c r="Z75" i="21" s="1"/>
  <c r="Y36" i="21"/>
  <c r="Y75" i="21" s="1"/>
  <c r="X36" i="21"/>
  <c r="X75" i="21" s="1"/>
  <c r="W36" i="21"/>
  <c r="W75" i="21" s="1"/>
  <c r="V36" i="21"/>
  <c r="V75" i="21" s="1"/>
  <c r="U36" i="21"/>
  <c r="U75" i="21" s="1"/>
  <c r="T36" i="21"/>
  <c r="T75" i="21" s="1"/>
  <c r="S36" i="21"/>
  <c r="S75" i="21" s="1"/>
  <c r="R36" i="21"/>
  <c r="R75" i="21" s="1"/>
  <c r="Q36" i="21"/>
  <c r="Q75" i="21" s="1"/>
  <c r="P36" i="21"/>
  <c r="P75" i="21" s="1"/>
  <c r="O36" i="21"/>
  <c r="O75" i="21" s="1"/>
  <c r="N36" i="21"/>
  <c r="N75" i="21" s="1"/>
  <c r="M36" i="21"/>
  <c r="M75" i="21" s="1"/>
  <c r="L36" i="21"/>
  <c r="L75" i="21" s="1"/>
  <c r="K36" i="21"/>
  <c r="K75" i="21" s="1"/>
  <c r="Z35" i="21"/>
  <c r="Z74" i="21" s="1"/>
  <c r="Y35" i="21"/>
  <c r="Y74" i="21" s="1"/>
  <c r="X35" i="21"/>
  <c r="X74" i="21" s="1"/>
  <c r="W35" i="21"/>
  <c r="W74" i="21" s="1"/>
  <c r="V35" i="21"/>
  <c r="V74" i="21" s="1"/>
  <c r="U35" i="21"/>
  <c r="U74" i="21" s="1"/>
  <c r="T35" i="21"/>
  <c r="T74" i="21" s="1"/>
  <c r="S35" i="21"/>
  <c r="S74" i="21" s="1"/>
  <c r="R35" i="21"/>
  <c r="R74" i="21" s="1"/>
  <c r="Q35" i="21"/>
  <c r="Q74" i="21" s="1"/>
  <c r="P35" i="21"/>
  <c r="P74" i="21" s="1"/>
  <c r="O35" i="21"/>
  <c r="O74" i="21" s="1"/>
  <c r="N35" i="21"/>
  <c r="N74" i="21" s="1"/>
  <c r="M35" i="21"/>
  <c r="M74" i="21" s="1"/>
  <c r="L35" i="21"/>
  <c r="L74" i="21" s="1"/>
  <c r="K35" i="21"/>
  <c r="K74" i="21" s="1"/>
  <c r="Z34" i="21"/>
  <c r="Z73" i="21" s="1"/>
  <c r="Y34" i="21"/>
  <c r="Y73" i="21" s="1"/>
  <c r="X34" i="21"/>
  <c r="X73" i="21" s="1"/>
  <c r="W34" i="21"/>
  <c r="W73" i="21" s="1"/>
  <c r="V34" i="21"/>
  <c r="V73" i="21" s="1"/>
  <c r="U34" i="21"/>
  <c r="U73" i="21" s="1"/>
  <c r="T34" i="21"/>
  <c r="T73" i="21" s="1"/>
  <c r="S34" i="21"/>
  <c r="S73" i="21" s="1"/>
  <c r="R34" i="21"/>
  <c r="R73" i="21" s="1"/>
  <c r="Q34" i="21"/>
  <c r="Q73" i="21" s="1"/>
  <c r="P34" i="21"/>
  <c r="P73" i="21" s="1"/>
  <c r="O34" i="21"/>
  <c r="O73" i="21" s="1"/>
  <c r="N34" i="21"/>
  <c r="N73" i="21" s="1"/>
  <c r="M34" i="21"/>
  <c r="M73" i="21" s="1"/>
  <c r="L34" i="21"/>
  <c r="L73" i="21" s="1"/>
  <c r="K34" i="21"/>
  <c r="K73" i="21" s="1"/>
  <c r="Z33" i="21"/>
  <c r="Z72" i="21" s="1"/>
  <c r="Y33" i="21"/>
  <c r="Y72" i="21" s="1"/>
  <c r="X33" i="21"/>
  <c r="X72" i="21" s="1"/>
  <c r="W33" i="21"/>
  <c r="W72" i="21" s="1"/>
  <c r="V33" i="21"/>
  <c r="V72" i="21" s="1"/>
  <c r="U33" i="21"/>
  <c r="U72" i="21" s="1"/>
  <c r="T33" i="21"/>
  <c r="T72" i="21" s="1"/>
  <c r="S33" i="21"/>
  <c r="S72" i="21" s="1"/>
  <c r="R33" i="21"/>
  <c r="R72" i="21" s="1"/>
  <c r="Q33" i="21"/>
  <c r="Q72" i="21" s="1"/>
  <c r="P33" i="21"/>
  <c r="P72" i="21" s="1"/>
  <c r="O33" i="21"/>
  <c r="O72" i="21" s="1"/>
  <c r="N33" i="21"/>
  <c r="N72" i="21" s="1"/>
  <c r="M33" i="21"/>
  <c r="M72" i="21" s="1"/>
  <c r="L33" i="21"/>
  <c r="L72" i="21" s="1"/>
  <c r="K33" i="21"/>
  <c r="K72" i="21" s="1"/>
  <c r="Z32" i="21"/>
  <c r="Z71" i="21" s="1"/>
  <c r="Y32" i="21"/>
  <c r="Y71" i="21" s="1"/>
  <c r="X32" i="21"/>
  <c r="X71" i="21" s="1"/>
  <c r="W32" i="21"/>
  <c r="W71" i="21" s="1"/>
  <c r="V32" i="21"/>
  <c r="V71" i="21" s="1"/>
  <c r="U32" i="21"/>
  <c r="U71" i="21" s="1"/>
  <c r="T32" i="21"/>
  <c r="T71" i="21" s="1"/>
  <c r="S32" i="21"/>
  <c r="S71" i="21" s="1"/>
  <c r="R32" i="21"/>
  <c r="R71" i="21" s="1"/>
  <c r="Q32" i="21"/>
  <c r="Q71" i="21" s="1"/>
  <c r="P32" i="21"/>
  <c r="P71" i="21" s="1"/>
  <c r="O32" i="21"/>
  <c r="O71" i="21" s="1"/>
  <c r="N32" i="21"/>
  <c r="N71" i="21" s="1"/>
  <c r="M32" i="21"/>
  <c r="M71" i="21" s="1"/>
  <c r="L32" i="21"/>
  <c r="L71" i="21" s="1"/>
  <c r="K32" i="21"/>
  <c r="K71" i="21" s="1"/>
  <c r="Z29" i="21"/>
  <c r="Z68" i="21" s="1"/>
  <c r="Y29" i="21"/>
  <c r="Y68" i="21" s="1"/>
  <c r="X29" i="21"/>
  <c r="X68" i="21" s="1"/>
  <c r="W29" i="21"/>
  <c r="W68" i="21" s="1"/>
  <c r="V29" i="21"/>
  <c r="V68" i="21" s="1"/>
  <c r="U29" i="21"/>
  <c r="U68" i="21" s="1"/>
  <c r="T29" i="21"/>
  <c r="T68" i="21" s="1"/>
  <c r="S29" i="21"/>
  <c r="S68" i="21" s="1"/>
  <c r="R29" i="21"/>
  <c r="R68" i="21" s="1"/>
  <c r="Q29" i="21"/>
  <c r="Q68" i="21" s="1"/>
  <c r="P29" i="21"/>
  <c r="P68" i="21" s="1"/>
  <c r="O29" i="21"/>
  <c r="O68" i="21" s="1"/>
  <c r="N29" i="21"/>
  <c r="N68" i="21" s="1"/>
  <c r="M29" i="21"/>
  <c r="M68" i="21" s="1"/>
  <c r="L29" i="21"/>
  <c r="L68" i="21" s="1"/>
  <c r="K29" i="21"/>
  <c r="K68" i="21" s="1"/>
  <c r="Z28" i="21"/>
  <c r="Z67" i="21" s="1"/>
  <c r="Y28" i="21"/>
  <c r="Y67" i="21" s="1"/>
  <c r="X28" i="21"/>
  <c r="X67" i="21" s="1"/>
  <c r="W28" i="21"/>
  <c r="W67" i="21" s="1"/>
  <c r="V28" i="21"/>
  <c r="V67" i="21" s="1"/>
  <c r="U28" i="21"/>
  <c r="U67" i="21" s="1"/>
  <c r="T28" i="21"/>
  <c r="T67" i="21" s="1"/>
  <c r="S28" i="21"/>
  <c r="S67" i="21" s="1"/>
  <c r="R28" i="21"/>
  <c r="R67" i="21" s="1"/>
  <c r="Q28" i="21"/>
  <c r="Q67" i="21" s="1"/>
  <c r="P28" i="21"/>
  <c r="P67" i="21" s="1"/>
  <c r="O28" i="21"/>
  <c r="O67" i="21" s="1"/>
  <c r="N28" i="21"/>
  <c r="N67" i="21" s="1"/>
  <c r="M28" i="21"/>
  <c r="M67" i="21" s="1"/>
  <c r="L28" i="21"/>
  <c r="L67" i="21" s="1"/>
  <c r="K28" i="21"/>
  <c r="K67" i="21" s="1"/>
  <c r="Z27" i="21"/>
  <c r="Z66" i="21" s="1"/>
  <c r="Y27" i="21"/>
  <c r="Y66" i="21" s="1"/>
  <c r="X27" i="21"/>
  <c r="X66" i="21" s="1"/>
  <c r="W27" i="21"/>
  <c r="W66" i="21" s="1"/>
  <c r="V27" i="21"/>
  <c r="V66" i="21" s="1"/>
  <c r="U27" i="21"/>
  <c r="U66" i="21" s="1"/>
  <c r="T27" i="21"/>
  <c r="T66" i="21" s="1"/>
  <c r="S27" i="21"/>
  <c r="S66" i="21" s="1"/>
  <c r="R27" i="21"/>
  <c r="R66" i="21" s="1"/>
  <c r="Q27" i="21"/>
  <c r="Q66" i="21" s="1"/>
  <c r="P27" i="21"/>
  <c r="P66" i="21" s="1"/>
  <c r="O27" i="21"/>
  <c r="O66" i="21" s="1"/>
  <c r="N27" i="21"/>
  <c r="N66" i="21" s="1"/>
  <c r="M27" i="21"/>
  <c r="M66" i="21" s="1"/>
  <c r="L27" i="21"/>
  <c r="L66" i="21" s="1"/>
  <c r="K27" i="21"/>
  <c r="K66" i="21" s="1"/>
  <c r="Z26" i="21"/>
  <c r="Z65" i="21" s="1"/>
  <c r="Y26" i="21"/>
  <c r="Y65" i="21" s="1"/>
  <c r="X26" i="21"/>
  <c r="X65" i="21" s="1"/>
  <c r="W26" i="21"/>
  <c r="W65" i="21" s="1"/>
  <c r="V26" i="21"/>
  <c r="V65" i="21" s="1"/>
  <c r="U26" i="21"/>
  <c r="U65" i="21" s="1"/>
  <c r="T26" i="21"/>
  <c r="T65" i="21" s="1"/>
  <c r="S26" i="21"/>
  <c r="S65" i="21" s="1"/>
  <c r="R26" i="21"/>
  <c r="R65" i="21" s="1"/>
  <c r="Q26" i="21"/>
  <c r="Q65" i="21" s="1"/>
  <c r="P26" i="21"/>
  <c r="P65" i="21" s="1"/>
  <c r="O26" i="21"/>
  <c r="O65" i="21" s="1"/>
  <c r="N26" i="21"/>
  <c r="N65" i="21" s="1"/>
  <c r="M26" i="21"/>
  <c r="M65" i="21" s="1"/>
  <c r="L26" i="21"/>
  <c r="L65" i="21" s="1"/>
  <c r="K26" i="21"/>
  <c r="K65" i="21" s="1"/>
  <c r="Z25" i="21"/>
  <c r="Z64" i="21" s="1"/>
  <c r="Y25" i="21"/>
  <c r="Y64" i="21" s="1"/>
  <c r="X25" i="21"/>
  <c r="X64" i="21" s="1"/>
  <c r="W25" i="21"/>
  <c r="W64" i="21" s="1"/>
  <c r="V25" i="21"/>
  <c r="V64" i="21" s="1"/>
  <c r="U25" i="21"/>
  <c r="U64" i="21" s="1"/>
  <c r="T25" i="21"/>
  <c r="T64" i="21" s="1"/>
  <c r="S25" i="21"/>
  <c r="S64" i="21" s="1"/>
  <c r="R25" i="21"/>
  <c r="R64" i="21" s="1"/>
  <c r="Q25" i="21"/>
  <c r="Q64" i="21" s="1"/>
  <c r="P25" i="21"/>
  <c r="P64" i="21" s="1"/>
  <c r="O25" i="21"/>
  <c r="O64" i="21" s="1"/>
  <c r="N25" i="21"/>
  <c r="N64" i="21" s="1"/>
  <c r="M25" i="21"/>
  <c r="M64" i="21" s="1"/>
  <c r="L25" i="21"/>
  <c r="L64" i="21" s="1"/>
  <c r="K25" i="21"/>
  <c r="K64" i="21" s="1"/>
  <c r="Z22" i="21"/>
  <c r="Z61" i="21" s="1"/>
  <c r="Y22" i="21"/>
  <c r="Y61" i="21" s="1"/>
  <c r="X22" i="21"/>
  <c r="X61" i="21" s="1"/>
  <c r="W22" i="21"/>
  <c r="W61" i="21" s="1"/>
  <c r="V22" i="21"/>
  <c r="V61" i="21" s="1"/>
  <c r="U22" i="21"/>
  <c r="U61" i="21" s="1"/>
  <c r="T22" i="21"/>
  <c r="T61" i="21" s="1"/>
  <c r="S22" i="21"/>
  <c r="S61" i="21" s="1"/>
  <c r="R22" i="21"/>
  <c r="R61" i="21" s="1"/>
  <c r="Q22" i="21"/>
  <c r="Q61" i="21" s="1"/>
  <c r="P22" i="21"/>
  <c r="P61" i="21" s="1"/>
  <c r="O22" i="21"/>
  <c r="O61" i="21" s="1"/>
  <c r="N22" i="21"/>
  <c r="N61" i="21" s="1"/>
  <c r="M22" i="21"/>
  <c r="M61" i="21" s="1"/>
  <c r="L22" i="21"/>
  <c r="L61" i="21" s="1"/>
  <c r="K22" i="21"/>
  <c r="K61" i="21" s="1"/>
  <c r="Z21" i="21"/>
  <c r="Z60" i="21" s="1"/>
  <c r="Y21" i="21"/>
  <c r="Y60" i="21" s="1"/>
  <c r="X21" i="21"/>
  <c r="X60" i="21" s="1"/>
  <c r="W21" i="21"/>
  <c r="W60" i="21" s="1"/>
  <c r="V21" i="21"/>
  <c r="V60" i="21" s="1"/>
  <c r="U21" i="21"/>
  <c r="U60" i="21" s="1"/>
  <c r="T21" i="21"/>
  <c r="T60" i="21" s="1"/>
  <c r="S21" i="21"/>
  <c r="S60" i="21" s="1"/>
  <c r="R21" i="21"/>
  <c r="R60" i="21" s="1"/>
  <c r="Q21" i="21"/>
  <c r="Q60" i="21" s="1"/>
  <c r="P21" i="21"/>
  <c r="P60" i="21" s="1"/>
  <c r="O21" i="21"/>
  <c r="O60" i="21" s="1"/>
  <c r="N21" i="21"/>
  <c r="N60" i="21" s="1"/>
  <c r="M21" i="21"/>
  <c r="M60" i="21" s="1"/>
  <c r="L21" i="21"/>
  <c r="L60" i="21" s="1"/>
  <c r="K21" i="21"/>
  <c r="K60" i="21" s="1"/>
  <c r="Z20" i="21"/>
  <c r="Z59" i="21" s="1"/>
  <c r="Y20" i="21"/>
  <c r="Y59" i="21" s="1"/>
  <c r="X20" i="21"/>
  <c r="X59" i="21" s="1"/>
  <c r="W20" i="21"/>
  <c r="W59" i="21" s="1"/>
  <c r="V20" i="21"/>
  <c r="V59" i="21" s="1"/>
  <c r="U20" i="21"/>
  <c r="U59" i="21" s="1"/>
  <c r="T20" i="21"/>
  <c r="T59" i="21" s="1"/>
  <c r="S20" i="21"/>
  <c r="S59" i="21" s="1"/>
  <c r="R20" i="21"/>
  <c r="R59" i="21" s="1"/>
  <c r="Q20" i="21"/>
  <c r="Q59" i="21" s="1"/>
  <c r="P20" i="21"/>
  <c r="P59" i="21" s="1"/>
  <c r="O20" i="21"/>
  <c r="O59" i="21" s="1"/>
  <c r="N20" i="21"/>
  <c r="N59" i="21" s="1"/>
  <c r="M20" i="21"/>
  <c r="M59" i="21" s="1"/>
  <c r="L20" i="21"/>
  <c r="L59" i="21" s="1"/>
  <c r="K20" i="21"/>
  <c r="K59" i="21" s="1"/>
  <c r="Z19" i="21"/>
  <c r="Z58" i="21" s="1"/>
  <c r="Y19" i="21"/>
  <c r="Y58" i="21" s="1"/>
  <c r="X19" i="21"/>
  <c r="X58" i="21" s="1"/>
  <c r="W19" i="21"/>
  <c r="W58" i="21" s="1"/>
  <c r="V19" i="21"/>
  <c r="V58" i="21" s="1"/>
  <c r="U19" i="21"/>
  <c r="U58" i="21" s="1"/>
  <c r="T19" i="21"/>
  <c r="T58" i="21" s="1"/>
  <c r="S19" i="21"/>
  <c r="S58" i="21" s="1"/>
  <c r="R19" i="21"/>
  <c r="R58" i="21" s="1"/>
  <c r="Q19" i="21"/>
  <c r="Q58" i="21" s="1"/>
  <c r="P19" i="21"/>
  <c r="P58" i="21" s="1"/>
  <c r="O19" i="21"/>
  <c r="O58" i="21" s="1"/>
  <c r="N19" i="21"/>
  <c r="N58" i="21" s="1"/>
  <c r="M19" i="21"/>
  <c r="M58" i="21" s="1"/>
  <c r="L19" i="21"/>
  <c r="L58" i="21" s="1"/>
  <c r="K19" i="21"/>
  <c r="K58" i="21" s="1"/>
  <c r="Z16" i="21"/>
  <c r="Z55" i="21" s="1"/>
  <c r="Y16" i="21"/>
  <c r="Y55" i="21" s="1"/>
  <c r="X16" i="21"/>
  <c r="X55" i="21" s="1"/>
  <c r="W16" i="21"/>
  <c r="W55" i="21" s="1"/>
  <c r="V16" i="21"/>
  <c r="V55" i="21" s="1"/>
  <c r="U16" i="21"/>
  <c r="U55" i="21" s="1"/>
  <c r="T16" i="21"/>
  <c r="T55" i="21" s="1"/>
  <c r="S16" i="21"/>
  <c r="S55" i="21" s="1"/>
  <c r="R16" i="21"/>
  <c r="R55" i="21" s="1"/>
  <c r="Q16" i="21"/>
  <c r="Q55" i="21" s="1"/>
  <c r="P16" i="21"/>
  <c r="P55" i="21" s="1"/>
  <c r="O16" i="21"/>
  <c r="O55" i="21" s="1"/>
  <c r="N16" i="21"/>
  <c r="N55" i="21" s="1"/>
  <c r="M16" i="21"/>
  <c r="M55" i="21" s="1"/>
  <c r="L16" i="21"/>
  <c r="L55" i="21" s="1"/>
  <c r="K16" i="21"/>
  <c r="K55" i="21" s="1"/>
  <c r="Z15" i="21"/>
  <c r="Z54" i="21" s="1"/>
  <c r="Y15" i="21"/>
  <c r="Y54" i="21" s="1"/>
  <c r="X15" i="21"/>
  <c r="X54" i="21" s="1"/>
  <c r="W15" i="21"/>
  <c r="W54" i="21" s="1"/>
  <c r="V15" i="21"/>
  <c r="V54" i="21" s="1"/>
  <c r="U15" i="21"/>
  <c r="U54" i="21" s="1"/>
  <c r="T15" i="21"/>
  <c r="T54" i="21" s="1"/>
  <c r="S15" i="21"/>
  <c r="S54" i="21" s="1"/>
  <c r="R15" i="21"/>
  <c r="R54" i="21" s="1"/>
  <c r="Q15" i="21"/>
  <c r="Q54" i="21" s="1"/>
  <c r="P15" i="21"/>
  <c r="P54" i="21" s="1"/>
  <c r="O15" i="21"/>
  <c r="O54" i="21" s="1"/>
  <c r="N15" i="21"/>
  <c r="N54" i="21" s="1"/>
  <c r="M15" i="21"/>
  <c r="M54" i="21" s="1"/>
  <c r="L15" i="21"/>
  <c r="L54" i="21" s="1"/>
  <c r="K15" i="21"/>
  <c r="K54" i="21" s="1"/>
  <c r="Z14" i="21"/>
  <c r="Z53" i="21" s="1"/>
  <c r="Y14" i="21"/>
  <c r="Y53" i="21" s="1"/>
  <c r="X14" i="21"/>
  <c r="X53" i="21" s="1"/>
  <c r="W14" i="21"/>
  <c r="W53" i="21" s="1"/>
  <c r="V14" i="21"/>
  <c r="V53" i="21" s="1"/>
  <c r="U14" i="21"/>
  <c r="U53" i="21" s="1"/>
  <c r="T14" i="21"/>
  <c r="T53" i="21" s="1"/>
  <c r="S14" i="21"/>
  <c r="S53" i="21" s="1"/>
  <c r="R14" i="21"/>
  <c r="R53" i="21" s="1"/>
  <c r="Q14" i="21"/>
  <c r="Q53" i="21" s="1"/>
  <c r="P14" i="21"/>
  <c r="P53" i="21" s="1"/>
  <c r="O14" i="21"/>
  <c r="O53" i="21" s="1"/>
  <c r="N14" i="21"/>
  <c r="N53" i="21" s="1"/>
  <c r="M14" i="21"/>
  <c r="M53" i="21" s="1"/>
  <c r="L14" i="21"/>
  <c r="L53" i="21" s="1"/>
  <c r="K14" i="21"/>
  <c r="K53" i="21" s="1"/>
  <c r="Z13" i="21"/>
  <c r="Z52" i="21" s="1"/>
  <c r="Y13" i="21"/>
  <c r="Y52" i="21" s="1"/>
  <c r="X13" i="21"/>
  <c r="X52" i="21" s="1"/>
  <c r="W13" i="21"/>
  <c r="W52" i="21" s="1"/>
  <c r="V13" i="21"/>
  <c r="V52" i="21" s="1"/>
  <c r="U13" i="21"/>
  <c r="U52" i="21" s="1"/>
  <c r="T13" i="21"/>
  <c r="T52" i="21" s="1"/>
  <c r="S13" i="21"/>
  <c r="S52" i="21" s="1"/>
  <c r="R13" i="21"/>
  <c r="R52" i="21" s="1"/>
  <c r="Q13" i="21"/>
  <c r="Q52" i="21" s="1"/>
  <c r="P13" i="21"/>
  <c r="P52" i="21" s="1"/>
  <c r="O13" i="21"/>
  <c r="O52" i="21" s="1"/>
  <c r="N13" i="21"/>
  <c r="N52" i="21" s="1"/>
  <c r="M13" i="21"/>
  <c r="M52" i="21" s="1"/>
  <c r="L13" i="21"/>
  <c r="L52" i="21" s="1"/>
  <c r="K13" i="21"/>
  <c r="K52" i="21" s="1"/>
  <c r="B36" i="21"/>
  <c r="F36" i="21"/>
  <c r="A36" i="21" s="1"/>
  <c r="B37" i="21"/>
  <c r="F37" i="21"/>
  <c r="A37" i="21" s="1"/>
  <c r="B38" i="21"/>
  <c r="F38" i="21"/>
  <c r="A38" i="21" s="1"/>
  <c r="B39" i="21"/>
  <c r="F39" i="21"/>
  <c r="A39" i="21" s="1"/>
  <c r="B40" i="21"/>
  <c r="F40" i="21"/>
  <c r="A40" i="21" s="1"/>
  <c r="B41" i="21"/>
  <c r="F41" i="21"/>
  <c r="A41" i="21" s="1"/>
  <c r="B42" i="21"/>
  <c r="F42" i="21"/>
  <c r="A42" i="21" s="1"/>
  <c r="B43" i="21"/>
  <c r="F43" i="21"/>
  <c r="A43" i="21" s="1"/>
  <c r="B44" i="21"/>
  <c r="F44" i="21"/>
  <c r="A44" i="21" s="1"/>
  <c r="B45" i="21"/>
  <c r="F45" i="21"/>
  <c r="A45" i="21" s="1"/>
  <c r="B46" i="21"/>
  <c r="F46" i="21"/>
  <c r="A46" i="21" s="1"/>
  <c r="B47" i="21"/>
  <c r="F47" i="21"/>
  <c r="A47" i="21" s="1"/>
  <c r="B48" i="21"/>
  <c r="F48" i="21"/>
  <c r="A48" i="21" s="1"/>
  <c r="L2" i="23" l="1"/>
  <c r="L24" i="18" s="1"/>
  <c r="G2" i="23"/>
  <c r="G24" i="18" s="1"/>
  <c r="C2" i="23"/>
  <c r="C24" i="18" s="1"/>
  <c r="D2" i="23"/>
  <c r="D24" i="18" s="1"/>
  <c r="F2" i="23"/>
  <c r="F24" i="18" s="1"/>
  <c r="H2" i="23"/>
  <c r="H24" i="18" s="1"/>
  <c r="E2" i="23"/>
  <c r="E24" i="18" s="1"/>
  <c r="B2" i="23"/>
  <c r="B24" i="18" s="1"/>
  <c r="I2" i="23"/>
  <c r="I24" i="18" s="1"/>
  <c r="R2" i="23"/>
  <c r="R24" i="18" s="1"/>
  <c r="P2" i="23"/>
  <c r="P24" i="18" s="1"/>
  <c r="X2" i="23"/>
  <c r="X24" i="18" s="1"/>
  <c r="Q2" i="23"/>
  <c r="Q24" i="18" s="1"/>
  <c r="Y2" i="23"/>
  <c r="Y24" i="18" s="1"/>
  <c r="J2" i="23"/>
  <c r="J24" i="18" s="1"/>
  <c r="S2" i="23"/>
  <c r="S24" i="18" s="1"/>
  <c r="M2" i="23"/>
  <c r="M24" i="18" s="1"/>
  <c r="U2" i="23"/>
  <c r="U24" i="18" s="1"/>
  <c r="Z2" i="23"/>
  <c r="Z24" i="18" s="1"/>
  <c r="K2" i="23"/>
  <c r="K24" i="18" s="1"/>
  <c r="T2" i="23"/>
  <c r="T24" i="18" s="1"/>
  <c r="N2" i="23"/>
  <c r="N24" i="18" s="1"/>
  <c r="V2" i="23"/>
  <c r="V24" i="18" s="1"/>
  <c r="O2" i="23"/>
  <c r="O24" i="18" s="1"/>
  <c r="W2" i="23"/>
  <c r="W24" i="18" s="1"/>
  <c r="A22" i="18" l="1"/>
  <c r="A21" i="18"/>
  <c r="A19" i="18"/>
  <c r="F51" i="10"/>
  <c r="A51" i="10" s="1"/>
  <c r="F50" i="10"/>
  <c r="A50" i="10" s="1"/>
  <c r="F49" i="10"/>
  <c r="A49" i="10" s="1"/>
  <c r="F48" i="10"/>
  <c r="A48" i="10" s="1"/>
  <c r="F47" i="10"/>
  <c r="A47" i="10" s="1"/>
  <c r="F46" i="10"/>
  <c r="A46" i="10" s="1"/>
  <c r="F45" i="10"/>
  <c r="A45" i="10" s="1"/>
  <c r="F44" i="10"/>
  <c r="A44" i="10" s="1"/>
  <c r="F43" i="10"/>
  <c r="A43" i="10" s="1"/>
  <c r="F42" i="10"/>
  <c r="A42" i="10" s="1"/>
  <c r="F41" i="10"/>
  <c r="A41" i="10" s="1"/>
  <c r="F40" i="10"/>
  <c r="A40" i="10" s="1"/>
  <c r="F39" i="10"/>
  <c r="A39" i="10" s="1"/>
  <c r="F51" i="5"/>
  <c r="A51" i="5" s="1"/>
  <c r="F50" i="5"/>
  <c r="A50" i="5" s="1"/>
  <c r="F49" i="5"/>
  <c r="A49" i="5" s="1"/>
  <c r="F48" i="5"/>
  <c r="A48" i="5" s="1"/>
  <c r="F47" i="5"/>
  <c r="A47" i="5" s="1"/>
  <c r="F46" i="5"/>
  <c r="A46" i="5" s="1"/>
  <c r="F45" i="5"/>
  <c r="A45" i="5" s="1"/>
  <c r="F44" i="5"/>
  <c r="A44" i="5" s="1"/>
  <c r="F43" i="5"/>
  <c r="A43" i="5" s="1"/>
  <c r="F42" i="5"/>
  <c r="A42" i="5" s="1"/>
  <c r="F41" i="5"/>
  <c r="A41" i="5" s="1"/>
  <c r="F40" i="5"/>
  <c r="A40" i="5" s="1"/>
  <c r="F39" i="5"/>
  <c r="A39" i="5" s="1"/>
  <c r="F51" i="9"/>
  <c r="A51" i="9" s="1"/>
  <c r="F50" i="9"/>
  <c r="A50" i="9" s="1"/>
  <c r="F49" i="9"/>
  <c r="A49" i="9" s="1"/>
  <c r="F48" i="9"/>
  <c r="A48" i="9" s="1"/>
  <c r="F47" i="9"/>
  <c r="A47" i="9" s="1"/>
  <c r="F46" i="9"/>
  <c r="A46" i="9" s="1"/>
  <c r="F45" i="9"/>
  <c r="A45" i="9" s="1"/>
  <c r="F44" i="9"/>
  <c r="A44" i="9" s="1"/>
  <c r="F43" i="9"/>
  <c r="A43" i="9" s="1"/>
  <c r="F42" i="9"/>
  <c r="A42" i="9" s="1"/>
  <c r="F41" i="9"/>
  <c r="A41" i="9" s="1"/>
  <c r="F40" i="9"/>
  <c r="A40" i="9" s="1"/>
  <c r="F39" i="9"/>
  <c r="A39" i="9" s="1"/>
  <c r="F38" i="9"/>
  <c r="A38" i="9" s="1"/>
  <c r="F37" i="9"/>
  <c r="A37" i="9" s="1"/>
  <c r="F36" i="9"/>
  <c r="A36" i="9" s="1"/>
  <c r="F35" i="9"/>
  <c r="A35" i="9" s="1"/>
  <c r="F32" i="9"/>
  <c r="A32" i="9" s="1"/>
  <c r="F31" i="9"/>
  <c r="A31" i="9" s="1"/>
  <c r="F30" i="9"/>
  <c r="A30" i="9" s="1"/>
  <c r="F29" i="9"/>
  <c r="A29" i="9" s="1"/>
  <c r="F28" i="9"/>
  <c r="A28" i="9" s="1"/>
  <c r="F27" i="9"/>
  <c r="A27" i="9" s="1"/>
  <c r="F26" i="9"/>
  <c r="A26" i="9" s="1"/>
  <c r="F25" i="9"/>
  <c r="A25" i="9" s="1"/>
  <c r="F22" i="9"/>
  <c r="A22" i="9" s="1"/>
  <c r="F21" i="9"/>
  <c r="A21" i="9" s="1"/>
  <c r="F20" i="9"/>
  <c r="A20" i="9" s="1"/>
  <c r="F19" i="9"/>
  <c r="A19" i="9" s="1"/>
  <c r="F18" i="9"/>
  <c r="A18" i="9" s="1"/>
  <c r="F17" i="9"/>
  <c r="A17" i="9" s="1"/>
  <c r="F16" i="9"/>
  <c r="A16" i="9" s="1"/>
  <c r="F15" i="9"/>
  <c r="A15" i="9" s="1"/>
  <c r="F48" i="20"/>
  <c r="A48" i="20" s="1"/>
  <c r="B48" i="20"/>
  <c r="F47" i="20"/>
  <c r="A47" i="20" s="1"/>
  <c r="B47" i="20"/>
  <c r="F46" i="20"/>
  <c r="A46" i="20" s="1"/>
  <c r="B46" i="20"/>
  <c r="F45" i="20"/>
  <c r="A45" i="20" s="1"/>
  <c r="B45" i="20"/>
  <c r="F44" i="20"/>
  <c r="A44" i="20" s="1"/>
  <c r="B44" i="20"/>
  <c r="F43" i="20"/>
  <c r="A43" i="20" s="1"/>
  <c r="B43" i="20"/>
  <c r="F42" i="20"/>
  <c r="A42" i="20" s="1"/>
  <c r="B42" i="20"/>
  <c r="F41" i="20"/>
  <c r="A41" i="20" s="1"/>
  <c r="B41" i="20"/>
  <c r="F40" i="20"/>
  <c r="A40" i="20" s="1"/>
  <c r="B40" i="20"/>
  <c r="F39" i="20"/>
  <c r="A39" i="20" s="1"/>
  <c r="B39" i="20"/>
  <c r="F38" i="20"/>
  <c r="A38" i="20" s="1"/>
  <c r="B38" i="20"/>
  <c r="F37" i="20"/>
  <c r="A37" i="20" s="1"/>
  <c r="B37" i="20"/>
  <c r="F36" i="20"/>
  <c r="A36" i="20" s="1"/>
  <c r="B36" i="20"/>
  <c r="F35" i="20"/>
  <c r="A35" i="20" s="1"/>
  <c r="B35" i="20"/>
  <c r="F34" i="20"/>
  <c r="A34" i="20" s="1"/>
  <c r="B34" i="20"/>
  <c r="F33" i="20"/>
  <c r="A33" i="20" s="1"/>
  <c r="B33" i="20"/>
  <c r="F32" i="20"/>
  <c r="A32" i="20" s="1"/>
  <c r="B32" i="20"/>
  <c r="F29" i="20"/>
  <c r="A29" i="20" s="1"/>
  <c r="B29" i="20"/>
  <c r="F28" i="20"/>
  <c r="A28" i="20" s="1"/>
  <c r="B28" i="20"/>
  <c r="F27" i="20"/>
  <c r="A27" i="20" s="1"/>
  <c r="B27" i="20"/>
  <c r="F26" i="20"/>
  <c r="A26" i="20" s="1"/>
  <c r="B26" i="20"/>
  <c r="F25" i="20"/>
  <c r="A25" i="20" s="1"/>
  <c r="B25" i="20"/>
  <c r="F22" i="20"/>
  <c r="A22" i="20" s="1"/>
  <c r="B22" i="20"/>
  <c r="F21" i="20"/>
  <c r="A21" i="20" s="1"/>
  <c r="B21" i="20"/>
  <c r="F20" i="20"/>
  <c r="A20" i="20" s="1"/>
  <c r="B20" i="20"/>
  <c r="F19" i="20"/>
  <c r="A19" i="20" s="1"/>
  <c r="B19" i="20"/>
  <c r="F16" i="20"/>
  <c r="A16" i="20" s="1"/>
  <c r="B16" i="20"/>
  <c r="F15" i="20"/>
  <c r="A15" i="20" s="1"/>
  <c r="B15" i="20"/>
  <c r="F14" i="20"/>
  <c r="A14" i="20" s="1"/>
  <c r="B14" i="20"/>
  <c r="F13" i="20"/>
  <c r="A13" i="20" s="1"/>
  <c r="B13" i="20"/>
  <c r="A2" i="20" l="1"/>
  <c r="A2" i="21"/>
  <c r="A2" i="16"/>
  <c r="A2" i="12"/>
  <c r="A28" i="18"/>
  <c r="A2" i="13" s="1"/>
  <c r="A2" i="5"/>
  <c r="K2" i="5" s="1"/>
  <c r="A25" i="18"/>
  <c r="A2" i="10" s="1"/>
  <c r="A2" i="2"/>
  <c r="A2" i="7"/>
  <c r="A2" i="3"/>
  <c r="A2" i="15"/>
  <c r="A2" i="11"/>
  <c r="A2" i="9"/>
  <c r="U2" i="9" s="1"/>
  <c r="Z2" i="16" l="1"/>
  <c r="R2" i="16"/>
  <c r="I2" i="16"/>
  <c r="W2" i="16"/>
  <c r="M2" i="16"/>
  <c r="Y2" i="16"/>
  <c r="Q2" i="16"/>
  <c r="H2" i="16"/>
  <c r="X2" i="16"/>
  <c r="P2" i="16"/>
  <c r="G2" i="16"/>
  <c r="O2" i="16"/>
  <c r="F2" i="16"/>
  <c r="V2" i="16"/>
  <c r="E2" i="16"/>
  <c r="U2" i="16"/>
  <c r="L2" i="16"/>
  <c r="D2" i="16"/>
  <c r="T2" i="16"/>
  <c r="K2" i="16"/>
  <c r="C2" i="16"/>
  <c r="N2" i="16"/>
  <c r="S2" i="16"/>
  <c r="J2" i="16"/>
  <c r="B2" i="16"/>
  <c r="H2" i="10"/>
  <c r="Y2" i="10"/>
  <c r="J2" i="10"/>
  <c r="W2" i="10"/>
  <c r="U2" i="10"/>
  <c r="L2" i="10"/>
  <c r="F2" i="10"/>
  <c r="C2" i="10"/>
  <c r="N2" i="10"/>
  <c r="K2" i="10"/>
  <c r="V2" i="10"/>
  <c r="S2" i="10"/>
  <c r="I2" i="10"/>
  <c r="G2" i="10"/>
  <c r="O2" i="10"/>
  <c r="Q2" i="10"/>
  <c r="X2" i="10"/>
  <c r="E2" i="10"/>
  <c r="P2" i="10"/>
  <c r="Z2" i="10"/>
  <c r="M2" i="10"/>
  <c r="B2" i="10"/>
  <c r="D2" i="10"/>
  <c r="R2" i="10"/>
  <c r="T2" i="10"/>
  <c r="P2" i="9"/>
  <c r="H2" i="9"/>
  <c r="M2" i="9"/>
  <c r="X2" i="9"/>
  <c r="O2" i="9"/>
  <c r="G2" i="9"/>
  <c r="E2" i="9"/>
  <c r="W2" i="9"/>
  <c r="N2" i="9"/>
  <c r="F2" i="9"/>
  <c r="V2" i="9"/>
  <c r="J2" i="9"/>
  <c r="Q2" i="9"/>
  <c r="T2" i="9"/>
  <c r="L2" i="9"/>
  <c r="D2" i="9"/>
  <c r="S2" i="9"/>
  <c r="K2" i="9"/>
  <c r="C2" i="9"/>
  <c r="R2" i="9"/>
  <c r="I2" i="9"/>
  <c r="Y2" i="5"/>
  <c r="P2" i="5"/>
  <c r="C2" i="5"/>
  <c r="E2" i="5"/>
  <c r="W2" i="5"/>
  <c r="Q2" i="5"/>
  <c r="G2" i="5"/>
  <c r="U2" i="5"/>
  <c r="M2" i="5"/>
  <c r="D2" i="5"/>
  <c r="H2" i="5"/>
  <c r="O2" i="5"/>
  <c r="S2" i="5"/>
  <c r="J2" i="5"/>
  <c r="Z2" i="5"/>
  <c r="N2" i="5"/>
  <c r="T2" i="5"/>
  <c r="R2" i="5"/>
  <c r="X2" i="5"/>
  <c r="L2" i="5"/>
  <c r="I2" i="5"/>
  <c r="F2" i="5"/>
  <c r="V2" i="5"/>
  <c r="T2" i="21"/>
  <c r="T20" i="18" s="1"/>
  <c r="L2" i="21"/>
  <c r="L20" i="18" s="1"/>
  <c r="D2" i="21"/>
  <c r="D20" i="18" s="1"/>
  <c r="Z2" i="21"/>
  <c r="Z20" i="18" s="1"/>
  <c r="R2" i="21"/>
  <c r="R20" i="18" s="1"/>
  <c r="J2" i="21"/>
  <c r="J20" i="18" s="1"/>
  <c r="B2" i="21"/>
  <c r="B20" i="18" s="1"/>
  <c r="Q2" i="21"/>
  <c r="Q20" i="18" s="1"/>
  <c r="X2" i="21"/>
  <c r="X20" i="18" s="1"/>
  <c r="W2" i="21"/>
  <c r="W20" i="18" s="1"/>
  <c r="S2" i="21"/>
  <c r="S20" i="18" s="1"/>
  <c r="K2" i="21"/>
  <c r="K20" i="18" s="1"/>
  <c r="C2" i="21"/>
  <c r="C20" i="18" s="1"/>
  <c r="H2" i="21"/>
  <c r="H20" i="18" s="1"/>
  <c r="G2" i="21"/>
  <c r="G20" i="18" s="1"/>
  <c r="V2" i="21"/>
  <c r="V20" i="18" s="1"/>
  <c r="N2" i="21"/>
  <c r="N20" i="18" s="1"/>
  <c r="F2" i="21"/>
  <c r="F20" i="18" s="1"/>
  <c r="U2" i="21"/>
  <c r="U20" i="18" s="1"/>
  <c r="M2" i="21"/>
  <c r="M20" i="18" s="1"/>
  <c r="E2" i="21"/>
  <c r="E20" i="18" s="1"/>
  <c r="Y2" i="21"/>
  <c r="Y20" i="18" s="1"/>
  <c r="I2" i="21"/>
  <c r="I20" i="18" s="1"/>
  <c r="P2" i="21"/>
  <c r="P20" i="18" s="1"/>
  <c r="O2" i="21"/>
  <c r="O20" i="18" s="1"/>
  <c r="X2" i="20"/>
  <c r="X18" i="18" s="1"/>
  <c r="O2" i="20"/>
  <c r="O18" i="18" s="1"/>
  <c r="G2" i="20"/>
  <c r="G18" i="18" s="1"/>
  <c r="V2" i="20"/>
  <c r="V18" i="18" s="1"/>
  <c r="M2" i="20"/>
  <c r="M18" i="18" s="1"/>
  <c r="E2" i="20"/>
  <c r="E18" i="18" s="1"/>
  <c r="U2" i="20"/>
  <c r="U18" i="18" s="1"/>
  <c r="D2" i="20"/>
  <c r="D18" i="18" s="1"/>
  <c r="R2" i="20"/>
  <c r="R18" i="18" s="1"/>
  <c r="C2" i="20"/>
  <c r="C18" i="18" s="1"/>
  <c r="W2" i="20"/>
  <c r="W18" i="18" s="1"/>
  <c r="N2" i="20"/>
  <c r="N18" i="18" s="1"/>
  <c r="F2" i="20"/>
  <c r="F18" i="18" s="1"/>
  <c r="K2" i="20"/>
  <c r="K18" i="18" s="1"/>
  <c r="J2" i="20"/>
  <c r="J18" i="18" s="1"/>
  <c r="Z2" i="20"/>
  <c r="Z18" i="18" s="1"/>
  <c r="Q2" i="20"/>
  <c r="Q18" i="18" s="1"/>
  <c r="I2" i="20"/>
  <c r="I18" i="18" s="1"/>
  <c r="Y2" i="20"/>
  <c r="Y18" i="18" s="1"/>
  <c r="P2" i="20"/>
  <c r="P18" i="18" s="1"/>
  <c r="H2" i="20"/>
  <c r="H18" i="18" s="1"/>
  <c r="L2" i="20"/>
  <c r="L18" i="18" s="1"/>
  <c r="T2" i="20"/>
  <c r="T18" i="18" s="1"/>
  <c r="B2" i="20"/>
  <c r="B18" i="18" s="1"/>
  <c r="S2" i="20"/>
  <c r="S18" i="18" s="1"/>
  <c r="A2" i="1"/>
  <c r="B49" i="15" l="1"/>
  <c r="B48" i="15"/>
  <c r="B47" i="15"/>
  <c r="B46" i="15"/>
  <c r="B45" i="15"/>
  <c r="B44" i="15"/>
  <c r="B43" i="15"/>
  <c r="B42" i="15"/>
  <c r="B39" i="15"/>
  <c r="B38" i="15"/>
  <c r="B37" i="15"/>
  <c r="B36" i="15"/>
  <c r="B35" i="15"/>
  <c r="B34" i="15"/>
  <c r="B33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6" i="15"/>
  <c r="B15" i="15"/>
  <c r="B14" i="15"/>
  <c r="B13" i="15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2" i="11"/>
  <c r="B31" i="11"/>
  <c r="B30" i="11"/>
  <c r="B29" i="11"/>
  <c r="B28" i="11"/>
  <c r="B27" i="11"/>
  <c r="B26" i="11"/>
  <c r="B25" i="11"/>
  <c r="B22" i="11"/>
  <c r="B21" i="11"/>
  <c r="B20" i="11"/>
  <c r="B19" i="11"/>
  <c r="B18" i="11"/>
  <c r="B17" i="11"/>
  <c r="B16" i="11"/>
  <c r="B15" i="11"/>
  <c r="B51" i="9"/>
  <c r="AB51" i="9" s="1"/>
  <c r="AH51" i="9" s="1"/>
  <c r="B50" i="9"/>
  <c r="AB50" i="9" s="1"/>
  <c r="AH50" i="9" s="1"/>
  <c r="B49" i="9"/>
  <c r="AB49" i="9" s="1"/>
  <c r="AH49" i="9" s="1"/>
  <c r="B48" i="9"/>
  <c r="AB48" i="9" s="1"/>
  <c r="AH48" i="9" s="1"/>
  <c r="B47" i="9"/>
  <c r="AB47" i="9" s="1"/>
  <c r="AH47" i="9" s="1"/>
  <c r="B46" i="9"/>
  <c r="AB46" i="9" s="1"/>
  <c r="AH46" i="9" s="1"/>
  <c r="B45" i="9"/>
  <c r="AB45" i="9" s="1"/>
  <c r="AH45" i="9" s="1"/>
  <c r="B44" i="9"/>
  <c r="AB44" i="9" s="1"/>
  <c r="AH44" i="9" s="1"/>
  <c r="B43" i="9"/>
  <c r="AB43" i="9" s="1"/>
  <c r="AH43" i="9" s="1"/>
  <c r="B42" i="9"/>
  <c r="B41" i="9"/>
  <c r="AB41" i="9" s="1"/>
  <c r="AH41" i="9" s="1"/>
  <c r="B40" i="9"/>
  <c r="AB40" i="9" s="1"/>
  <c r="AH40" i="9" s="1"/>
  <c r="B39" i="9"/>
  <c r="AB39" i="9" s="1"/>
  <c r="AH39" i="9" s="1"/>
  <c r="B38" i="9"/>
  <c r="AB38" i="9" s="1"/>
  <c r="AH38" i="9" s="1"/>
  <c r="B37" i="9"/>
  <c r="AB37" i="9" s="1"/>
  <c r="AH37" i="9" s="1"/>
  <c r="B36" i="9"/>
  <c r="AB36" i="9" s="1"/>
  <c r="AH36" i="9" s="1"/>
  <c r="B35" i="9"/>
  <c r="AB35" i="9" s="1"/>
  <c r="AH35" i="9" s="1"/>
  <c r="B32" i="9"/>
  <c r="AB32" i="9" s="1"/>
  <c r="AH32" i="9" s="1"/>
  <c r="B31" i="9"/>
  <c r="AB31" i="9" s="1"/>
  <c r="AH31" i="9" s="1"/>
  <c r="B30" i="9"/>
  <c r="AB30" i="9" s="1"/>
  <c r="AH30" i="9" s="1"/>
  <c r="B29" i="9"/>
  <c r="AB29" i="9" s="1"/>
  <c r="AH29" i="9" s="1"/>
  <c r="B28" i="9"/>
  <c r="AB28" i="9" s="1"/>
  <c r="AH28" i="9" s="1"/>
  <c r="B27" i="9"/>
  <c r="AB27" i="9" s="1"/>
  <c r="AH27" i="9" s="1"/>
  <c r="B26" i="9"/>
  <c r="AB26" i="9" s="1"/>
  <c r="AH26" i="9" s="1"/>
  <c r="B25" i="9"/>
  <c r="AB25" i="9" s="1"/>
  <c r="AH25" i="9" s="1"/>
  <c r="B22" i="9"/>
  <c r="AB22" i="9" s="1"/>
  <c r="AH22" i="9" s="1"/>
  <c r="B21" i="9"/>
  <c r="AB21" i="9" s="1"/>
  <c r="AH21" i="9" s="1"/>
  <c r="B20" i="9"/>
  <c r="AB20" i="9" s="1"/>
  <c r="AH20" i="9" s="1"/>
  <c r="B19" i="9"/>
  <c r="AB19" i="9" s="1"/>
  <c r="AH19" i="9" s="1"/>
  <c r="B18" i="9"/>
  <c r="AB18" i="9" s="1"/>
  <c r="AH18" i="9" s="1"/>
  <c r="B17" i="9"/>
  <c r="AB17" i="9" s="1"/>
  <c r="AH17" i="9" s="1"/>
  <c r="B16" i="9"/>
  <c r="AB16" i="9" s="1"/>
  <c r="AH16" i="9" s="1"/>
  <c r="B15" i="9"/>
  <c r="AB15" i="9" s="1"/>
  <c r="AH15" i="9" s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29" i="1"/>
  <c r="B28" i="1"/>
  <c r="B27" i="1"/>
  <c r="B26" i="1"/>
  <c r="B25" i="1"/>
  <c r="B22" i="1"/>
  <c r="B21" i="1"/>
  <c r="B20" i="1"/>
  <c r="B19" i="1"/>
  <c r="B16" i="1"/>
  <c r="B15" i="1"/>
  <c r="B14" i="1"/>
  <c r="B13" i="1"/>
  <c r="F49" i="16"/>
  <c r="A49" i="16" s="1"/>
  <c r="F48" i="16"/>
  <c r="A48" i="16" s="1"/>
  <c r="F47" i="16"/>
  <c r="A47" i="16" s="1"/>
  <c r="F46" i="16"/>
  <c r="A46" i="16" s="1"/>
  <c r="B49" i="16"/>
  <c r="B48" i="16"/>
  <c r="B47" i="16"/>
  <c r="B46" i="16"/>
  <c r="F27" i="15"/>
  <c r="A27" i="15" s="1"/>
  <c r="F49" i="15"/>
  <c r="A49" i="15" s="1"/>
  <c r="F48" i="15"/>
  <c r="A48" i="15" s="1"/>
  <c r="F47" i="15"/>
  <c r="A47" i="15" s="1"/>
  <c r="F46" i="15"/>
  <c r="A46" i="15" s="1"/>
  <c r="F45" i="15"/>
  <c r="A45" i="15" s="1"/>
  <c r="F44" i="15"/>
  <c r="A44" i="15" s="1"/>
  <c r="F43" i="15"/>
  <c r="A43" i="15" s="1"/>
  <c r="F42" i="15"/>
  <c r="A42" i="15" s="1"/>
  <c r="F39" i="15"/>
  <c r="A39" i="15" s="1"/>
  <c r="F38" i="15"/>
  <c r="A38" i="15" s="1"/>
  <c r="F37" i="15"/>
  <c r="A37" i="15" s="1"/>
  <c r="F36" i="15"/>
  <c r="A36" i="15" s="1"/>
  <c r="F35" i="15"/>
  <c r="A35" i="15" s="1"/>
  <c r="F34" i="15"/>
  <c r="A34" i="15" s="1"/>
  <c r="F33" i="15"/>
  <c r="A33" i="15" s="1"/>
  <c r="F30" i="15"/>
  <c r="A30" i="15" s="1"/>
  <c r="F29" i="15"/>
  <c r="A29" i="15" s="1"/>
  <c r="F28" i="15"/>
  <c r="A28" i="15" s="1"/>
  <c r="F26" i="15"/>
  <c r="A26" i="15" s="1"/>
  <c r="F25" i="15"/>
  <c r="A25" i="15" s="1"/>
  <c r="F24" i="15"/>
  <c r="A24" i="15" s="1"/>
  <c r="F23" i="15"/>
  <c r="A23" i="15" s="1"/>
  <c r="F22" i="15"/>
  <c r="A22" i="15" s="1"/>
  <c r="F21" i="15"/>
  <c r="A21" i="15" s="1"/>
  <c r="F20" i="15"/>
  <c r="A20" i="15" s="1"/>
  <c r="F19" i="15"/>
  <c r="A19" i="15" s="1"/>
  <c r="F16" i="15"/>
  <c r="A16" i="15" s="1"/>
  <c r="F15" i="15"/>
  <c r="A15" i="15" s="1"/>
  <c r="F14" i="15"/>
  <c r="A14" i="15" s="1"/>
  <c r="F13" i="15"/>
  <c r="A13" i="15" s="1"/>
  <c r="F51" i="13"/>
  <c r="A51" i="13" s="1"/>
  <c r="F50" i="13"/>
  <c r="A50" i="13" s="1"/>
  <c r="F49" i="13"/>
  <c r="A49" i="13" s="1"/>
  <c r="F48" i="13"/>
  <c r="A48" i="13" s="1"/>
  <c r="F47" i="13"/>
  <c r="A47" i="13" s="1"/>
  <c r="F46" i="13"/>
  <c r="A46" i="13" s="1"/>
  <c r="F45" i="13"/>
  <c r="A45" i="13" s="1"/>
  <c r="F44" i="13"/>
  <c r="A44" i="13" s="1"/>
  <c r="F43" i="13"/>
  <c r="A43" i="13" s="1"/>
  <c r="F42" i="13"/>
  <c r="A42" i="13" s="1"/>
  <c r="F41" i="13"/>
  <c r="A41" i="13" s="1"/>
  <c r="F40" i="13"/>
  <c r="A40" i="13" s="1"/>
  <c r="F39" i="13"/>
  <c r="A39" i="13" s="1"/>
  <c r="F51" i="12"/>
  <c r="A51" i="12" s="1"/>
  <c r="F50" i="12"/>
  <c r="A50" i="12" s="1"/>
  <c r="F49" i="12"/>
  <c r="A49" i="12" s="1"/>
  <c r="F48" i="12"/>
  <c r="A48" i="12" s="1"/>
  <c r="F47" i="12"/>
  <c r="A47" i="12" s="1"/>
  <c r="F46" i="12"/>
  <c r="A46" i="12" s="1"/>
  <c r="F45" i="12"/>
  <c r="A45" i="12" s="1"/>
  <c r="F44" i="12"/>
  <c r="A44" i="12" s="1"/>
  <c r="F43" i="12"/>
  <c r="A43" i="12" s="1"/>
  <c r="F42" i="12"/>
  <c r="A42" i="12" s="1"/>
  <c r="F41" i="12"/>
  <c r="A41" i="12" s="1"/>
  <c r="F40" i="12"/>
  <c r="A40" i="12" s="1"/>
  <c r="F39" i="12"/>
  <c r="A39" i="12" s="1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F51" i="11"/>
  <c r="A51" i="11" s="1"/>
  <c r="F50" i="11"/>
  <c r="A50" i="11" s="1"/>
  <c r="F49" i="11"/>
  <c r="A49" i="11" s="1"/>
  <c r="F48" i="11"/>
  <c r="A48" i="11" s="1"/>
  <c r="F47" i="11"/>
  <c r="A47" i="11" s="1"/>
  <c r="F46" i="11"/>
  <c r="A46" i="11" s="1"/>
  <c r="F45" i="11"/>
  <c r="A45" i="11" s="1"/>
  <c r="F44" i="11"/>
  <c r="A44" i="11" s="1"/>
  <c r="F43" i="11"/>
  <c r="A43" i="11" s="1"/>
  <c r="F42" i="11"/>
  <c r="A42" i="11" s="1"/>
  <c r="F41" i="11"/>
  <c r="A41" i="11" s="1"/>
  <c r="F40" i="11"/>
  <c r="A40" i="11" s="1"/>
  <c r="F39" i="11"/>
  <c r="A39" i="11" s="1"/>
  <c r="F38" i="11"/>
  <c r="A38" i="11" s="1"/>
  <c r="F37" i="11"/>
  <c r="A37" i="11" s="1"/>
  <c r="F36" i="11"/>
  <c r="A36" i="11" s="1"/>
  <c r="F35" i="11"/>
  <c r="A35" i="11" s="1"/>
  <c r="F32" i="11"/>
  <c r="A32" i="11" s="1"/>
  <c r="F31" i="11"/>
  <c r="A31" i="11" s="1"/>
  <c r="F30" i="11"/>
  <c r="A30" i="11" s="1"/>
  <c r="F29" i="11"/>
  <c r="A29" i="11" s="1"/>
  <c r="F28" i="11"/>
  <c r="A28" i="11" s="1"/>
  <c r="F27" i="11"/>
  <c r="A27" i="11" s="1"/>
  <c r="F26" i="11"/>
  <c r="A26" i="11" s="1"/>
  <c r="F25" i="11"/>
  <c r="A25" i="11" s="1"/>
  <c r="F22" i="11"/>
  <c r="A22" i="11" s="1"/>
  <c r="F21" i="11"/>
  <c r="A21" i="11" s="1"/>
  <c r="F20" i="11"/>
  <c r="A20" i="11" s="1"/>
  <c r="F19" i="11"/>
  <c r="A19" i="11" s="1"/>
  <c r="F18" i="11"/>
  <c r="A18" i="11" s="1"/>
  <c r="F17" i="11"/>
  <c r="A17" i="11" s="1"/>
  <c r="F16" i="11"/>
  <c r="A16" i="11" s="1"/>
  <c r="F15" i="11"/>
  <c r="A15" i="11" s="1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F48" i="7"/>
  <c r="A48" i="7" s="1"/>
  <c r="B48" i="7"/>
  <c r="F47" i="7"/>
  <c r="A47" i="7" s="1"/>
  <c r="B47" i="7"/>
  <c r="F46" i="7"/>
  <c r="A46" i="7" s="1"/>
  <c r="B46" i="7"/>
  <c r="F45" i="7"/>
  <c r="A45" i="7" s="1"/>
  <c r="B45" i="7"/>
  <c r="F44" i="7"/>
  <c r="A44" i="7" s="1"/>
  <c r="B44" i="7"/>
  <c r="F43" i="7"/>
  <c r="A43" i="7" s="1"/>
  <c r="B43" i="7"/>
  <c r="F42" i="7"/>
  <c r="A42" i="7" s="1"/>
  <c r="B42" i="7"/>
  <c r="F41" i="7"/>
  <c r="A41" i="7" s="1"/>
  <c r="B41" i="7"/>
  <c r="F40" i="7"/>
  <c r="A40" i="7" s="1"/>
  <c r="B40" i="7"/>
  <c r="F39" i="7"/>
  <c r="A39" i="7" s="1"/>
  <c r="B39" i="7"/>
  <c r="F38" i="7"/>
  <c r="A38" i="7" s="1"/>
  <c r="B38" i="7"/>
  <c r="F37" i="7"/>
  <c r="A37" i="7" s="1"/>
  <c r="B37" i="7"/>
  <c r="F36" i="7"/>
  <c r="A36" i="7" s="1"/>
  <c r="B36" i="7"/>
  <c r="B51" i="5"/>
  <c r="B50" i="5"/>
  <c r="B49" i="5"/>
  <c r="B48" i="5"/>
  <c r="B47" i="5"/>
  <c r="B46" i="5"/>
  <c r="B2" i="5" s="1"/>
  <c r="B45" i="5"/>
  <c r="B44" i="5"/>
  <c r="B43" i="5"/>
  <c r="B42" i="5"/>
  <c r="B41" i="5"/>
  <c r="B40" i="5"/>
  <c r="B39" i="5"/>
  <c r="F48" i="3"/>
  <c r="A48" i="3" s="1"/>
  <c r="B48" i="3"/>
  <c r="F47" i="3"/>
  <c r="A47" i="3" s="1"/>
  <c r="B47" i="3"/>
  <c r="F46" i="3"/>
  <c r="A46" i="3" s="1"/>
  <c r="B46" i="3"/>
  <c r="F45" i="3"/>
  <c r="A45" i="3" s="1"/>
  <c r="B45" i="3"/>
  <c r="F44" i="3"/>
  <c r="A44" i="3" s="1"/>
  <c r="B44" i="3"/>
  <c r="F43" i="3"/>
  <c r="A43" i="3" s="1"/>
  <c r="B43" i="3"/>
  <c r="F42" i="3"/>
  <c r="A42" i="3" s="1"/>
  <c r="B42" i="3"/>
  <c r="F41" i="3"/>
  <c r="A41" i="3" s="1"/>
  <c r="B41" i="3"/>
  <c r="F40" i="3"/>
  <c r="A40" i="3" s="1"/>
  <c r="B40" i="3"/>
  <c r="F39" i="3"/>
  <c r="A39" i="3" s="1"/>
  <c r="B39" i="3"/>
  <c r="F38" i="3"/>
  <c r="A38" i="3" s="1"/>
  <c r="B38" i="3"/>
  <c r="F37" i="3"/>
  <c r="A37" i="3" s="1"/>
  <c r="B37" i="3"/>
  <c r="F36" i="3"/>
  <c r="A36" i="3" s="1"/>
  <c r="B36" i="3"/>
  <c r="B2" i="9" l="1"/>
  <c r="B7" i="18" s="1"/>
  <c r="AB42" i="9"/>
  <c r="AH42" i="9" s="1"/>
  <c r="U2" i="13"/>
  <c r="E2" i="13"/>
  <c r="W2" i="13"/>
  <c r="B2" i="13"/>
  <c r="N2" i="13"/>
  <c r="Q2" i="13"/>
  <c r="G2" i="13"/>
  <c r="M2" i="13"/>
  <c r="H2" i="13"/>
  <c r="C2" i="13"/>
  <c r="L2" i="13"/>
  <c r="J2" i="13"/>
  <c r="F2" i="13"/>
  <c r="Y2" i="13"/>
  <c r="O2" i="13"/>
  <c r="R2" i="13"/>
  <c r="I2" i="13"/>
  <c r="T2" i="13"/>
  <c r="X2" i="13"/>
  <c r="P2" i="13"/>
  <c r="V2" i="13"/>
  <c r="K2" i="13"/>
  <c r="Z2" i="13"/>
  <c r="S2" i="13"/>
  <c r="D2" i="13"/>
  <c r="R2" i="12"/>
  <c r="E2" i="12"/>
  <c r="E26" i="18" s="1"/>
  <c r="T2" i="12"/>
  <c r="T26" i="18" s="1"/>
  <c r="W2" i="12"/>
  <c r="L2" i="12"/>
  <c r="Q2" i="12"/>
  <c r="D2" i="12"/>
  <c r="I2" i="12"/>
  <c r="S2" i="12"/>
  <c r="S26" i="18" s="1"/>
  <c r="X2" i="12"/>
  <c r="J2" i="12"/>
  <c r="J26" i="18" s="1"/>
  <c r="K2" i="12"/>
  <c r="G2" i="12"/>
  <c r="C2" i="12"/>
  <c r="C26" i="18" s="1"/>
  <c r="V2" i="12"/>
  <c r="P2" i="12"/>
  <c r="P26" i="18" s="1"/>
  <c r="Y2" i="12"/>
  <c r="N2" i="12"/>
  <c r="F2" i="12"/>
  <c r="O2" i="12"/>
  <c r="U2" i="12"/>
  <c r="U26" i="18" s="1"/>
  <c r="Z2" i="12"/>
  <c r="M2" i="12"/>
  <c r="H2" i="12"/>
  <c r="B2" i="12"/>
  <c r="B26" i="18" s="1"/>
  <c r="U2" i="15"/>
  <c r="T2" i="15"/>
  <c r="T9" i="18" s="1"/>
  <c r="Q2" i="15"/>
  <c r="Q9" i="18" s="1"/>
  <c r="W2" i="15"/>
  <c r="W9" i="18" s="1"/>
  <c r="B2" i="15"/>
  <c r="B9" i="18" s="1"/>
  <c r="D2" i="15"/>
  <c r="D9" i="18" s="1"/>
  <c r="K2" i="15"/>
  <c r="K9" i="18" s="1"/>
  <c r="L2" i="15"/>
  <c r="L9" i="18" s="1"/>
  <c r="G2" i="15"/>
  <c r="G9" i="18" s="1"/>
  <c r="N2" i="15"/>
  <c r="N9" i="18" s="1"/>
  <c r="J2" i="15"/>
  <c r="J9" i="18" s="1"/>
  <c r="S2" i="15"/>
  <c r="S9" i="18" s="1"/>
  <c r="P2" i="15"/>
  <c r="P9" i="18" s="1"/>
  <c r="V2" i="15"/>
  <c r="V9" i="18" s="1"/>
  <c r="I2" i="15"/>
  <c r="I9" i="18" s="1"/>
  <c r="F2" i="15"/>
  <c r="F9" i="18" s="1"/>
  <c r="M2" i="15"/>
  <c r="M9" i="18" s="1"/>
  <c r="R2" i="15"/>
  <c r="R9" i="18" s="1"/>
  <c r="X2" i="15"/>
  <c r="X9" i="18" s="1"/>
  <c r="C2" i="15"/>
  <c r="C9" i="18" s="1"/>
  <c r="H2" i="15"/>
  <c r="H9" i="18" s="1"/>
  <c r="O2" i="15"/>
  <c r="O9" i="18" s="1"/>
  <c r="E2" i="15"/>
  <c r="E9" i="18" s="1"/>
  <c r="P2" i="11"/>
  <c r="P8" i="18" s="1"/>
  <c r="G2" i="11"/>
  <c r="G8" i="18" s="1"/>
  <c r="E2" i="11"/>
  <c r="X2" i="11"/>
  <c r="X8" i="18" s="1"/>
  <c r="F2" i="11"/>
  <c r="F8" i="18" s="1"/>
  <c r="N2" i="11"/>
  <c r="N8" i="18" s="1"/>
  <c r="M2" i="11"/>
  <c r="M8" i="18" s="1"/>
  <c r="T2" i="11"/>
  <c r="T8" i="18" s="1"/>
  <c r="V2" i="11"/>
  <c r="V8" i="18" s="1"/>
  <c r="R2" i="11"/>
  <c r="R8" i="18" s="1"/>
  <c r="B2" i="11"/>
  <c r="B8" i="18" s="1"/>
  <c r="H2" i="11"/>
  <c r="H8" i="18" s="1"/>
  <c r="I2" i="11"/>
  <c r="I8" i="18" s="1"/>
  <c r="O2" i="11"/>
  <c r="O8" i="18" s="1"/>
  <c r="D2" i="11"/>
  <c r="D8" i="18" s="1"/>
  <c r="K2" i="11"/>
  <c r="K8" i="18" s="1"/>
  <c r="U2" i="11"/>
  <c r="L2" i="11"/>
  <c r="J2" i="11"/>
  <c r="J8" i="18" s="1"/>
  <c r="C2" i="11"/>
  <c r="C8" i="18" s="1"/>
  <c r="S2" i="11"/>
  <c r="S8" i="18" s="1"/>
  <c r="Q2" i="11"/>
  <c r="Q8" i="18" s="1"/>
  <c r="W2" i="11"/>
  <c r="W8" i="18" s="1"/>
  <c r="G2" i="7"/>
  <c r="G22" i="18" s="1"/>
  <c r="E2" i="7"/>
  <c r="E22" i="18" s="1"/>
  <c r="F2" i="7"/>
  <c r="F22" i="18" s="1"/>
  <c r="L2" i="7"/>
  <c r="L22" i="18" s="1"/>
  <c r="Q2" i="7"/>
  <c r="Q22" i="18" s="1"/>
  <c r="Z2" i="7"/>
  <c r="Z22" i="18" s="1"/>
  <c r="V2" i="7"/>
  <c r="V22" i="18" s="1"/>
  <c r="T2" i="7"/>
  <c r="T22" i="18" s="1"/>
  <c r="M2" i="7"/>
  <c r="M22" i="18" s="1"/>
  <c r="R2" i="7"/>
  <c r="R22" i="18" s="1"/>
  <c r="U2" i="7"/>
  <c r="U22" i="18" s="1"/>
  <c r="B2" i="7"/>
  <c r="B22" i="18" s="1"/>
  <c r="S2" i="7"/>
  <c r="S22" i="18" s="1"/>
  <c r="P2" i="7"/>
  <c r="P22" i="18" s="1"/>
  <c r="C2" i="7"/>
  <c r="C22" i="18" s="1"/>
  <c r="J2" i="7"/>
  <c r="J22" i="18" s="1"/>
  <c r="Y2" i="7"/>
  <c r="Y22" i="18" s="1"/>
  <c r="D2" i="7"/>
  <c r="D22" i="18" s="1"/>
  <c r="O2" i="7"/>
  <c r="O22" i="18" s="1"/>
  <c r="H2" i="7"/>
  <c r="W2" i="7"/>
  <c r="W22" i="18" s="1"/>
  <c r="X2" i="7"/>
  <c r="X22" i="18" s="1"/>
  <c r="I2" i="7"/>
  <c r="I22" i="18" s="1"/>
  <c r="K2" i="7"/>
  <c r="K22" i="18" s="1"/>
  <c r="N2" i="7"/>
  <c r="N22" i="18" s="1"/>
  <c r="K2" i="3"/>
  <c r="K21" i="18" s="1"/>
  <c r="Z2" i="3"/>
  <c r="Z21" i="18" s="1"/>
  <c r="E2" i="3"/>
  <c r="E21" i="18" s="1"/>
  <c r="Y2" i="3"/>
  <c r="Y21" i="18" s="1"/>
  <c r="L2" i="3"/>
  <c r="L21" i="18" s="1"/>
  <c r="G2" i="3"/>
  <c r="G21" i="18" s="1"/>
  <c r="M2" i="3"/>
  <c r="M21" i="18" s="1"/>
  <c r="C2" i="3"/>
  <c r="C21" i="18" s="1"/>
  <c r="R2" i="3"/>
  <c r="R21" i="18" s="1"/>
  <c r="T2" i="3"/>
  <c r="T21" i="18" s="1"/>
  <c r="J2" i="3"/>
  <c r="J21" i="18" s="1"/>
  <c r="I2" i="3"/>
  <c r="I21" i="18" s="1"/>
  <c r="Q2" i="3"/>
  <c r="Q21" i="18" s="1"/>
  <c r="B2" i="3"/>
  <c r="B21" i="18" s="1"/>
  <c r="D2" i="3"/>
  <c r="D21" i="18" s="1"/>
  <c r="X2" i="3"/>
  <c r="X21" i="18" s="1"/>
  <c r="V2" i="3"/>
  <c r="V21" i="18" s="1"/>
  <c r="N2" i="3"/>
  <c r="H2" i="3"/>
  <c r="H21" i="18" s="1"/>
  <c r="F2" i="3"/>
  <c r="F21" i="18" s="1"/>
  <c r="P2" i="3"/>
  <c r="P21" i="18" s="1"/>
  <c r="W2" i="3"/>
  <c r="W21" i="18" s="1"/>
  <c r="U2" i="3"/>
  <c r="U21" i="18" s="1"/>
  <c r="O2" i="3"/>
  <c r="O21" i="18" s="1"/>
  <c r="S2" i="3"/>
  <c r="S21" i="18" s="1"/>
  <c r="B25" i="18"/>
  <c r="H22" i="18"/>
  <c r="H7" i="18"/>
  <c r="E7" i="18"/>
  <c r="S7" i="18"/>
  <c r="P7" i="18"/>
  <c r="C7" i="18"/>
  <c r="D7" i="18"/>
  <c r="M7" i="18"/>
  <c r="J7" i="18"/>
  <c r="W7" i="18"/>
  <c r="R7" i="18"/>
  <c r="L7" i="18"/>
  <c r="X7" i="18"/>
  <c r="N7" i="18"/>
  <c r="Q7" i="18"/>
  <c r="K7" i="18"/>
  <c r="T7" i="18"/>
  <c r="V7" i="18"/>
  <c r="O7" i="18"/>
  <c r="F7" i="18"/>
  <c r="I7" i="18"/>
  <c r="G7" i="18"/>
  <c r="B28" i="18"/>
  <c r="D28" i="18"/>
  <c r="C28" i="18"/>
  <c r="Y26" i="18"/>
  <c r="Q26" i="18"/>
  <c r="I26" i="18"/>
  <c r="X26" i="18"/>
  <c r="H26" i="18"/>
  <c r="N26" i="18"/>
  <c r="M26" i="18"/>
  <c r="W26" i="18"/>
  <c r="L26" i="18"/>
  <c r="K26" i="18"/>
  <c r="D26" i="18"/>
  <c r="V26" i="18"/>
  <c r="G26" i="18"/>
  <c r="F26" i="18"/>
  <c r="O26" i="18"/>
  <c r="Z26" i="18"/>
  <c r="R26" i="18"/>
  <c r="W25" i="18"/>
  <c r="L25" i="18"/>
  <c r="T25" i="18"/>
  <c r="J25" i="18"/>
  <c r="M25" i="18"/>
  <c r="G25" i="18"/>
  <c r="E25" i="18"/>
  <c r="V25" i="18"/>
  <c r="Y25" i="18"/>
  <c r="C25" i="18"/>
  <c r="U25" i="18"/>
  <c r="I25" i="18"/>
  <c r="Q25" i="18"/>
  <c r="O25" i="18"/>
  <c r="N25" i="18"/>
  <c r="K25" i="18"/>
  <c r="S25" i="18"/>
  <c r="Z25" i="18"/>
  <c r="H25" i="18"/>
  <c r="F25" i="18"/>
  <c r="R25" i="18"/>
  <c r="P25" i="18"/>
  <c r="D25" i="18"/>
  <c r="X25" i="18"/>
  <c r="N21" i="18"/>
  <c r="L8" i="18"/>
  <c r="E8" i="18"/>
  <c r="W23" i="18"/>
  <c r="I23" i="18"/>
  <c r="V23" i="18"/>
  <c r="H23" i="18"/>
  <c r="G23" i="18"/>
  <c r="F23" i="18"/>
  <c r="P23" i="18"/>
  <c r="Y23" i="18"/>
  <c r="N23" i="18"/>
  <c r="X23" i="18"/>
  <c r="U23" i="18"/>
  <c r="Q23" i="18"/>
  <c r="E23" i="18"/>
  <c r="O23" i="18"/>
  <c r="M23" i="18"/>
  <c r="Z23" i="18"/>
  <c r="T23" i="18"/>
  <c r="D23" i="18"/>
  <c r="K23" i="18"/>
  <c r="B23" i="18"/>
  <c r="C23" i="18"/>
  <c r="L23" i="18"/>
  <c r="S23" i="18"/>
  <c r="J23" i="18"/>
  <c r="R23" i="18"/>
  <c r="Y29" i="18"/>
  <c r="Q29" i="18"/>
  <c r="I29" i="18"/>
  <c r="B29" i="18"/>
  <c r="P29" i="18"/>
  <c r="H29" i="18"/>
  <c r="X29" i="18"/>
  <c r="T29" i="18"/>
  <c r="W29" i="18"/>
  <c r="F29" i="18"/>
  <c r="V29" i="18"/>
  <c r="E29" i="18"/>
  <c r="U29" i="18"/>
  <c r="D29" i="18"/>
  <c r="M29" i="18"/>
  <c r="L29" i="18"/>
  <c r="G29" i="18"/>
  <c r="O29" i="18"/>
  <c r="N29" i="18"/>
  <c r="J29" i="18"/>
  <c r="S29" i="18"/>
  <c r="R29" i="18"/>
  <c r="C29" i="18"/>
  <c r="Z29" i="18"/>
  <c r="K29" i="18"/>
  <c r="F48" i="2"/>
  <c r="A48" i="2" s="1"/>
  <c r="F47" i="2"/>
  <c r="A47" i="2" s="1"/>
  <c r="F46" i="2"/>
  <c r="A46" i="2" s="1"/>
  <c r="F45" i="2"/>
  <c r="A45" i="2" s="1"/>
  <c r="F44" i="2"/>
  <c r="A44" i="2" s="1"/>
  <c r="F43" i="2"/>
  <c r="A43" i="2" s="1"/>
  <c r="F42" i="2"/>
  <c r="A42" i="2" s="1"/>
  <c r="F41" i="2"/>
  <c r="A41" i="2" s="1"/>
  <c r="F40" i="2"/>
  <c r="A40" i="2" s="1"/>
  <c r="F39" i="2"/>
  <c r="A39" i="2" s="1"/>
  <c r="F38" i="2"/>
  <c r="A38" i="2" s="1"/>
  <c r="F37" i="2"/>
  <c r="A37" i="2" s="1"/>
  <c r="F36" i="2"/>
  <c r="A36" i="2" s="1"/>
  <c r="C2" i="2" l="1"/>
  <c r="I2" i="2"/>
  <c r="R2" i="2"/>
  <c r="W2" i="2"/>
  <c r="M2" i="2"/>
  <c r="F2" i="2"/>
  <c r="Z2" i="2"/>
  <c r="H2" i="2"/>
  <c r="J2" i="2"/>
  <c r="Q2" i="2"/>
  <c r="X2" i="2"/>
  <c r="S2" i="2"/>
  <c r="L2" i="2"/>
  <c r="U2" i="2"/>
  <c r="Y2" i="2"/>
  <c r="O2" i="2"/>
  <c r="P2" i="2"/>
  <c r="G2" i="2"/>
  <c r="N2" i="2"/>
  <c r="K2" i="2"/>
  <c r="D2" i="2"/>
  <c r="E2" i="2"/>
  <c r="T2" i="2"/>
  <c r="V2" i="2"/>
  <c r="N28" i="18"/>
  <c r="S28" i="18"/>
  <c r="O28" i="18"/>
  <c r="Y28" i="18"/>
  <c r="T28" i="18"/>
  <c r="L28" i="18"/>
  <c r="G28" i="18"/>
  <c r="Z28" i="18"/>
  <c r="J28" i="18"/>
  <c r="M28" i="18"/>
  <c r="V28" i="18"/>
  <c r="P28" i="18"/>
  <c r="Q28" i="18"/>
  <c r="F28" i="18"/>
  <c r="H28" i="18"/>
  <c r="X28" i="18"/>
  <c r="I28" i="18"/>
  <c r="E28" i="18"/>
  <c r="K28" i="18"/>
  <c r="R28" i="18"/>
  <c r="U28" i="18"/>
  <c r="W28" i="18"/>
  <c r="F48" i="1"/>
  <c r="A48" i="1" s="1"/>
  <c r="F47" i="1"/>
  <c r="A47" i="1" s="1"/>
  <c r="F46" i="1"/>
  <c r="A46" i="1" s="1"/>
  <c r="F45" i="1"/>
  <c r="A45" i="1" s="1"/>
  <c r="F44" i="1"/>
  <c r="A44" i="1" s="1"/>
  <c r="F43" i="1"/>
  <c r="A43" i="1" s="1"/>
  <c r="F42" i="1"/>
  <c r="A42" i="1" s="1"/>
  <c r="F41" i="1"/>
  <c r="A41" i="1" s="1"/>
  <c r="F40" i="1"/>
  <c r="A40" i="1" s="1"/>
  <c r="F39" i="1"/>
  <c r="A39" i="1" s="1"/>
  <c r="F38" i="1"/>
  <c r="A38" i="1" s="1"/>
  <c r="F37" i="1"/>
  <c r="A37" i="1" s="1"/>
  <c r="F36" i="1"/>
  <c r="A36" i="1" s="1"/>
  <c r="F35" i="1"/>
  <c r="A35" i="1" s="1"/>
  <c r="F34" i="1"/>
  <c r="A34" i="1" s="1"/>
  <c r="F33" i="1"/>
  <c r="A33" i="1" s="1"/>
  <c r="F32" i="1"/>
  <c r="A32" i="1" s="1"/>
  <c r="F29" i="1"/>
  <c r="A29" i="1" s="1"/>
  <c r="F28" i="1"/>
  <c r="A28" i="1" s="1"/>
  <c r="F27" i="1"/>
  <c r="A27" i="1" s="1"/>
  <c r="F26" i="1"/>
  <c r="A26" i="1" s="1"/>
  <c r="F25" i="1"/>
  <c r="A25" i="1" s="1"/>
  <c r="F22" i="1"/>
  <c r="A22" i="1" s="1"/>
  <c r="F21" i="1"/>
  <c r="A21" i="1" s="1"/>
  <c r="F20" i="1"/>
  <c r="A20" i="1" s="1"/>
  <c r="F19" i="1"/>
  <c r="A19" i="1" s="1"/>
  <c r="F16" i="1"/>
  <c r="A16" i="1" s="1"/>
  <c r="F15" i="1"/>
  <c r="A15" i="1" s="1"/>
  <c r="F14" i="1"/>
  <c r="A14" i="1" s="1"/>
  <c r="F13" i="1"/>
  <c r="A13" i="1" s="1"/>
  <c r="U2" i="1" l="1"/>
  <c r="T2" i="1"/>
  <c r="S2" i="1"/>
  <c r="F2" i="1"/>
  <c r="W2" i="1"/>
  <c r="C2" i="1"/>
  <c r="I2" i="1"/>
  <c r="N2" i="1"/>
  <c r="B2" i="1"/>
  <c r="P2" i="1"/>
  <c r="E2" i="1"/>
  <c r="J2" i="1"/>
  <c r="G2" i="1"/>
  <c r="L2" i="1"/>
  <c r="Q2" i="1"/>
  <c r="O2" i="1"/>
  <c r="D2" i="1"/>
  <c r="V2" i="1"/>
  <c r="H2" i="1"/>
  <c r="K2" i="1"/>
  <c r="M2" i="1"/>
  <c r="X2" i="1"/>
  <c r="R2" i="1"/>
  <c r="B48" i="2"/>
  <c r="B47" i="2"/>
  <c r="B46" i="2"/>
  <c r="B45" i="2"/>
  <c r="B44" i="2"/>
  <c r="B43" i="2"/>
  <c r="B42" i="2"/>
  <c r="B41" i="2"/>
  <c r="B40" i="2"/>
  <c r="B39" i="2"/>
  <c r="B38" i="2"/>
  <c r="B2" i="2" s="1"/>
  <c r="B37" i="2"/>
  <c r="B36" i="2"/>
  <c r="V6" i="18" l="1"/>
  <c r="O6" i="18"/>
  <c r="P6" i="18"/>
  <c r="M6" i="18"/>
  <c r="R6" i="18"/>
  <c r="F6" i="18"/>
  <c r="H6" i="18"/>
  <c r="K6" i="18"/>
  <c r="X6" i="18"/>
  <c r="N6" i="18"/>
  <c r="C6" i="18"/>
  <c r="J6" i="18"/>
  <c r="Q6" i="18"/>
  <c r="S6" i="18"/>
  <c r="E6" i="18"/>
  <c r="T6" i="18"/>
  <c r="I6" i="18"/>
  <c r="B6" i="18"/>
  <c r="L6" i="18"/>
  <c r="D6" i="18"/>
  <c r="W6" i="18"/>
  <c r="H19" i="18"/>
  <c r="B19" i="18"/>
  <c r="G19" i="18"/>
  <c r="O19" i="18"/>
  <c r="P19" i="18"/>
  <c r="Q19" i="18"/>
  <c r="X19" i="18"/>
  <c r="F19" i="18"/>
  <c r="K19" i="18"/>
  <c r="J19" i="18"/>
  <c r="L19" i="18"/>
  <c r="I19" i="18"/>
  <c r="R19" i="18"/>
  <c r="W19" i="18"/>
  <c r="E19" i="18"/>
  <c r="N19" i="18"/>
  <c r="T19" i="18"/>
  <c r="U19" i="18"/>
  <c r="Z19" i="18"/>
  <c r="Y19" i="18"/>
  <c r="C19" i="18"/>
  <c r="S19" i="18"/>
  <c r="M19" i="18"/>
  <c r="D19" i="18"/>
  <c r="V19" i="18"/>
  <c r="G6" i="18"/>
</calcChain>
</file>

<file path=xl/sharedStrings.xml><?xml version="1.0" encoding="utf-8"?>
<sst xmlns="http://schemas.openxmlformats.org/spreadsheetml/2006/main" count="1842" uniqueCount="219">
  <si>
    <t>Сечение профиля,</t>
  </si>
  <si>
    <t>Геометрические характеристики полного поперечного сечения</t>
  </si>
  <si>
    <t>кг</t>
  </si>
  <si>
    <t>Момент инерции</t>
  </si>
  <si>
    <t>Момент сопро-</t>
  </si>
  <si>
    <t>Положение центра тяжести</t>
  </si>
  <si>
    <t>см</t>
  </si>
  <si>
    <t>момент инерции при свободном кручении для одиночного профиля</t>
  </si>
  <si>
    <t>момент инерции при свободном кручении для сдвоенного профиля</t>
  </si>
  <si>
    <t>Момент инерции Jy сдвоенного сечения (SCAD-Tonus)</t>
  </si>
  <si>
    <t>Полка B1</t>
  </si>
  <si>
    <t>Стенка H</t>
  </si>
  <si>
    <t>Полка B2</t>
  </si>
  <si>
    <t>Расчетные справочные величины для профилей при продольном сжатии</t>
  </si>
  <si>
    <t>Расчетные справочные величины при изгибе</t>
  </si>
  <si>
    <t>В плоскости  х - х</t>
  </si>
  <si>
    <t>В плоскости у - у</t>
  </si>
  <si>
    <t>Сжата полка В1</t>
  </si>
  <si>
    <t>Сжата полка В2</t>
  </si>
  <si>
    <t>Мом-ент инерции</t>
  </si>
  <si>
    <t>Радиус инерции</t>
  </si>
  <si>
    <t>Площадь сечения</t>
  </si>
  <si>
    <t>радиус инерции</t>
  </si>
  <si>
    <t>Н/В1/В2, мм</t>
  </si>
  <si>
    <t>Толщина металла, мм</t>
  </si>
  <si>
    <t>Масса 1 м.п.</t>
  </si>
  <si>
    <t>Теор. Ширина заготовки, мм</t>
  </si>
  <si>
    <t>140/59,5/65,5/20</t>
  </si>
  <si>
    <t>140/59,5/65,5/20,5</t>
  </si>
  <si>
    <t>140/59,5/65,5/21</t>
  </si>
  <si>
    <t>140/59,5/65,5/22</t>
  </si>
  <si>
    <t>160/59,5/65,5/20</t>
  </si>
  <si>
    <t>160/59,5/65,5/20,5</t>
  </si>
  <si>
    <t>160/59,5/65,5/21</t>
  </si>
  <si>
    <t>160/59,5/65,5/22</t>
  </si>
  <si>
    <t>200/59,5/65,5/20</t>
  </si>
  <si>
    <t>200/59,5/65,5/20,5</t>
  </si>
  <si>
    <t>200/59,5/65,5/21</t>
  </si>
  <si>
    <t>200/59,5/65,5/22</t>
  </si>
  <si>
    <t>200/59,5/65,5/23</t>
  </si>
  <si>
    <t>250/67/78/21,5</t>
  </si>
  <si>
    <t>250/68/79/22</t>
  </si>
  <si>
    <t>250/69/80/22,5</t>
  </si>
  <si>
    <t>300/85/93/29,5</t>
  </si>
  <si>
    <t>300/86/94/30</t>
  </si>
  <si>
    <t>300/87/95/30,5</t>
  </si>
  <si>
    <t>300/88/96/31</t>
  </si>
  <si>
    <t>350/85/93/29,5</t>
  </si>
  <si>
    <t>350/86/94/30</t>
  </si>
  <si>
    <t>350/87/95/30,5</t>
  </si>
  <si>
    <t>350/88/96/31</t>
  </si>
  <si>
    <t>400/85/93/29,5</t>
  </si>
  <si>
    <t>400/86/94/30</t>
  </si>
  <si>
    <t>400/87/95/30,5</t>
  </si>
  <si>
    <t>400/88/96/31</t>
  </si>
  <si>
    <t>400/89/97/31,5</t>
  </si>
  <si>
    <t>Масса 1 п.м.</t>
  </si>
  <si>
    <t>Тип</t>
  </si>
  <si>
    <t>Наим.</t>
  </si>
  <si>
    <t>Отгибы С</t>
  </si>
  <si>
    <t>160/49/57/20</t>
  </si>
  <si>
    <t>160/50/58/21</t>
  </si>
  <si>
    <t>160/51/59/22</t>
  </si>
  <si>
    <t>160/52/60/23</t>
  </si>
  <si>
    <t>180/49/57/20</t>
  </si>
  <si>
    <t>180/50/58/21</t>
  </si>
  <si>
    <t>180/51/59/22</t>
  </si>
  <si>
    <t>180/52/60/23</t>
  </si>
  <si>
    <t>200/49/57/20</t>
  </si>
  <si>
    <t>200/50/58/21</t>
  </si>
  <si>
    <t>200/51/59/22</t>
  </si>
  <si>
    <t>200/52/60/23</t>
  </si>
  <si>
    <t>220/49/57/20</t>
  </si>
  <si>
    <t>220/50/58/21</t>
  </si>
  <si>
    <t>220/51/59/22</t>
  </si>
  <si>
    <t>220/52/60/23</t>
  </si>
  <si>
    <t>250/63/73/20</t>
  </si>
  <si>
    <t>250/64/74/21</t>
  </si>
  <si>
    <t>250/65/75/22</t>
  </si>
  <si>
    <t>250/66/76/23</t>
  </si>
  <si>
    <t>300/85/93/20,5</t>
  </si>
  <si>
    <t>300/86/94/21,5</t>
  </si>
  <si>
    <t>300/87/95/22,5</t>
  </si>
  <si>
    <t>300/88/96/23,5</t>
  </si>
  <si>
    <t>350/94/100/23</t>
  </si>
  <si>
    <t>350/93/100/25,5</t>
  </si>
  <si>
    <t>350/92/100/28</t>
  </si>
  <si>
    <t>350/91/100/30,5</t>
  </si>
  <si>
    <t>400/94/100/23</t>
  </si>
  <si>
    <t>400/93/100/25,5</t>
  </si>
  <si>
    <t>400/92/100/28</t>
  </si>
  <si>
    <t>400/91/100/30,5</t>
  </si>
  <si>
    <t>400/90/100/31</t>
  </si>
  <si>
    <t>160/55/55/18</t>
  </si>
  <si>
    <t>160/55/55/20</t>
  </si>
  <si>
    <t>160/55/55/22</t>
  </si>
  <si>
    <t>160/55/55/24</t>
  </si>
  <si>
    <t>180/55/55/18</t>
  </si>
  <si>
    <t>180/55/55/20</t>
  </si>
  <si>
    <t>180/55/55/22</t>
  </si>
  <si>
    <t>180/55/55/24</t>
  </si>
  <si>
    <t>200/55/55/18</t>
  </si>
  <si>
    <t>200/55/55/20</t>
  </si>
  <si>
    <t>200/55/55/22</t>
  </si>
  <si>
    <t>200/55/55/24</t>
  </si>
  <si>
    <t>220/55/55/18</t>
  </si>
  <si>
    <t>220/55/55/20</t>
  </si>
  <si>
    <t>220/55/55/22</t>
  </si>
  <si>
    <t>220/55/55/24</t>
  </si>
  <si>
    <t>250/66/66/20</t>
  </si>
  <si>
    <t>250/67/67/20</t>
  </si>
  <si>
    <t>250/68/68/20</t>
  </si>
  <si>
    <t>250/69/69/20</t>
  </si>
  <si>
    <t>300/91/91/20</t>
  </si>
  <si>
    <t>300/92/92/20</t>
  </si>
  <si>
    <t>300/93/93/20</t>
  </si>
  <si>
    <t>300/94/94/20</t>
  </si>
  <si>
    <t>350/100/100/20</t>
  </si>
  <si>
    <t>350/100/100/22</t>
  </si>
  <si>
    <t>350/100/100/24</t>
  </si>
  <si>
    <t>350/100/100/26</t>
  </si>
  <si>
    <t>400/100/100/20</t>
  </si>
  <si>
    <t>400/100/100/22</t>
  </si>
  <si>
    <t>400/100/100/24</t>
  </si>
  <si>
    <t>400/100/100/26</t>
  </si>
  <si>
    <t>400/100/100/28</t>
  </si>
  <si>
    <t>140/68/68/15,5</t>
  </si>
  <si>
    <t>140/68/68/17</t>
  </si>
  <si>
    <t>140/68/68/18,5</t>
  </si>
  <si>
    <t>140/68/68/20</t>
  </si>
  <si>
    <t>160/68/68/15,5</t>
  </si>
  <si>
    <t>160/68/68/17</t>
  </si>
  <si>
    <t>160/68/68/18,5</t>
  </si>
  <si>
    <t>160/68/68/20</t>
  </si>
  <si>
    <t>170/68/68/17</t>
  </si>
  <si>
    <t>170/68/68/18,5</t>
  </si>
  <si>
    <t>170/68/68/20</t>
  </si>
  <si>
    <t>180/68/68/15,5</t>
  </si>
  <si>
    <t>180/68/68/17</t>
  </si>
  <si>
    <t>180/68/68/18,5</t>
  </si>
  <si>
    <t>180/68/68/20</t>
  </si>
  <si>
    <t>200/68/68/15,5</t>
  </si>
  <si>
    <t>200/68/68/17</t>
  </si>
  <si>
    <t>200/68/68/20</t>
  </si>
  <si>
    <t>230/80/80/22</t>
  </si>
  <si>
    <t>230/81/81/23</t>
  </si>
  <si>
    <t>230/82/82/24</t>
  </si>
  <si>
    <t>250/71/71/21</t>
  </si>
  <si>
    <t>250/72/72/22</t>
  </si>
  <si>
    <t>250/73/73/23</t>
  </si>
  <si>
    <t>250/74/74/24</t>
  </si>
  <si>
    <t>300/88/88/29</t>
  </si>
  <si>
    <t>300/89/89/30</t>
  </si>
  <si>
    <t>300/91/91/30</t>
  </si>
  <si>
    <t>300/92/92/30</t>
  </si>
  <si>
    <t>Полож-е ц/т</t>
  </si>
  <si>
    <t>Момент сопр-я</t>
  </si>
  <si>
    <t>С350</t>
  </si>
  <si>
    <t>С420</t>
  </si>
  <si>
    <t>С450</t>
  </si>
  <si>
    <t>C280</t>
  </si>
  <si>
    <t>С390</t>
  </si>
  <si>
    <t>Предел текучести</t>
  </si>
  <si>
    <t>Ry</t>
  </si>
  <si>
    <t>Н/В1/В2/С, мм</t>
  </si>
  <si>
    <t>Сечение профиля</t>
  </si>
  <si>
    <t>Наименование</t>
  </si>
  <si>
    <t>Толщина металла t, мм</t>
  </si>
  <si>
    <t>Полож-е ц.т.</t>
  </si>
  <si>
    <t>Момент сопро-я</t>
  </si>
  <si>
    <t>200/68/68/18,5</t>
  </si>
  <si>
    <t>170/68/68/15,5</t>
  </si>
  <si>
    <r>
      <t>F</t>
    </r>
    <r>
      <rPr>
        <vertAlign val="subscript"/>
        <sz val="9"/>
        <color rgb="FF000000"/>
        <rFont val="Calibri"/>
        <family val="2"/>
        <charset val="204"/>
        <scheme val="minor"/>
      </rPr>
      <t>p</t>
    </r>
    <r>
      <rPr>
        <sz val="9"/>
        <color rgb="FF000000"/>
        <rFont val="Calibri"/>
        <family val="2"/>
        <charset val="204"/>
        <scheme val="minor"/>
      </rPr>
      <t>,</t>
    </r>
  </si>
  <si>
    <r>
      <t>r</t>
    </r>
    <r>
      <rPr>
        <vertAlign val="subscript"/>
        <sz val="9"/>
        <color rgb="FF000000"/>
        <rFont val="Calibri"/>
        <family val="2"/>
        <charset val="204"/>
        <scheme val="minor"/>
      </rPr>
      <t>min</t>
    </r>
    <r>
      <rPr>
        <sz val="9"/>
        <color rgb="FF000000"/>
        <rFont val="Calibri"/>
        <family val="2"/>
        <charset val="204"/>
        <scheme val="minor"/>
      </rPr>
      <t>,</t>
    </r>
  </si>
  <si>
    <r>
      <t>J</t>
    </r>
    <r>
      <rPr>
        <vertAlign val="subscript"/>
        <sz val="9"/>
        <color rgb="FF000000"/>
        <rFont val="Calibri"/>
        <family val="2"/>
        <charset val="204"/>
        <scheme val="minor"/>
      </rPr>
      <t>x</t>
    </r>
    <r>
      <rPr>
        <sz val="9"/>
        <color rgb="FF000000"/>
        <rFont val="Calibri"/>
        <family val="2"/>
        <charset val="204"/>
        <scheme val="minor"/>
      </rPr>
      <t>,</t>
    </r>
  </si>
  <si>
    <r>
      <t>W</t>
    </r>
    <r>
      <rPr>
        <vertAlign val="subscript"/>
        <sz val="9"/>
        <color rgb="FF000000"/>
        <rFont val="Calibri"/>
        <family val="2"/>
        <charset val="204"/>
        <scheme val="minor"/>
      </rPr>
      <t>x</t>
    </r>
    <r>
      <rPr>
        <sz val="9"/>
        <color rgb="FF000000"/>
        <rFont val="Calibri"/>
        <family val="2"/>
        <charset val="204"/>
        <scheme val="minor"/>
      </rPr>
      <t>,</t>
    </r>
  </si>
  <si>
    <r>
      <t>r</t>
    </r>
    <r>
      <rPr>
        <vertAlign val="subscript"/>
        <sz val="9"/>
        <color rgb="FF000000"/>
        <rFont val="Calibri"/>
        <family val="2"/>
        <charset val="204"/>
        <scheme val="minor"/>
      </rPr>
      <t>x</t>
    </r>
    <r>
      <rPr>
        <sz val="9"/>
        <color rgb="FF000000"/>
        <rFont val="Calibri"/>
        <family val="2"/>
        <charset val="204"/>
        <scheme val="minor"/>
      </rPr>
      <t>,</t>
    </r>
  </si>
  <si>
    <r>
      <t>y</t>
    </r>
    <r>
      <rPr>
        <vertAlign val="subscript"/>
        <sz val="9"/>
        <color rgb="FF000000"/>
        <rFont val="Calibri"/>
        <family val="2"/>
        <charset val="204"/>
        <scheme val="minor"/>
      </rPr>
      <t>0</t>
    </r>
    <r>
      <rPr>
        <sz val="9"/>
        <color rgb="FF000000"/>
        <rFont val="Calibri"/>
        <family val="2"/>
        <charset val="204"/>
        <scheme val="minor"/>
      </rPr>
      <t>,</t>
    </r>
  </si>
  <si>
    <r>
      <t>J</t>
    </r>
    <r>
      <rPr>
        <vertAlign val="subscript"/>
        <sz val="9"/>
        <color rgb="FF000000"/>
        <rFont val="Calibri"/>
        <family val="2"/>
        <charset val="204"/>
        <scheme val="minor"/>
      </rPr>
      <t>y</t>
    </r>
    <r>
      <rPr>
        <sz val="9"/>
        <color rgb="FF000000"/>
        <rFont val="Calibri"/>
        <family val="2"/>
        <charset val="204"/>
        <scheme val="minor"/>
      </rPr>
      <t>,</t>
    </r>
  </si>
  <si>
    <r>
      <t>W</t>
    </r>
    <r>
      <rPr>
        <vertAlign val="subscript"/>
        <sz val="9"/>
        <color rgb="FF000000"/>
        <rFont val="Calibri"/>
        <family val="2"/>
        <charset val="204"/>
        <scheme val="minor"/>
      </rPr>
      <t>y</t>
    </r>
    <r>
      <rPr>
        <sz val="9"/>
        <color rgb="FF000000"/>
        <rFont val="Calibri"/>
        <family val="2"/>
        <charset val="204"/>
        <scheme val="minor"/>
      </rPr>
      <t>,</t>
    </r>
  </si>
  <si>
    <r>
      <t>r</t>
    </r>
    <r>
      <rPr>
        <vertAlign val="subscript"/>
        <sz val="9"/>
        <color rgb="FF000000"/>
        <rFont val="Calibri"/>
        <family val="2"/>
        <charset val="204"/>
        <scheme val="minor"/>
      </rPr>
      <t>y</t>
    </r>
    <r>
      <rPr>
        <sz val="9"/>
        <color rgb="FF000000"/>
        <rFont val="Calibri"/>
        <family val="2"/>
        <charset val="204"/>
        <scheme val="minor"/>
      </rPr>
      <t>,</t>
    </r>
  </si>
  <si>
    <r>
      <t>x</t>
    </r>
    <r>
      <rPr>
        <vertAlign val="subscript"/>
        <sz val="9"/>
        <color rgb="FF000000"/>
        <rFont val="Calibri"/>
        <family val="2"/>
        <charset val="204"/>
        <scheme val="minor"/>
      </rPr>
      <t>0</t>
    </r>
    <r>
      <rPr>
        <sz val="9"/>
        <color rgb="FF000000"/>
        <rFont val="Calibri"/>
        <family val="2"/>
        <charset val="204"/>
        <scheme val="minor"/>
      </rPr>
      <t>,</t>
    </r>
  </si>
  <si>
    <r>
      <t>см</t>
    </r>
    <r>
      <rPr>
        <vertAlign val="superscript"/>
        <sz val="9"/>
        <color rgb="FF000000"/>
        <rFont val="Calibri"/>
        <family val="2"/>
        <charset val="204"/>
        <scheme val="minor"/>
      </rPr>
      <t>2</t>
    </r>
  </si>
  <si>
    <r>
      <t>см</t>
    </r>
    <r>
      <rPr>
        <vertAlign val="superscript"/>
        <sz val="9"/>
        <color rgb="FF000000"/>
        <rFont val="Calibri"/>
        <family val="2"/>
        <charset val="204"/>
        <scheme val="minor"/>
      </rPr>
      <t>4</t>
    </r>
  </si>
  <si>
    <r>
      <t>см</t>
    </r>
    <r>
      <rPr>
        <vertAlign val="superscript"/>
        <sz val="9"/>
        <color rgb="FF000000"/>
        <rFont val="Calibri"/>
        <family val="2"/>
        <charset val="204"/>
        <scheme val="minor"/>
      </rPr>
      <t>3</t>
    </r>
  </si>
  <si>
    <r>
      <t>x</t>
    </r>
    <r>
      <rPr>
        <vertAlign val="subscript"/>
        <sz val="9"/>
        <color rgb="FF000000"/>
        <rFont val="Calibri"/>
        <family val="2"/>
        <charset val="204"/>
        <scheme val="minor"/>
      </rPr>
      <t>1</t>
    </r>
    <r>
      <rPr>
        <sz val="9"/>
        <color rgb="FF000000"/>
        <rFont val="Calibri"/>
        <family val="2"/>
        <charset val="204"/>
        <scheme val="minor"/>
      </rPr>
      <t>,</t>
    </r>
  </si>
  <si>
    <r>
      <t>y</t>
    </r>
    <r>
      <rPr>
        <vertAlign val="subscript"/>
        <sz val="9"/>
        <color rgb="FF000000"/>
        <rFont val="Calibri"/>
        <family val="2"/>
        <charset val="204"/>
        <scheme val="minor"/>
      </rPr>
      <t>1</t>
    </r>
    <r>
      <rPr>
        <sz val="9"/>
        <color rgb="FF000000"/>
        <rFont val="Calibri"/>
        <family val="2"/>
        <charset val="204"/>
        <scheme val="minor"/>
      </rPr>
      <t>,</t>
    </r>
  </si>
  <si>
    <r>
      <t>кг/см</t>
    </r>
    <r>
      <rPr>
        <vertAlign val="superscript"/>
        <sz val="9"/>
        <color rgb="FF000000"/>
        <rFont val="Calibri"/>
        <family val="2"/>
        <charset val="204"/>
        <scheme val="minor"/>
      </rPr>
      <t>4</t>
    </r>
  </si>
  <si>
    <t>140/49/57/20</t>
  </si>
  <si>
    <t>140/55/55/18</t>
  </si>
  <si>
    <t>ZR250x2,0</t>
  </si>
  <si>
    <t>ZR300x3,5</t>
  </si>
  <si>
    <t>Авп</t>
  </si>
  <si>
    <t>Анп</t>
  </si>
  <si>
    <t>Iвп</t>
  </si>
  <si>
    <t>Iнп</t>
  </si>
  <si>
    <t>hф</t>
  </si>
  <si>
    <t>hнп</t>
  </si>
  <si>
    <t>yф</t>
  </si>
  <si>
    <t>iф</t>
  </si>
  <si>
    <t>см4</t>
  </si>
  <si>
    <t>см2</t>
  </si>
  <si>
    <t>C170x2,0</t>
  </si>
  <si>
    <t>SIGMA350x3,5</t>
  </si>
  <si>
    <t>Z140x1,5</t>
  </si>
  <si>
    <t>C250x2,5</t>
  </si>
  <si>
    <t>Момент инерции Jy сдвоенного сечения через сухарь (SCAD-Tonus)</t>
  </si>
  <si>
    <t>Момент инерции Jy сдвоенного сечения через трубу 80 (SCAD-Tonus)</t>
  </si>
  <si>
    <t>момент инерции при свободном кручении Jt для сдвоенного профиля через сухарь</t>
  </si>
  <si>
    <t>момент инерции при свободном кручении Jt для одиночного профиля</t>
  </si>
  <si>
    <t>момент инерции при свободном кручении Jt для сдвоенного профиля через трубу 80</t>
  </si>
  <si>
    <t>Z250x2,5</t>
  </si>
  <si>
    <t>Стенка
H</t>
  </si>
  <si>
    <t>Отгибы
C</t>
  </si>
  <si>
    <t>Внутр. круг</t>
  </si>
  <si>
    <t>Внешн. круг</t>
  </si>
  <si>
    <t>Периметр профиля, см</t>
  </si>
  <si>
    <t>Приведённая толщина, мм</t>
  </si>
  <si>
    <t>Ребро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</si>
</sst>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vertAlign val="subscript"/>
      <sz val="9"/>
      <color rgb="FF000000"/>
      <name val="Calibri"/>
      <family val="2"/>
      <charset val="204"/>
      <scheme val="minor"/>
    </font>
    <font>
      <vertAlign val="superscript"/>
      <sz val="9"/>
      <color rgb="FF000000"/>
      <name val="Calibri"/>
      <family val="2"/>
      <charset val="204"/>
      <scheme val="minor"/>
    </font>
    <font>
      <b/>
      <sz val="8"/>
      <color rgb="FF00000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FEE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13">
    <xf numFmtId="0" fontId="0" fillId="0" borderId="0" xfId="0"/>
    <xf numFmtId="164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1" fillId="0" borderId="12" xfId="0" applyNumberFormat="1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164" fontId="1" fillId="0" borderId="21" xfId="0" applyNumberFormat="1" applyFont="1" applyFill="1" applyBorder="1" applyAlignment="1">
      <alignment horizontal="center" vertical="center"/>
    </xf>
    <xf numFmtId="164" fontId="1" fillId="0" borderId="1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44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0" borderId="0" xfId="0" applyFont="1" applyFill="1"/>
    <xf numFmtId="0" fontId="1" fillId="4" borderId="45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6" borderId="4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48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2" fontId="1" fillId="6" borderId="10" xfId="0" applyNumberFormat="1" applyFont="1" applyFill="1" applyBorder="1" applyAlignment="1">
      <alignment horizontal="center" vertical="center"/>
    </xf>
    <xf numFmtId="2" fontId="1" fillId="3" borderId="10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2" fontId="1" fillId="4" borderId="10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164" fontId="1" fillId="0" borderId="7" xfId="0" applyNumberFormat="1" applyFont="1" applyFill="1" applyBorder="1" applyAlignment="1">
      <alignment horizontal="center" vertical="center"/>
    </xf>
    <xf numFmtId="164" fontId="1" fillId="0" borderId="16" xfId="0" applyNumberFormat="1" applyFont="1" applyFill="1" applyBorder="1" applyAlignment="1">
      <alignment horizontal="center" vertical="center"/>
    </xf>
    <xf numFmtId="164" fontId="1" fillId="0" borderId="17" xfId="0" applyNumberFormat="1" applyFont="1" applyFill="1" applyBorder="1" applyAlignment="1">
      <alignment horizontal="center" vertical="center"/>
    </xf>
    <xf numFmtId="164" fontId="1" fillId="0" borderId="26" xfId="0" applyNumberFormat="1" applyFont="1" applyFill="1" applyBorder="1" applyAlignment="1">
      <alignment horizontal="center" vertical="center"/>
    </xf>
    <xf numFmtId="2" fontId="1" fillId="0" borderId="4" xfId="0" applyNumberFormat="1" applyFont="1" applyFill="1" applyBorder="1" applyAlignment="1">
      <alignment horizontal="center" vertical="center"/>
    </xf>
    <xf numFmtId="2" fontId="1" fillId="0" borderId="8" xfId="0" applyNumberFormat="1" applyFont="1" applyFill="1" applyBorder="1" applyAlignment="1">
      <alignment horizontal="center" vertical="center"/>
    </xf>
    <xf numFmtId="2" fontId="1" fillId="0" borderId="13" xfId="0" applyNumberFormat="1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2" fontId="1" fillId="5" borderId="4" xfId="0" applyNumberFormat="1" applyFont="1" applyFill="1" applyBorder="1" applyAlignment="1">
      <alignment horizontal="center" vertical="center"/>
    </xf>
    <xf numFmtId="2" fontId="1" fillId="5" borderId="8" xfId="0" applyNumberFormat="1" applyFont="1" applyFill="1" applyBorder="1" applyAlignment="1">
      <alignment horizontal="center" vertical="center"/>
    </xf>
    <xf numFmtId="2" fontId="1" fillId="5" borderId="13" xfId="0" applyNumberFormat="1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2" fillId="0" borderId="44" xfId="0" applyNumberFormat="1" applyFont="1" applyFill="1" applyBorder="1" applyAlignment="1">
      <alignment horizontal="center" vertical="center"/>
    </xf>
    <xf numFmtId="2" fontId="1" fillId="0" borderId="3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12" xfId="0" applyNumberFormat="1" applyFont="1" applyFill="1" applyBorder="1" applyAlignment="1">
      <alignment horizontal="center" vertical="center" wrapText="1"/>
    </xf>
    <xf numFmtId="2" fontId="1" fillId="0" borderId="13" xfId="0" applyNumberFormat="1" applyFont="1" applyFill="1" applyBorder="1" applyAlignment="1">
      <alignment horizontal="center" vertical="center" wrapText="1"/>
    </xf>
    <xf numFmtId="2" fontId="1" fillId="0" borderId="18" xfId="0" applyNumberFormat="1" applyFont="1" applyFill="1" applyBorder="1" applyAlignment="1">
      <alignment horizontal="center" vertical="center" wrapText="1"/>
    </xf>
    <xf numFmtId="2" fontId="1" fillId="0" borderId="19" xfId="0" applyNumberFormat="1" applyFont="1" applyFill="1" applyBorder="1" applyAlignment="1">
      <alignment horizontal="center" vertical="center" wrapText="1"/>
    </xf>
    <xf numFmtId="2" fontId="1" fillId="0" borderId="43" xfId="0" applyNumberFormat="1" applyFont="1" applyBorder="1" applyAlignment="1">
      <alignment horizontal="center" vertical="center"/>
    </xf>
    <xf numFmtId="2" fontId="2" fillId="0" borderId="44" xfId="0" applyNumberFormat="1" applyFont="1" applyFill="1" applyBorder="1" applyAlignment="1">
      <alignment horizontal="center" vertical="center"/>
    </xf>
    <xf numFmtId="2" fontId="2" fillId="0" borderId="50" xfId="0" applyNumberFormat="1" applyFont="1" applyFill="1" applyBorder="1" applyAlignment="1">
      <alignment horizontal="center" vertical="center"/>
    </xf>
    <xf numFmtId="164" fontId="2" fillId="0" borderId="44" xfId="0" applyNumberFormat="1" applyFont="1" applyFill="1" applyBorder="1" applyAlignment="1">
      <alignment horizontal="center" vertical="center"/>
    </xf>
    <xf numFmtId="0" fontId="1" fillId="0" borderId="46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2" fontId="1" fillId="0" borderId="21" xfId="0" applyNumberFormat="1" applyFont="1" applyFill="1" applyBorder="1" applyAlignment="1">
      <alignment horizontal="center" vertical="center" wrapText="1"/>
    </xf>
    <xf numFmtId="2" fontId="1" fillId="0" borderId="22" xfId="0" applyNumberFormat="1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/>
    </xf>
    <xf numFmtId="2" fontId="1" fillId="0" borderId="3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12" xfId="0" applyNumberFormat="1" applyFont="1" applyFill="1" applyBorder="1" applyAlignment="1">
      <alignment horizontal="center" vertical="center"/>
    </xf>
    <xf numFmtId="2" fontId="1" fillId="0" borderId="18" xfId="0" applyNumberFormat="1" applyFont="1" applyFill="1" applyBorder="1" applyAlignment="1">
      <alignment horizontal="center" vertical="center"/>
    </xf>
    <xf numFmtId="2" fontId="1" fillId="0" borderId="19" xfId="0" applyNumberFormat="1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/>
    </xf>
    <xf numFmtId="164" fontId="1" fillId="0" borderId="9" xfId="0" applyNumberFormat="1" applyFont="1" applyFill="1" applyBorder="1" applyAlignment="1">
      <alignment horizontal="center" vertical="center"/>
    </xf>
    <xf numFmtId="164" fontId="1" fillId="0" borderId="14" xfId="0" applyNumberFormat="1" applyFont="1" applyFill="1" applyBorder="1" applyAlignment="1">
      <alignment horizontal="center" vertical="center"/>
    </xf>
    <xf numFmtId="164" fontId="2" fillId="0" borderId="9" xfId="0" applyNumberFormat="1" applyFont="1" applyFill="1" applyBorder="1" applyAlignment="1">
      <alignment horizontal="center" vertical="center"/>
    </xf>
    <xf numFmtId="164" fontId="1" fillId="0" borderId="20" xfId="0" applyNumberFormat="1" applyFont="1" applyFill="1" applyBorder="1" applyAlignment="1">
      <alignment horizontal="center" vertical="center"/>
    </xf>
    <xf numFmtId="164" fontId="1" fillId="0" borderId="7" xfId="0" quotePrefix="1" applyNumberFormat="1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 wrapText="1"/>
    </xf>
    <xf numFmtId="164" fontId="1" fillId="0" borderId="9" xfId="0" applyNumberFormat="1" applyFont="1" applyFill="1" applyBorder="1" applyAlignment="1">
      <alignment horizontal="center" vertical="center" wrapText="1"/>
    </xf>
    <xf numFmtId="164" fontId="1" fillId="0" borderId="14" xfId="0" applyNumberFormat="1" applyFont="1" applyFill="1" applyBorder="1" applyAlignment="1">
      <alignment horizontal="center" vertical="center" wrapText="1"/>
    </xf>
    <xf numFmtId="164" fontId="1" fillId="0" borderId="20" xfId="0" applyNumberFormat="1" applyFont="1" applyFill="1" applyBorder="1" applyAlignment="1">
      <alignment horizontal="center" vertical="center" wrapText="1"/>
    </xf>
    <xf numFmtId="164" fontId="1" fillId="0" borderId="1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/>
    </xf>
    <xf numFmtId="164" fontId="2" fillId="0" borderId="17" xfId="0" applyNumberFormat="1" applyFont="1" applyFill="1" applyBorder="1" applyAlignment="1">
      <alignment horizontal="center" vertical="center"/>
    </xf>
    <xf numFmtId="164" fontId="2" fillId="0" borderId="5" xfId="0" applyNumberFormat="1" applyFont="1" applyFill="1" applyBorder="1" applyAlignment="1">
      <alignment horizontal="center" vertical="center" wrapText="1"/>
    </xf>
    <xf numFmtId="2" fontId="2" fillId="0" borderId="3" xfId="0" applyNumberFormat="1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" fillId="0" borderId="50" xfId="0" applyNumberFormat="1" applyFont="1" applyFill="1" applyBorder="1" applyAlignment="1">
      <alignment horizontal="center" vertical="center"/>
    </xf>
    <xf numFmtId="2" fontId="1" fillId="5" borderId="7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5" borderId="16" xfId="0" applyNumberFormat="1" applyFont="1" applyFill="1" applyBorder="1" applyAlignment="1">
      <alignment horizontal="center" vertical="center"/>
    </xf>
    <xf numFmtId="2" fontId="1" fillId="5" borderId="12" xfId="0" applyNumberFormat="1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2" fontId="1" fillId="5" borderId="3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2" fontId="1" fillId="0" borderId="21" xfId="0" applyNumberFormat="1" applyFont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 wrapText="1"/>
    </xf>
    <xf numFmtId="164" fontId="1" fillId="0" borderId="23" xfId="0" applyNumberFormat="1" applyFont="1" applyFill="1" applyBorder="1" applyAlignment="1">
      <alignment horizontal="center" vertical="center"/>
    </xf>
    <xf numFmtId="0" fontId="0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6" fillId="0" borderId="46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0" fontId="0" fillId="0" borderId="28" xfId="0" applyFont="1" applyBorder="1"/>
    <xf numFmtId="2" fontId="0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5" borderId="2" xfId="0" applyNumberFormat="1" applyFont="1" applyFill="1" applyBorder="1" applyAlignment="1">
      <alignment horizontal="center" vertical="center" wrapText="1"/>
    </xf>
    <xf numFmtId="2" fontId="5" fillId="5" borderId="3" xfId="0" applyNumberFormat="1" applyFont="1" applyFill="1" applyBorder="1" applyAlignment="1">
      <alignment horizontal="center" vertical="center" wrapText="1"/>
    </xf>
    <xf numFmtId="2" fontId="5" fillId="5" borderId="4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2" fontId="5" fillId="5" borderId="7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2" fontId="5" fillId="5" borderId="8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2" fontId="2" fillId="0" borderId="3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1" fillId="5" borderId="19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" fillId="0" borderId="21" xfId="0" applyNumberFormat="1" applyFont="1" applyFill="1" applyBorder="1" applyAlignment="1">
      <alignment horizontal="center" vertical="center"/>
    </xf>
    <xf numFmtId="2" fontId="1" fillId="5" borderId="21" xfId="0" applyNumberFormat="1" applyFont="1" applyFill="1" applyBorder="1" applyAlignment="1">
      <alignment horizontal="center" vertical="center"/>
    </xf>
    <xf numFmtId="2" fontId="1" fillId="5" borderId="22" xfId="0" applyNumberFormat="1" applyFont="1" applyFill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 wrapText="1"/>
    </xf>
    <xf numFmtId="2" fontId="5" fillId="0" borderId="21" xfId="0" applyNumberFormat="1" applyFont="1" applyBorder="1" applyAlignment="1">
      <alignment horizontal="center" vertical="center"/>
    </xf>
    <xf numFmtId="2" fontId="5" fillId="0" borderId="2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center" vertical="center" wrapText="1"/>
    </xf>
    <xf numFmtId="2" fontId="5" fillId="5" borderId="11" xfId="0" applyNumberFormat="1" applyFont="1" applyFill="1" applyBorder="1" applyAlignment="1">
      <alignment horizontal="center" vertical="center" wrapText="1"/>
    </xf>
    <xf numFmtId="2" fontId="5" fillId="5" borderId="21" xfId="0" applyNumberFormat="1" applyFont="1" applyFill="1" applyBorder="1" applyAlignment="1">
      <alignment horizontal="center" vertical="center" wrapText="1"/>
    </xf>
    <xf numFmtId="2" fontId="5" fillId="5" borderId="22" xfId="0" applyNumberFormat="1" applyFont="1" applyFill="1" applyBorder="1" applyAlignment="1">
      <alignment horizontal="center" vertical="center" wrapText="1"/>
    </xf>
    <xf numFmtId="2" fontId="1" fillId="0" borderId="22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 wrapText="1"/>
    </xf>
    <xf numFmtId="2" fontId="1" fillId="0" borderId="46" xfId="0" applyNumberFormat="1" applyFont="1" applyFill="1" applyBorder="1" applyAlignment="1">
      <alignment horizontal="center" vertical="center" wrapText="1"/>
    </xf>
    <xf numFmtId="2" fontId="5" fillId="0" borderId="46" xfId="0" applyNumberFormat="1" applyFont="1" applyFill="1" applyBorder="1" applyAlignment="1">
      <alignment horizontal="center" vertical="center" wrapText="1"/>
    </xf>
    <xf numFmtId="2" fontId="1" fillId="0" borderId="46" xfId="0" applyNumberFormat="1" applyFont="1" applyFill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2" fontId="5" fillId="5" borderId="16" xfId="0" applyNumberFormat="1" applyFont="1" applyFill="1" applyBorder="1" applyAlignment="1">
      <alignment horizontal="center" vertical="center" wrapText="1"/>
    </xf>
    <xf numFmtId="2" fontId="5" fillId="5" borderId="12" xfId="0" applyNumberFormat="1" applyFont="1" applyFill="1" applyBorder="1" applyAlignment="1">
      <alignment horizontal="center" vertical="center" wrapText="1"/>
    </xf>
    <xf numFmtId="2" fontId="5" fillId="5" borderId="13" xfId="0" applyNumberFormat="1" applyFont="1" applyFill="1" applyBorder="1" applyAlignment="1">
      <alignment horizontal="center" vertical="center" wrapText="1"/>
    </xf>
    <xf numFmtId="164" fontId="1" fillId="0" borderId="23" xfId="0" applyNumberFormat="1" applyFont="1" applyFill="1" applyBorder="1" applyAlignment="1">
      <alignment horizontal="center" vertical="center" wrapText="1"/>
    </xf>
    <xf numFmtId="2" fontId="2" fillId="0" borderId="46" xfId="0" applyNumberFormat="1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1" fillId="0" borderId="9" xfId="0" applyNumberFormat="1" applyFont="1" applyFill="1" applyBorder="1" applyAlignment="1">
      <alignment horizontal="center" vertical="center"/>
    </xf>
    <xf numFmtId="2" fontId="1" fillId="0" borderId="14" xfId="0" applyNumberFormat="1" applyFont="1" applyFill="1" applyBorder="1" applyAlignment="1">
      <alignment horizontal="center" vertical="center"/>
    </xf>
    <xf numFmtId="2" fontId="1" fillId="0" borderId="5" xfId="0" applyNumberFormat="1" applyFont="1" applyFill="1" applyBorder="1" applyAlignment="1">
      <alignment horizontal="center" vertical="center"/>
    </xf>
    <xf numFmtId="2" fontId="5" fillId="0" borderId="23" xfId="0" applyNumberFormat="1" applyFont="1" applyBorder="1" applyAlignment="1">
      <alignment horizontal="center" vertical="center" wrapText="1"/>
    </xf>
    <xf numFmtId="2" fontId="1" fillId="0" borderId="23" xfId="0" applyNumberFormat="1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2" fontId="1" fillId="0" borderId="7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2" fontId="1" fillId="0" borderId="16" xfId="0" applyNumberFormat="1" applyFont="1" applyFill="1" applyBorder="1" applyAlignment="1">
      <alignment horizontal="center" vertical="center"/>
    </xf>
    <xf numFmtId="2" fontId="5" fillId="5" borderId="3" xfId="0" applyNumberFormat="1" applyFont="1" applyFill="1" applyBorder="1" applyAlignment="1">
      <alignment horizontal="center" vertical="center"/>
    </xf>
    <xf numFmtId="2" fontId="5" fillId="5" borderId="2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 wrapText="1"/>
    </xf>
    <xf numFmtId="2" fontId="1" fillId="5" borderId="12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2" fontId="1" fillId="5" borderId="2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2" fontId="5" fillId="0" borderId="32" xfId="0" applyNumberFormat="1" applyFont="1" applyBorder="1" applyAlignment="1">
      <alignment horizontal="center" vertical="center" wrapText="1"/>
    </xf>
    <xf numFmtId="2" fontId="5" fillId="0" borderId="58" xfId="0" applyNumberFormat="1" applyFont="1" applyBorder="1" applyAlignment="1">
      <alignment horizontal="center" vertical="center" wrapText="1"/>
    </xf>
    <xf numFmtId="2" fontId="1" fillId="0" borderId="58" xfId="0" applyNumberFormat="1" applyFont="1" applyFill="1" applyBorder="1" applyAlignment="1">
      <alignment horizontal="center" vertical="center"/>
    </xf>
    <xf numFmtId="2" fontId="1" fillId="0" borderId="59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1" fillId="0" borderId="32" xfId="0" applyNumberFormat="1" applyFont="1" applyFill="1" applyBorder="1" applyAlignment="1">
      <alignment horizontal="center" vertical="center"/>
    </xf>
    <xf numFmtId="2" fontId="1" fillId="0" borderId="39" xfId="0" applyNumberFormat="1" applyFont="1" applyFill="1" applyBorder="1" applyAlignment="1">
      <alignment horizontal="center" vertical="center"/>
    </xf>
    <xf numFmtId="2" fontId="1" fillId="0" borderId="40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2" fillId="0" borderId="32" xfId="0" applyNumberFormat="1" applyFont="1" applyFill="1" applyBorder="1" applyAlignment="1">
      <alignment horizontal="center" vertical="center"/>
    </xf>
    <xf numFmtId="2" fontId="1" fillId="5" borderId="17" xfId="0" applyNumberFormat="1" applyFont="1" applyFill="1" applyBorder="1" applyAlignment="1">
      <alignment horizontal="center" vertical="center"/>
    </xf>
    <xf numFmtId="2" fontId="1" fillId="5" borderId="18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2" fontId="2" fillId="0" borderId="58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21" xfId="0" applyBorder="1"/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5" borderId="2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0" fillId="5" borderId="17" xfId="0" applyFont="1" applyFill="1" applyBorder="1" applyAlignment="1">
      <alignment horizontal="center" vertical="center"/>
    </xf>
    <xf numFmtId="0" fontId="0" fillId="5" borderId="18" xfId="0" applyFont="1" applyFill="1" applyBorder="1" applyAlignment="1">
      <alignment horizontal="center" vertical="center"/>
    </xf>
    <xf numFmtId="0" fontId="0" fillId="5" borderId="19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0" fillId="5" borderId="21" xfId="0" applyFont="1" applyFill="1" applyBorder="1" applyAlignment="1">
      <alignment horizontal="center" vertical="center"/>
    </xf>
    <xf numFmtId="0" fontId="0" fillId="5" borderId="22" xfId="0" applyFont="1" applyFill="1" applyBorder="1" applyAlignment="1">
      <alignment horizontal="center" vertical="center"/>
    </xf>
    <xf numFmtId="2" fontId="1" fillId="0" borderId="11" xfId="0" applyNumberFormat="1" applyFont="1" applyFill="1" applyBorder="1" applyAlignment="1">
      <alignment horizontal="center" vertical="center"/>
    </xf>
    <xf numFmtId="2" fontId="2" fillId="0" borderId="8" xfId="0" applyNumberFormat="1" applyFont="1" applyFill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" fillId="0" borderId="25" xfId="0" quotePrefix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21" xfId="0" quotePrefix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0" borderId="55" xfId="0" applyFont="1" applyBorder="1" applyAlignment="1">
      <alignment horizontal="center" vertical="center" wrapText="1"/>
    </xf>
    <xf numFmtId="0" fontId="0" fillId="0" borderId="54" xfId="0" applyFont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 wrapText="1"/>
    </xf>
    <xf numFmtId="0" fontId="5" fillId="0" borderId="52" xfId="0" applyFont="1" applyFill="1" applyBorder="1" applyAlignment="1">
      <alignment horizontal="center" vertical="center" wrapText="1"/>
    </xf>
    <xf numFmtId="0" fontId="5" fillId="0" borderId="57" xfId="0" applyFont="1" applyFill="1" applyBorder="1" applyAlignment="1">
      <alignment horizontal="center" vertical="center" wrapText="1"/>
    </xf>
    <xf numFmtId="0" fontId="5" fillId="0" borderId="53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quotePrefix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35" xfId="0" quotePrefix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38" xfId="0" quotePrefix="1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EF1E6"/>
      <color rgb="FFE2F2F6"/>
      <color rgb="FFFCFEE2"/>
      <color rgb="FFFBFECE"/>
      <color rgb="FFF8FDBB"/>
      <color rgb="FFF7F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zoomScale="90" zoomScaleNormal="90" workbookViewId="0">
      <selection activeCell="N18" sqref="N18"/>
    </sheetView>
  </sheetViews>
  <sheetFormatPr defaultColWidth="9.140625" defaultRowHeight="15" customHeight="1" x14ac:dyDescent="0.2"/>
  <cols>
    <col min="1" max="1" width="12.7109375" style="16" customWidth="1"/>
    <col min="2" max="3" width="6.7109375" style="17" customWidth="1"/>
    <col min="4" max="4" width="10.85546875" style="17" customWidth="1"/>
    <col min="5" max="5" width="6.7109375" style="17" customWidth="1"/>
    <col min="6" max="6" width="8.7109375" style="17" customWidth="1"/>
    <col min="7" max="7" width="15.7109375" style="17" customWidth="1"/>
    <col min="8" max="24" width="8.7109375" style="17" customWidth="1"/>
    <col min="25" max="16384" width="9.140625" style="17"/>
  </cols>
  <sheetData>
    <row r="1" spans="1:27" ht="15" customHeight="1" x14ac:dyDescent="0.2">
      <c r="A1" s="347" t="s">
        <v>58</v>
      </c>
      <c r="B1" s="344" t="s">
        <v>11</v>
      </c>
      <c r="C1" s="344" t="s">
        <v>10</v>
      </c>
      <c r="D1" s="344" t="s">
        <v>12</v>
      </c>
      <c r="E1" s="344"/>
      <c r="F1" s="339" t="s">
        <v>0</v>
      </c>
      <c r="G1" s="339"/>
      <c r="H1" s="343" t="s">
        <v>24</v>
      </c>
      <c r="I1" s="339" t="s">
        <v>1</v>
      </c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43" t="s">
        <v>25</v>
      </c>
      <c r="U1" s="343" t="s">
        <v>26</v>
      </c>
      <c r="V1" s="351" t="s">
        <v>7</v>
      </c>
      <c r="W1" s="351" t="s">
        <v>8</v>
      </c>
      <c r="X1" s="354" t="s">
        <v>9</v>
      </c>
    </row>
    <row r="2" spans="1:27" ht="15" customHeight="1" x14ac:dyDescent="0.2">
      <c r="A2" s="348"/>
      <c r="B2" s="345"/>
      <c r="C2" s="345"/>
      <c r="D2" s="345"/>
      <c r="E2" s="345"/>
      <c r="F2" s="341" t="s">
        <v>57</v>
      </c>
      <c r="G2" s="341" t="s">
        <v>23</v>
      </c>
      <c r="H2" s="341"/>
      <c r="I2" s="341" t="s">
        <v>21</v>
      </c>
      <c r="J2" s="341" t="s">
        <v>3</v>
      </c>
      <c r="K2" s="341" t="s">
        <v>4</v>
      </c>
      <c r="L2" s="341" t="s">
        <v>3</v>
      </c>
      <c r="M2" s="341" t="s">
        <v>156</v>
      </c>
      <c r="N2" s="341" t="s">
        <v>22</v>
      </c>
      <c r="O2" s="341"/>
      <c r="P2" s="341" t="s">
        <v>5</v>
      </c>
      <c r="Q2" s="341"/>
      <c r="R2" s="341"/>
      <c r="S2" s="341"/>
      <c r="T2" s="341"/>
      <c r="U2" s="341"/>
      <c r="V2" s="352"/>
      <c r="W2" s="352"/>
      <c r="X2" s="355"/>
    </row>
    <row r="3" spans="1:27" ht="15" customHeight="1" x14ac:dyDescent="0.2">
      <c r="A3" s="348"/>
      <c r="B3" s="345"/>
      <c r="C3" s="345"/>
      <c r="D3" s="345"/>
      <c r="E3" s="345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52"/>
      <c r="W3" s="352"/>
      <c r="X3" s="355"/>
    </row>
    <row r="4" spans="1:27" ht="15" customHeight="1" x14ac:dyDescent="0.2">
      <c r="A4" s="348"/>
      <c r="B4" s="345"/>
      <c r="C4" s="345"/>
      <c r="D4" s="345"/>
      <c r="E4" s="345"/>
      <c r="F4" s="341"/>
      <c r="G4" s="341"/>
      <c r="H4" s="341"/>
      <c r="I4" s="169" t="s">
        <v>172</v>
      </c>
      <c r="J4" s="169" t="s">
        <v>174</v>
      </c>
      <c r="K4" s="169" t="s">
        <v>175</v>
      </c>
      <c r="L4" s="169" t="s">
        <v>178</v>
      </c>
      <c r="M4" s="169" t="s">
        <v>179</v>
      </c>
      <c r="N4" s="169" t="s">
        <v>176</v>
      </c>
      <c r="O4" s="169" t="s">
        <v>180</v>
      </c>
      <c r="P4" s="169" t="s">
        <v>181</v>
      </c>
      <c r="Q4" s="169" t="s">
        <v>185</v>
      </c>
      <c r="R4" s="169" t="s">
        <v>177</v>
      </c>
      <c r="S4" s="169" t="s">
        <v>186</v>
      </c>
      <c r="T4" s="341"/>
      <c r="U4" s="341"/>
      <c r="V4" s="352"/>
      <c r="W4" s="352"/>
      <c r="X4" s="355"/>
    </row>
    <row r="5" spans="1:27" ht="15" customHeight="1" thickBot="1" x14ac:dyDescent="0.25">
      <c r="A5" s="349"/>
      <c r="B5" s="350"/>
      <c r="C5" s="350"/>
      <c r="D5" s="350"/>
      <c r="E5" s="350"/>
      <c r="F5" s="342"/>
      <c r="G5" s="342"/>
      <c r="H5" s="342"/>
      <c r="I5" s="170" t="s">
        <v>182</v>
      </c>
      <c r="J5" s="170" t="s">
        <v>183</v>
      </c>
      <c r="K5" s="170" t="s">
        <v>184</v>
      </c>
      <c r="L5" s="170" t="s">
        <v>183</v>
      </c>
      <c r="M5" s="170" t="s">
        <v>184</v>
      </c>
      <c r="N5" s="170" t="s">
        <v>6</v>
      </c>
      <c r="O5" s="170" t="s">
        <v>6</v>
      </c>
      <c r="P5" s="170" t="s">
        <v>6</v>
      </c>
      <c r="Q5" s="170" t="s">
        <v>6</v>
      </c>
      <c r="R5" s="170" t="s">
        <v>6</v>
      </c>
      <c r="S5" s="170" t="s">
        <v>6</v>
      </c>
      <c r="T5" s="342"/>
      <c r="U5" s="342"/>
      <c r="V5" s="353"/>
      <c r="W5" s="353"/>
      <c r="X5" s="356"/>
    </row>
    <row r="6" spans="1:27" s="21" customFormat="1" ht="15" customHeight="1" thickBot="1" x14ac:dyDescent="0.25">
      <c r="A6" s="37" t="s">
        <v>204</v>
      </c>
      <c r="B6" s="37" t="str">
        <f>Z!B2</f>
        <v>140</v>
      </c>
      <c r="C6" s="37">
        <f>Z!C2</f>
        <v>59.5</v>
      </c>
      <c r="D6" s="37">
        <f>Z!D2</f>
        <v>65.5</v>
      </c>
      <c r="E6" s="37">
        <f>Z!E2</f>
        <v>20</v>
      </c>
      <c r="F6" s="37" t="str">
        <f>Z!F2</f>
        <v>Z140</v>
      </c>
      <c r="G6" s="37" t="str">
        <f>Z!G2</f>
        <v>140/59,5/65,5/20</v>
      </c>
      <c r="H6" s="37">
        <f>Z!H2</f>
        <v>1.5</v>
      </c>
      <c r="I6" s="37">
        <f>Z!I2</f>
        <v>4.37</v>
      </c>
      <c r="J6" s="37">
        <f>Z!J2</f>
        <v>135.6</v>
      </c>
      <c r="K6" s="37">
        <f>Z!K2</f>
        <v>18.98</v>
      </c>
      <c r="L6" s="37">
        <f>Z!L2</f>
        <v>41.96</v>
      </c>
      <c r="M6" s="37">
        <f>Z!M2</f>
        <v>6.49</v>
      </c>
      <c r="N6" s="37">
        <f>Z!N2</f>
        <v>5.57</v>
      </c>
      <c r="O6" s="37">
        <f>Z!O2</f>
        <v>3.1</v>
      </c>
      <c r="P6" s="37">
        <f>Z!P2</f>
        <v>6.31</v>
      </c>
      <c r="Q6" s="37">
        <f>Z!Q2</f>
        <v>6.04</v>
      </c>
      <c r="R6" s="37">
        <f>Z!R2</f>
        <v>6.86</v>
      </c>
      <c r="S6" s="37">
        <f>Z!S2</f>
        <v>7.14</v>
      </c>
      <c r="T6" s="37">
        <f>Z!T2</f>
        <v>3.42</v>
      </c>
      <c r="U6" s="37"/>
      <c r="V6" s="37">
        <f>Z!V2</f>
        <v>3.27E-2</v>
      </c>
      <c r="W6" s="37">
        <f>Z!W2</f>
        <v>6.54E-2</v>
      </c>
      <c r="X6" s="37">
        <f>Z!X2</f>
        <v>406.53969999999998</v>
      </c>
    </row>
    <row r="7" spans="1:27" ht="15" customHeight="1" thickBot="1" x14ac:dyDescent="0.25">
      <c r="A7" s="19" t="s">
        <v>191</v>
      </c>
      <c r="B7" s="19" t="str">
        <f>ZR!B2</f>
        <v>300</v>
      </c>
      <c r="C7" s="19">
        <f>ZR!C2</f>
        <v>88</v>
      </c>
      <c r="D7" s="19">
        <f>ZR!D2</f>
        <v>96</v>
      </c>
      <c r="E7" s="19">
        <f>ZR!E2</f>
        <v>23.5</v>
      </c>
      <c r="F7" s="19" t="str">
        <f>ZR!F2</f>
        <v>ZR300</v>
      </c>
      <c r="G7" s="19" t="str">
        <f>ZR!G2</f>
        <v>300/88/96/23,5</v>
      </c>
      <c r="H7" s="19">
        <f>ZR!H2</f>
        <v>3.5</v>
      </c>
      <c r="I7" s="19">
        <f>ZR!I2</f>
        <v>18.239999999999998</v>
      </c>
      <c r="J7" s="19">
        <f>ZR!J2</f>
        <v>2335.85</v>
      </c>
      <c r="K7" s="19">
        <f>ZR!K2</f>
        <v>153.38999999999999</v>
      </c>
      <c r="L7" s="19">
        <f>ZR!L2</f>
        <v>274.94</v>
      </c>
      <c r="M7" s="19">
        <f>ZR!M2</f>
        <v>27.97</v>
      </c>
      <c r="N7" s="19">
        <f>ZR!N2</f>
        <v>11.31</v>
      </c>
      <c r="O7" s="19">
        <f>ZR!O2</f>
        <v>3.88</v>
      </c>
      <c r="P7" s="19">
        <f>ZR!P2</f>
        <v>8.57</v>
      </c>
      <c r="Q7" s="19">
        <f>ZR!Q2</f>
        <v>8.57</v>
      </c>
      <c r="R7" s="19">
        <f>ZR!R2</f>
        <v>14.77</v>
      </c>
      <c r="S7" s="19">
        <f>ZR!S2</f>
        <v>14.77</v>
      </c>
      <c r="T7" s="19">
        <f>ZR!T2</f>
        <v>14.41</v>
      </c>
      <c r="U7" s="19"/>
      <c r="V7" s="19">
        <f>ZR!V2</f>
        <v>0.74780000000000002</v>
      </c>
      <c r="W7" s="19">
        <f>ZR!W2</f>
        <v>1.4956</v>
      </c>
      <c r="X7" s="19">
        <f>ZR!X2</f>
        <v>3871.9645</v>
      </c>
    </row>
    <row r="8" spans="1:27" ht="15" customHeight="1" thickBot="1" x14ac:dyDescent="0.25">
      <c r="A8" s="22" t="s">
        <v>203</v>
      </c>
      <c r="B8" s="20" t="str">
        <f>S!B2</f>
        <v>350</v>
      </c>
      <c r="C8" s="20">
        <f>S!C2</f>
        <v>100</v>
      </c>
      <c r="D8" s="20">
        <f>S!D2</f>
        <v>100</v>
      </c>
      <c r="E8" s="20">
        <f>S!E2</f>
        <v>26</v>
      </c>
      <c r="F8" s="20" t="str">
        <f>S!F2</f>
        <v>SIGMA350</v>
      </c>
      <c r="G8" s="20" t="str">
        <f>S!G2</f>
        <v>350/100/100/26</v>
      </c>
      <c r="H8" s="20">
        <f>S!H2</f>
        <v>3.5</v>
      </c>
      <c r="I8" s="20">
        <f>S!I2</f>
        <v>20.73</v>
      </c>
      <c r="J8" s="20">
        <f>S!J2</f>
        <v>3581.67</v>
      </c>
      <c r="K8" s="20">
        <f>S!K2</f>
        <v>204.66</v>
      </c>
      <c r="L8" s="20">
        <f>S!L2</f>
        <v>231.2</v>
      </c>
      <c r="M8" s="20">
        <f>S!M2</f>
        <v>31.44</v>
      </c>
      <c r="N8" s="20">
        <f>S!N2</f>
        <v>13.14</v>
      </c>
      <c r="O8" s="20">
        <f>S!O2</f>
        <v>3.33</v>
      </c>
      <c r="P8" s="20">
        <f>S!P2</f>
        <v>2.65</v>
      </c>
      <c r="Q8" s="20">
        <f>S!Q2</f>
        <v>0</v>
      </c>
      <c r="R8" s="20">
        <f>S!R2</f>
        <v>17.5</v>
      </c>
      <c r="S8" s="20">
        <f>S!S2</f>
        <v>0</v>
      </c>
      <c r="T8" s="20">
        <f>S!T2</f>
        <v>16.260000000000002</v>
      </c>
      <c r="U8" s="20"/>
      <c r="V8" s="20">
        <f>S!V2</f>
        <v>0.84899999999999998</v>
      </c>
      <c r="W8" s="20">
        <f>S!W2</f>
        <v>1.6990000000000001</v>
      </c>
      <c r="X8" s="20">
        <f>S!X2</f>
        <v>820.99599999999998</v>
      </c>
    </row>
    <row r="9" spans="1:27" ht="15" customHeight="1" thickBot="1" x14ac:dyDescent="0.25">
      <c r="A9" s="23" t="s">
        <v>205</v>
      </c>
      <c r="B9" s="18" t="str">
        <f>'C'!B2</f>
        <v>250</v>
      </c>
      <c r="C9" s="18">
        <f>'C'!C2</f>
        <v>72</v>
      </c>
      <c r="D9" s="18">
        <f>'C'!D2</f>
        <v>72</v>
      </c>
      <c r="E9" s="18">
        <f>'C'!E2</f>
        <v>22</v>
      </c>
      <c r="F9" s="18" t="str">
        <f>'C'!F2</f>
        <v>C250</v>
      </c>
      <c r="G9" s="18" t="str">
        <f>'C'!G2</f>
        <v>250/72/72/22</v>
      </c>
      <c r="H9" s="18">
        <f>'C'!H2</f>
        <v>2.5</v>
      </c>
      <c r="I9" s="18">
        <f>'C'!I2</f>
        <v>10.47</v>
      </c>
      <c r="J9" s="18">
        <f>'C'!J2</f>
        <v>946.9</v>
      </c>
      <c r="K9" s="18">
        <f>'C'!K2</f>
        <v>75.75</v>
      </c>
      <c r="L9" s="18">
        <f>'C'!L2</f>
        <v>67.86</v>
      </c>
      <c r="M9" s="18">
        <f>'C'!M2</f>
        <v>12.78</v>
      </c>
      <c r="N9" s="18">
        <f>'C'!N2</f>
        <v>9.5</v>
      </c>
      <c r="O9" s="18">
        <f>'C'!O2</f>
        <v>2.54</v>
      </c>
      <c r="P9" s="18">
        <f>'C'!P2</f>
        <v>1.89</v>
      </c>
      <c r="Q9" s="18">
        <f>'C'!Q2</f>
        <v>0</v>
      </c>
      <c r="R9" s="18">
        <f>'C'!R2</f>
        <v>12.5</v>
      </c>
      <c r="S9" s="18">
        <f>'C'!S2</f>
        <v>0</v>
      </c>
      <c r="T9" s="18">
        <f>'C'!T2</f>
        <v>8.2200000000000006</v>
      </c>
      <c r="U9" s="18"/>
      <c r="V9" s="18">
        <f>'C'!V2</f>
        <v>0.218</v>
      </c>
      <c r="W9" s="18">
        <f>'C'!W2</f>
        <v>0.436</v>
      </c>
      <c r="X9" s="18">
        <f>'C'!X2</f>
        <v>235.721</v>
      </c>
    </row>
    <row r="10" spans="1:27" ht="15" customHeight="1" thickBot="1" x14ac:dyDescent="0.25"/>
    <row r="11" spans="1:27" ht="15" customHeight="1" thickBot="1" x14ac:dyDescent="0.25">
      <c r="A11" s="347" t="s">
        <v>58</v>
      </c>
      <c r="B11" s="344" t="s">
        <v>11</v>
      </c>
      <c r="C11" s="344" t="s">
        <v>10</v>
      </c>
      <c r="D11" s="344" t="s">
        <v>12</v>
      </c>
      <c r="E11" s="344" t="s">
        <v>59</v>
      </c>
      <c r="F11" s="339" t="s">
        <v>0</v>
      </c>
      <c r="G11" s="339"/>
      <c r="H11" s="343" t="s">
        <v>24</v>
      </c>
      <c r="I11" s="343" t="s">
        <v>56</v>
      </c>
      <c r="J11" s="344" t="s">
        <v>13</v>
      </c>
      <c r="K11" s="344"/>
      <c r="L11" s="344" t="s">
        <v>14</v>
      </c>
      <c r="M11" s="344"/>
      <c r="N11" s="344"/>
      <c r="O11" s="344"/>
      <c r="P11" s="344"/>
      <c r="Q11" s="344"/>
      <c r="R11" s="344"/>
      <c r="S11" s="344"/>
      <c r="T11" s="344"/>
      <c r="U11" s="344"/>
      <c r="V11" s="344"/>
      <c r="W11" s="344"/>
      <c r="X11" s="344"/>
      <c r="Y11" s="344"/>
      <c r="Z11" s="346"/>
      <c r="AA11" s="338" t="s">
        <v>162</v>
      </c>
    </row>
    <row r="12" spans="1:27" ht="15" customHeight="1" thickBot="1" x14ac:dyDescent="0.25">
      <c r="A12" s="348"/>
      <c r="B12" s="345"/>
      <c r="C12" s="345"/>
      <c r="D12" s="345"/>
      <c r="E12" s="345"/>
      <c r="F12" s="340"/>
      <c r="G12" s="340"/>
      <c r="H12" s="341"/>
      <c r="I12" s="341"/>
      <c r="J12" s="345"/>
      <c r="K12" s="345"/>
      <c r="L12" s="345" t="s">
        <v>15</v>
      </c>
      <c r="M12" s="345"/>
      <c r="N12" s="345"/>
      <c r="O12" s="345"/>
      <c r="P12" s="345"/>
      <c r="Q12" s="345"/>
      <c r="R12" s="345"/>
      <c r="S12" s="345"/>
      <c r="T12" s="345"/>
      <c r="U12" s="345"/>
      <c r="V12" s="345" t="s">
        <v>16</v>
      </c>
      <c r="W12" s="345"/>
      <c r="X12" s="345"/>
      <c r="Y12" s="345"/>
      <c r="Z12" s="357"/>
      <c r="AA12" s="338"/>
    </row>
    <row r="13" spans="1:27" ht="15" customHeight="1" thickBot="1" x14ac:dyDescent="0.25">
      <c r="A13" s="348"/>
      <c r="B13" s="345"/>
      <c r="C13" s="345"/>
      <c r="D13" s="345"/>
      <c r="E13" s="345"/>
      <c r="F13" s="340"/>
      <c r="G13" s="340"/>
      <c r="H13" s="341"/>
      <c r="I13" s="341"/>
      <c r="J13" s="345"/>
      <c r="K13" s="345"/>
      <c r="L13" s="345" t="s">
        <v>17</v>
      </c>
      <c r="M13" s="345"/>
      <c r="N13" s="345"/>
      <c r="O13" s="345"/>
      <c r="P13" s="345"/>
      <c r="Q13" s="345" t="s">
        <v>18</v>
      </c>
      <c r="R13" s="345"/>
      <c r="S13" s="345"/>
      <c r="T13" s="345"/>
      <c r="U13" s="345"/>
      <c r="V13" s="345"/>
      <c r="W13" s="345"/>
      <c r="X13" s="345"/>
      <c r="Y13" s="345"/>
      <c r="Z13" s="357"/>
      <c r="AA13" s="338"/>
    </row>
    <row r="14" spans="1:27" ht="15" customHeight="1" thickBot="1" x14ac:dyDescent="0.25">
      <c r="A14" s="348"/>
      <c r="B14" s="345"/>
      <c r="C14" s="345"/>
      <c r="D14" s="345"/>
      <c r="E14" s="345"/>
      <c r="F14" s="341" t="s">
        <v>57</v>
      </c>
      <c r="G14" s="341" t="s">
        <v>23</v>
      </c>
      <c r="H14" s="341"/>
      <c r="I14" s="341"/>
      <c r="J14" s="341" t="s">
        <v>21</v>
      </c>
      <c r="K14" s="341" t="s">
        <v>20</v>
      </c>
      <c r="L14" s="341" t="s">
        <v>21</v>
      </c>
      <c r="M14" s="341" t="s">
        <v>3</v>
      </c>
      <c r="N14" s="341" t="s">
        <v>3</v>
      </c>
      <c r="O14" s="341" t="s">
        <v>20</v>
      </c>
      <c r="P14" s="341" t="s">
        <v>155</v>
      </c>
      <c r="Q14" s="341" t="s">
        <v>21</v>
      </c>
      <c r="R14" s="341" t="s">
        <v>3</v>
      </c>
      <c r="S14" s="341" t="s">
        <v>156</v>
      </c>
      <c r="T14" s="341" t="s">
        <v>20</v>
      </c>
      <c r="U14" s="341" t="s">
        <v>155</v>
      </c>
      <c r="V14" s="341" t="s">
        <v>21</v>
      </c>
      <c r="W14" s="341" t="s">
        <v>19</v>
      </c>
      <c r="X14" s="341" t="s">
        <v>156</v>
      </c>
      <c r="Y14" s="341" t="s">
        <v>20</v>
      </c>
      <c r="Z14" s="358" t="s">
        <v>155</v>
      </c>
      <c r="AA14" s="338"/>
    </row>
    <row r="15" spans="1:27" ht="15" customHeight="1" thickBot="1" x14ac:dyDescent="0.25">
      <c r="A15" s="348"/>
      <c r="B15" s="345"/>
      <c r="C15" s="345"/>
      <c r="D15" s="345"/>
      <c r="E15" s="345"/>
      <c r="F15" s="341"/>
      <c r="G15" s="341"/>
      <c r="H15" s="341"/>
      <c r="I15" s="341"/>
      <c r="J15" s="341"/>
      <c r="K15" s="341"/>
      <c r="L15" s="341"/>
      <c r="M15" s="341"/>
      <c r="N15" s="341"/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58"/>
      <c r="AA15" s="338"/>
    </row>
    <row r="16" spans="1:27" ht="15" customHeight="1" thickBot="1" x14ac:dyDescent="0.25">
      <c r="A16" s="348"/>
      <c r="B16" s="345"/>
      <c r="C16" s="345"/>
      <c r="D16" s="345"/>
      <c r="E16" s="345"/>
      <c r="F16" s="341"/>
      <c r="G16" s="341"/>
      <c r="H16" s="341"/>
      <c r="I16" s="341"/>
      <c r="J16" s="154" t="s">
        <v>172</v>
      </c>
      <c r="K16" s="154" t="s">
        <v>173</v>
      </c>
      <c r="L16" s="154" t="s">
        <v>172</v>
      </c>
      <c r="M16" s="154" t="s">
        <v>174</v>
      </c>
      <c r="N16" s="154" t="s">
        <v>175</v>
      </c>
      <c r="O16" s="154" t="s">
        <v>176</v>
      </c>
      <c r="P16" s="154" t="s">
        <v>177</v>
      </c>
      <c r="Q16" s="154" t="s">
        <v>172</v>
      </c>
      <c r="R16" s="154" t="s">
        <v>174</v>
      </c>
      <c r="S16" s="154" t="s">
        <v>175</v>
      </c>
      <c r="T16" s="154" t="s">
        <v>176</v>
      </c>
      <c r="U16" s="154" t="s">
        <v>177</v>
      </c>
      <c r="V16" s="154" t="s">
        <v>172</v>
      </c>
      <c r="W16" s="154" t="s">
        <v>178</v>
      </c>
      <c r="X16" s="154" t="s">
        <v>179</v>
      </c>
      <c r="Y16" s="154" t="s">
        <v>180</v>
      </c>
      <c r="Z16" s="155" t="s">
        <v>181</v>
      </c>
      <c r="AA16" s="171" t="s">
        <v>163</v>
      </c>
    </row>
    <row r="17" spans="1:27" ht="15" customHeight="1" thickBot="1" x14ac:dyDescent="0.25">
      <c r="A17" s="349"/>
      <c r="B17" s="350"/>
      <c r="C17" s="350"/>
      <c r="D17" s="350"/>
      <c r="E17" s="350"/>
      <c r="F17" s="342"/>
      <c r="G17" s="342"/>
      <c r="H17" s="342"/>
      <c r="I17" s="172" t="s">
        <v>2</v>
      </c>
      <c r="J17" s="172" t="s">
        <v>182</v>
      </c>
      <c r="K17" s="172" t="s">
        <v>6</v>
      </c>
      <c r="L17" s="172" t="s">
        <v>182</v>
      </c>
      <c r="M17" s="172" t="s">
        <v>183</v>
      </c>
      <c r="N17" s="172" t="s">
        <v>184</v>
      </c>
      <c r="O17" s="172" t="s">
        <v>6</v>
      </c>
      <c r="P17" s="172" t="s">
        <v>6</v>
      </c>
      <c r="Q17" s="172" t="s">
        <v>182</v>
      </c>
      <c r="R17" s="172" t="s">
        <v>183</v>
      </c>
      <c r="S17" s="172" t="s">
        <v>184</v>
      </c>
      <c r="T17" s="172" t="s">
        <v>6</v>
      </c>
      <c r="U17" s="172" t="s">
        <v>6</v>
      </c>
      <c r="V17" s="172" t="s">
        <v>182</v>
      </c>
      <c r="W17" s="172" t="s">
        <v>183</v>
      </c>
      <c r="X17" s="172" t="s">
        <v>184</v>
      </c>
      <c r="Y17" s="172" t="s">
        <v>6</v>
      </c>
      <c r="Z17" s="173" t="s">
        <v>6</v>
      </c>
      <c r="AA17" s="171" t="s">
        <v>187</v>
      </c>
    </row>
    <row r="18" spans="1:27" ht="15" customHeight="1" thickBot="1" x14ac:dyDescent="0.25">
      <c r="A18" s="38" t="s">
        <v>211</v>
      </c>
      <c r="B18" s="39" t="str">
        <f>Z_R_280!B2</f>
        <v>250</v>
      </c>
      <c r="C18" s="39">
        <f>Z_R_280!C2</f>
        <v>68</v>
      </c>
      <c r="D18" s="39">
        <f>Z_R_280!D2</f>
        <v>79</v>
      </c>
      <c r="E18" s="39">
        <f>Z_R_280!E2</f>
        <v>22</v>
      </c>
      <c r="F18" s="39" t="str">
        <f>Z_R_280!F2</f>
        <v>Z250</v>
      </c>
      <c r="G18" s="39" t="str">
        <f>Z_R_280!G2</f>
        <v>250/68/79/22</v>
      </c>
      <c r="H18" s="39">
        <f>Z_R_280!H2</f>
        <v>2.5</v>
      </c>
      <c r="I18" s="39">
        <f>Z_R_280!I2</f>
        <v>8.2799999999999994</v>
      </c>
      <c r="J18" s="39">
        <f>Z_R_280!J2</f>
        <v>7.31</v>
      </c>
      <c r="K18" s="39">
        <f>Z_R_280!K2</f>
        <v>2.77</v>
      </c>
      <c r="L18" s="39">
        <f>Z_R_280!L2</f>
        <v>10.54</v>
      </c>
      <c r="M18" s="39">
        <f>Z_R_280!M2</f>
        <v>957.29</v>
      </c>
      <c r="N18" s="39">
        <f>Z_R_280!N2</f>
        <v>74.650000000000006</v>
      </c>
      <c r="O18" s="39">
        <f>Z_R_280!O2</f>
        <v>9.52</v>
      </c>
      <c r="P18" s="39">
        <f>Z_R_280!P2</f>
        <v>12.18</v>
      </c>
      <c r="Q18" s="39">
        <f>Z_R_280!Q2</f>
        <v>10.54</v>
      </c>
      <c r="R18" s="39">
        <f>Z_R_280!R2</f>
        <v>957.29</v>
      </c>
      <c r="S18" s="39">
        <f>Z_R_280!S2</f>
        <v>74.650000000000006</v>
      </c>
      <c r="T18" s="39">
        <f>Z_R_280!T2</f>
        <v>9.52</v>
      </c>
      <c r="U18" s="39">
        <f>Z_R_280!U2</f>
        <v>12.18</v>
      </c>
      <c r="V18" s="39">
        <f>Z_R_280!V2</f>
        <v>10.55</v>
      </c>
      <c r="W18" s="39">
        <f>Z_R_280!W2</f>
        <v>106.98</v>
      </c>
      <c r="X18" s="39">
        <f>Z_R_280!X2</f>
        <v>13.73</v>
      </c>
      <c r="Y18" s="39">
        <f>Z_R_280!Y2</f>
        <v>3.18</v>
      </c>
      <c r="Z18" s="40">
        <f>Z_R_280!Z2</f>
        <v>6.91</v>
      </c>
      <c r="AA18" s="41" t="s">
        <v>160</v>
      </c>
    </row>
    <row r="19" spans="1:27" ht="15" customHeight="1" thickBot="1" x14ac:dyDescent="0.25">
      <c r="A19" s="42" t="str">
        <f>A18</f>
        <v>Z250x2,5</v>
      </c>
      <c r="B19" s="43" t="str">
        <f>Z_R_350!B2</f>
        <v>250</v>
      </c>
      <c r="C19" s="43">
        <f>Z_R_350!C2</f>
        <v>68</v>
      </c>
      <c r="D19" s="43">
        <f>Z_R_350!D2</f>
        <v>79</v>
      </c>
      <c r="E19" s="43">
        <f>Z_R_350!E2</f>
        <v>22</v>
      </c>
      <c r="F19" s="43" t="str">
        <f>Z_R_350!F2</f>
        <v>Z250</v>
      </c>
      <c r="G19" s="43" t="str">
        <f>Z_R_350!G2</f>
        <v>250/68/79/22</v>
      </c>
      <c r="H19" s="43">
        <f>Z_R_350!H2</f>
        <v>2.5</v>
      </c>
      <c r="I19" s="43">
        <f>Z_R_350!I2</f>
        <v>8.2799999999999994</v>
      </c>
      <c r="J19" s="43">
        <f>Z_R_350!J2</f>
        <v>7.04</v>
      </c>
      <c r="K19" s="43">
        <f>Z_R_350!K2</f>
        <v>2.82</v>
      </c>
      <c r="L19" s="43">
        <f>Z_R_350!L2</f>
        <v>10.45</v>
      </c>
      <c r="M19" s="43">
        <f>Z_R_350!M2</f>
        <v>951.7</v>
      </c>
      <c r="N19" s="43">
        <f>Z_R_350!N2</f>
        <v>73.81</v>
      </c>
      <c r="O19" s="43">
        <f>Z_R_350!O2</f>
        <v>9.5399999999999991</v>
      </c>
      <c r="P19" s="43">
        <f>Z_R_350!P2</f>
        <v>12.11</v>
      </c>
      <c r="Q19" s="43">
        <f>Z_R_350!Q2</f>
        <v>10.45</v>
      </c>
      <c r="R19" s="43">
        <f>Z_R_350!R2</f>
        <v>952.52</v>
      </c>
      <c r="S19" s="43">
        <f>Z_R_350!S2</f>
        <v>74.650000000000006</v>
      </c>
      <c r="T19" s="43">
        <f>Z_R_350!T2</f>
        <v>9.5399999999999991</v>
      </c>
      <c r="U19" s="43">
        <f>Z_R_350!U2</f>
        <v>12.24</v>
      </c>
      <c r="V19" s="43">
        <f>Z_R_350!V2</f>
        <v>10.55</v>
      </c>
      <c r="W19" s="43">
        <f>Z_R_350!W2</f>
        <v>106.98</v>
      </c>
      <c r="X19" s="43">
        <f>Z_R_350!X2</f>
        <v>13.73</v>
      </c>
      <c r="Y19" s="43">
        <f>Z_R_350!Y2</f>
        <v>3.18</v>
      </c>
      <c r="Z19" s="44">
        <f>Z_R_350!Z2</f>
        <v>6.91</v>
      </c>
      <c r="AA19" s="45" t="s">
        <v>157</v>
      </c>
    </row>
    <row r="20" spans="1:27" ht="15" customHeight="1" thickBot="1" x14ac:dyDescent="0.25">
      <c r="A20" s="53" t="str">
        <f>A18</f>
        <v>Z250x2,5</v>
      </c>
      <c r="B20" s="53" t="str">
        <f>Z_R_390!B2</f>
        <v>250</v>
      </c>
      <c r="C20" s="53">
        <f>Z_R_390!C2</f>
        <v>68</v>
      </c>
      <c r="D20" s="53">
        <f>Z_R_390!D2</f>
        <v>79</v>
      </c>
      <c r="E20" s="53">
        <f>Z_R_390!E2</f>
        <v>22</v>
      </c>
      <c r="F20" s="53" t="str">
        <f>Z_R_390!F2</f>
        <v>Z250</v>
      </c>
      <c r="G20" s="53" t="str">
        <f>Z_R_390!G2</f>
        <v>250/68/79/22</v>
      </c>
      <c r="H20" s="53">
        <f>Z_R_390!H2</f>
        <v>2.5</v>
      </c>
      <c r="I20" s="53">
        <f>Z_R_390!I2</f>
        <v>8.2799999999999994</v>
      </c>
      <c r="J20" s="54">
        <f>Z_R_390!J2</f>
        <v>6.9085714285714284</v>
      </c>
      <c r="K20" s="54">
        <f>Z_R_390!K2</f>
        <v>2.8428571428571425</v>
      </c>
      <c r="L20" s="54">
        <f>Z_R_390!L2</f>
        <v>10.318571428571429</v>
      </c>
      <c r="M20" s="54">
        <f>Z_R_390!M2</f>
        <v>944.25428571428574</v>
      </c>
      <c r="N20" s="54">
        <f>Z_R_390!N2</f>
        <v>72.701428571428579</v>
      </c>
      <c r="O20" s="54">
        <f>Z_R_390!O2</f>
        <v>9.5628571428571423</v>
      </c>
      <c r="P20" s="54">
        <f>Z_R_390!P2</f>
        <v>12.012857142857142</v>
      </c>
      <c r="Q20" s="54">
        <f>Z_R_390!Q2</f>
        <v>10.312857142857142</v>
      </c>
      <c r="R20" s="54">
        <f>Z_R_390!R2</f>
        <v>944.28571428571433</v>
      </c>
      <c r="S20" s="54">
        <f>Z_R_390!S2</f>
        <v>74.587142857142865</v>
      </c>
      <c r="T20" s="54">
        <f>Z_R_390!T2</f>
        <v>9.5628571428571423</v>
      </c>
      <c r="U20" s="54">
        <f>Z_R_390!U2</f>
        <v>12.342857142857143</v>
      </c>
      <c r="V20" s="54">
        <f>Z_R_390!V2</f>
        <v>10.544285714285714</v>
      </c>
      <c r="W20" s="54">
        <f>Z_R_390!W2</f>
        <v>106.85428571428572</v>
      </c>
      <c r="X20" s="54">
        <f>Z_R_390!X2</f>
        <v>13.73</v>
      </c>
      <c r="Y20" s="54">
        <f>Z_R_390!Y2</f>
        <v>3.18</v>
      </c>
      <c r="Z20" s="55">
        <f>Z_R_390!Z2</f>
        <v>6.91</v>
      </c>
      <c r="AA20" s="41" t="s">
        <v>161</v>
      </c>
    </row>
    <row r="21" spans="1:27" ht="15" customHeight="1" thickBot="1" x14ac:dyDescent="0.25">
      <c r="A21" s="46" t="str">
        <f>A18</f>
        <v>Z250x2,5</v>
      </c>
      <c r="B21" s="39" t="str">
        <f>Z_R_420!B2</f>
        <v>250</v>
      </c>
      <c r="C21" s="39">
        <f>Z_R_420!C2</f>
        <v>68</v>
      </c>
      <c r="D21" s="39">
        <f>Z_R_420!D2</f>
        <v>79</v>
      </c>
      <c r="E21" s="39">
        <f>Z_R_420!E2</f>
        <v>22</v>
      </c>
      <c r="F21" s="39" t="str">
        <f>Z_R_420!F2</f>
        <v>Z250</v>
      </c>
      <c r="G21" s="39" t="str">
        <f>Z_R_420!G2</f>
        <v>250/68/79/22</v>
      </c>
      <c r="H21" s="39">
        <f>Z_R_420!H2</f>
        <v>2.5</v>
      </c>
      <c r="I21" s="39">
        <f>Z_R_420!I2</f>
        <v>8.2799999999999994</v>
      </c>
      <c r="J21" s="39">
        <f>Z_R_420!J2</f>
        <v>6.81</v>
      </c>
      <c r="K21" s="39">
        <f>Z_R_420!K2</f>
        <v>2.86</v>
      </c>
      <c r="L21" s="39">
        <f>Z_R_420!L2</f>
        <v>10.220000000000001</v>
      </c>
      <c r="M21" s="39">
        <f>Z_R_420!M2</f>
        <v>938.67</v>
      </c>
      <c r="N21" s="39">
        <f>Z_R_420!N2</f>
        <v>71.87</v>
      </c>
      <c r="O21" s="39">
        <f>Z_R_420!O2</f>
        <v>9.58</v>
      </c>
      <c r="P21" s="39">
        <f>Z_R_420!P2</f>
        <v>11.94</v>
      </c>
      <c r="Q21" s="39">
        <f>Z_R_420!Q2</f>
        <v>10.210000000000001</v>
      </c>
      <c r="R21" s="39">
        <f>Z_R_420!R2</f>
        <v>938.11</v>
      </c>
      <c r="S21" s="39">
        <f>Z_R_420!S2</f>
        <v>74.540000000000006</v>
      </c>
      <c r="T21" s="39">
        <f>Z_R_420!T2</f>
        <v>9.58</v>
      </c>
      <c r="U21" s="39">
        <f>Z_R_420!U2</f>
        <v>12.42</v>
      </c>
      <c r="V21" s="39">
        <f>Z_R_420!V2</f>
        <v>10.54</v>
      </c>
      <c r="W21" s="39">
        <f>Z_R_420!W2</f>
        <v>106.76</v>
      </c>
      <c r="X21" s="39">
        <f>Z_R_420!X2</f>
        <v>13.73</v>
      </c>
      <c r="Y21" s="39">
        <f>Z_R_420!Y2</f>
        <v>3.18</v>
      </c>
      <c r="Z21" s="40">
        <f>Z_R_420!Z2</f>
        <v>6.91</v>
      </c>
      <c r="AA21" s="47" t="s">
        <v>158</v>
      </c>
    </row>
    <row r="22" spans="1:27" ht="15" customHeight="1" thickBot="1" x14ac:dyDescent="0.25">
      <c r="A22" s="48" t="str">
        <f>A18</f>
        <v>Z250x2,5</v>
      </c>
      <c r="B22" s="49" t="str">
        <f>Z_R_450!B2</f>
        <v>250</v>
      </c>
      <c r="C22" s="49">
        <f>Z_R_450!C2</f>
        <v>68</v>
      </c>
      <c r="D22" s="49">
        <f>Z_R_450!D2</f>
        <v>79</v>
      </c>
      <c r="E22" s="49">
        <f>Z_R_450!E2</f>
        <v>22</v>
      </c>
      <c r="F22" s="49" t="str">
        <f>Z_R_450!F2</f>
        <v>Z250</v>
      </c>
      <c r="G22" s="49" t="str">
        <f>Z_R_450!G2</f>
        <v>250/68/79/22</v>
      </c>
      <c r="H22" s="49">
        <f>Z_R_450!H2</f>
        <v>2.5</v>
      </c>
      <c r="I22" s="49">
        <f>Z_R_450!I2</f>
        <v>8.2799999999999994</v>
      </c>
      <c r="J22" s="49">
        <f>Z_R_450!J2</f>
        <v>6.7</v>
      </c>
      <c r="K22" s="49">
        <f>Z_R_450!K2</f>
        <v>2.88</v>
      </c>
      <c r="L22" s="49">
        <f>Z_R_450!L2</f>
        <v>10.130000000000001</v>
      </c>
      <c r="M22" s="49">
        <f>Z_R_450!M2</f>
        <v>933.95</v>
      </c>
      <c r="N22" s="49">
        <f>Z_R_450!N2</f>
        <v>71.17</v>
      </c>
      <c r="O22" s="49">
        <f>Z_R_450!O2</f>
        <v>9.59</v>
      </c>
      <c r="P22" s="49">
        <f>Z_R_450!P2</f>
        <v>11.88</v>
      </c>
      <c r="Q22" s="49">
        <f>Z_R_450!Q2</f>
        <v>10.11</v>
      </c>
      <c r="R22" s="49">
        <f>Z_R_450!R2</f>
        <v>929.18</v>
      </c>
      <c r="S22" s="49">
        <f>Z_R_450!S2</f>
        <v>74.28</v>
      </c>
      <c r="T22" s="49">
        <f>Z_R_450!T2</f>
        <v>9.58</v>
      </c>
      <c r="U22" s="49">
        <f>Z_R_450!U2</f>
        <v>12.51</v>
      </c>
      <c r="V22" s="49">
        <f>Z_R_450!V2</f>
        <v>10.51</v>
      </c>
      <c r="W22" s="49">
        <f>Z_R_450!W2</f>
        <v>106.39</v>
      </c>
      <c r="X22" s="49">
        <f>Z_R_450!X2</f>
        <v>13.73</v>
      </c>
      <c r="Y22" s="49">
        <f>Z_R_450!Y2</f>
        <v>3.18</v>
      </c>
      <c r="Z22" s="50">
        <f>Z_R_450!Z2</f>
        <v>6.91</v>
      </c>
      <c r="AA22" s="41" t="s">
        <v>159</v>
      </c>
    </row>
    <row r="23" spans="1:27" ht="15" customHeight="1" thickBot="1" x14ac:dyDescent="0.25">
      <c r="A23" s="29" t="s">
        <v>190</v>
      </c>
      <c r="B23" s="30" t="str">
        <f>ZR_R_350!B2</f>
        <v>250</v>
      </c>
      <c r="C23" s="30">
        <f>ZR_R_350!C2</f>
        <v>63</v>
      </c>
      <c r="D23" s="30">
        <f>ZR_R_350!D2</f>
        <v>73</v>
      </c>
      <c r="E23" s="30">
        <f>ZR_R_350!E2</f>
        <v>20</v>
      </c>
      <c r="F23" s="30" t="str">
        <f>ZR_R_350!F2</f>
        <v>ZR250</v>
      </c>
      <c r="G23" s="30" t="str">
        <f>ZR_R_350!G2</f>
        <v>250/63/73/20</v>
      </c>
      <c r="H23" s="30">
        <f>ZR_R_350!H2</f>
        <v>2</v>
      </c>
      <c r="I23" s="30">
        <f>ZR_R_350!I2</f>
        <v>6.68</v>
      </c>
      <c r="J23" s="30">
        <f>ZR_R_350!J2</f>
        <v>7.74</v>
      </c>
      <c r="K23" s="30">
        <f>ZR_R_350!K2</f>
        <v>2.02</v>
      </c>
      <c r="L23" s="30">
        <f>ZR_R_350!L2</f>
        <v>8</v>
      </c>
      <c r="M23" s="30">
        <f>ZR_R_350!M2</f>
        <v>707.97</v>
      </c>
      <c r="N23" s="30">
        <f>ZR_R_350!N2</f>
        <v>53.55</v>
      </c>
      <c r="O23" s="30">
        <f>ZR_R_350!O2</f>
        <v>9.4</v>
      </c>
      <c r="P23" s="30">
        <f>ZR_R_350!P2</f>
        <v>11.78</v>
      </c>
      <c r="Q23" s="30">
        <f>ZR_R_350!Q2</f>
        <v>7.96</v>
      </c>
      <c r="R23" s="30">
        <f>ZR_R_350!R2</f>
        <v>701.49</v>
      </c>
      <c r="S23" s="30">
        <f>ZR_R_350!S2</f>
        <v>55.27</v>
      </c>
      <c r="T23" s="30">
        <f>ZR_R_350!T2</f>
        <v>9.3800000000000008</v>
      </c>
      <c r="U23" s="30">
        <f>ZR_R_350!U2</f>
        <v>12.69</v>
      </c>
      <c r="V23" s="30">
        <f>ZR_R_350!V2</f>
        <v>8.4700000000000006</v>
      </c>
      <c r="W23" s="30">
        <f>ZR_R_350!W2</f>
        <v>72.02</v>
      </c>
      <c r="X23" s="30">
        <f>ZR_R_350!X2</f>
        <v>9.64</v>
      </c>
      <c r="Y23" s="30">
        <f>ZR_R_350!Y2</f>
        <v>2.91</v>
      </c>
      <c r="Z23" s="31">
        <f>ZR_R_350!Z2</f>
        <v>6.13</v>
      </c>
      <c r="AA23" s="32" t="s">
        <v>157</v>
      </c>
    </row>
    <row r="24" spans="1:27" ht="15" customHeight="1" thickBot="1" x14ac:dyDescent="0.25">
      <c r="A24" s="51" t="str">
        <f>A23</f>
        <v>ZR250x2,0</v>
      </c>
      <c r="B24" s="51" t="str">
        <f>ZR_R_390!B2</f>
        <v>250</v>
      </c>
      <c r="C24" s="51">
        <f>ZR_R_390!C2</f>
        <v>63</v>
      </c>
      <c r="D24" s="51">
        <f>ZR_R_390!D2</f>
        <v>73</v>
      </c>
      <c r="E24" s="51">
        <f>ZR_R_390!E2</f>
        <v>20</v>
      </c>
      <c r="F24" s="51" t="str">
        <f>ZR_R_390!F2</f>
        <v>ZR250</v>
      </c>
      <c r="G24" s="51" t="str">
        <f>ZR_R_390!G2</f>
        <v>250/63/73/20</v>
      </c>
      <c r="H24" s="51">
        <f>ZR_R_390!H2</f>
        <v>2</v>
      </c>
      <c r="I24" s="51">
        <f>ZR_R_390!I2</f>
        <v>6.68</v>
      </c>
      <c r="J24" s="52">
        <f>ZR_R_390!J2</f>
        <v>7.6257142857142854</v>
      </c>
      <c r="K24" s="52">
        <f>ZR_R_390!K2</f>
        <v>1.9971428571428571</v>
      </c>
      <c r="L24" s="52">
        <f>ZR_R_390!L2</f>
        <v>7.902857142857143</v>
      </c>
      <c r="M24" s="52">
        <f>ZR_R_390!M2</f>
        <v>701.82142857142856</v>
      </c>
      <c r="N24" s="52">
        <f>ZR_R_390!N2</f>
        <v>52.71</v>
      </c>
      <c r="O24" s="52">
        <f>ZR_R_390!O2</f>
        <v>9.4171428571428564</v>
      </c>
      <c r="P24" s="52">
        <f>ZR_R_390!P2</f>
        <v>11.682857142857141</v>
      </c>
      <c r="Q24" s="52">
        <f>ZR_R_390!Q2</f>
        <v>7.8457142857142852</v>
      </c>
      <c r="R24" s="52">
        <f>ZR_R_390!R2</f>
        <v>691.84428571428577</v>
      </c>
      <c r="S24" s="52">
        <f>ZR_R_390!S2</f>
        <v>53.972857142857144</v>
      </c>
      <c r="T24" s="52">
        <f>ZR_R_390!T2</f>
        <v>9.3800000000000008</v>
      </c>
      <c r="U24" s="52">
        <f>ZR_R_390!U2</f>
        <v>12.821428571428571</v>
      </c>
      <c r="V24" s="52">
        <f>ZR_R_390!V2</f>
        <v>8.4700000000000006</v>
      </c>
      <c r="W24" s="52">
        <f>ZR_R_390!W2</f>
        <v>72.02</v>
      </c>
      <c r="X24" s="52">
        <f>ZR_R_390!X2</f>
        <v>9.64</v>
      </c>
      <c r="Y24" s="52">
        <f>ZR_R_390!Y2</f>
        <v>2.91</v>
      </c>
      <c r="Z24" s="56">
        <f>ZR_R_390!Z2</f>
        <v>6.13</v>
      </c>
      <c r="AA24" s="27" t="s">
        <v>161</v>
      </c>
    </row>
    <row r="25" spans="1:27" ht="15" customHeight="1" thickBot="1" x14ac:dyDescent="0.25">
      <c r="A25" s="33" t="str">
        <f>A23</f>
        <v>ZR250x2,0</v>
      </c>
      <c r="B25" s="34" t="str">
        <f>ZR_R_420!B2</f>
        <v>250</v>
      </c>
      <c r="C25" s="34">
        <f>ZR_R_420!C2</f>
        <v>63</v>
      </c>
      <c r="D25" s="34">
        <f>ZR_R_420!D2</f>
        <v>73</v>
      </c>
      <c r="E25" s="34">
        <f>ZR_R_420!E2</f>
        <v>20</v>
      </c>
      <c r="F25" s="34" t="str">
        <f>ZR_R_420!F2</f>
        <v>ZR250</v>
      </c>
      <c r="G25" s="34" t="str">
        <f>ZR_R_420!G2</f>
        <v>250/63/73/20</v>
      </c>
      <c r="H25" s="34">
        <f>ZR_R_420!H2</f>
        <v>2</v>
      </c>
      <c r="I25" s="34">
        <f>ZR_R_420!I2</f>
        <v>6.68</v>
      </c>
      <c r="J25" s="34">
        <f>ZR_R_420!J2</f>
        <v>7.54</v>
      </c>
      <c r="K25" s="34">
        <f>ZR_R_420!K2</f>
        <v>1.98</v>
      </c>
      <c r="L25" s="34">
        <f>ZR_R_420!L2</f>
        <v>7.83</v>
      </c>
      <c r="M25" s="34">
        <f>ZR_R_420!M2</f>
        <v>697.21</v>
      </c>
      <c r="N25" s="34">
        <f>ZR_R_420!N2</f>
        <v>52.08</v>
      </c>
      <c r="O25" s="34">
        <f>ZR_R_420!O2</f>
        <v>9.43</v>
      </c>
      <c r="P25" s="34">
        <f>ZR_R_420!P2</f>
        <v>11.61</v>
      </c>
      <c r="Q25" s="34">
        <f>ZR_R_420!Q2</f>
        <v>7.76</v>
      </c>
      <c r="R25" s="34">
        <f>ZR_R_420!R2</f>
        <v>684.61</v>
      </c>
      <c r="S25" s="34">
        <f>ZR_R_420!S2</f>
        <v>53</v>
      </c>
      <c r="T25" s="34">
        <f>ZR_R_420!T2</f>
        <v>9.3800000000000008</v>
      </c>
      <c r="U25" s="34">
        <f>ZR_R_420!U2</f>
        <v>12.92</v>
      </c>
      <c r="V25" s="34">
        <f>ZR_R_420!V2</f>
        <v>8.4700000000000006</v>
      </c>
      <c r="W25" s="34">
        <f>ZR_R_420!W2</f>
        <v>72.02</v>
      </c>
      <c r="X25" s="34">
        <f>ZR_R_420!X2</f>
        <v>9.64</v>
      </c>
      <c r="Y25" s="34">
        <f>ZR_R_420!Y2</f>
        <v>2.91</v>
      </c>
      <c r="Z25" s="35">
        <f>ZR_R_420!Z2</f>
        <v>6.13</v>
      </c>
      <c r="AA25" s="36" t="s">
        <v>158</v>
      </c>
    </row>
    <row r="26" spans="1:27" ht="15" customHeight="1" thickBot="1" x14ac:dyDescent="0.25">
      <c r="A26" s="24" t="s">
        <v>203</v>
      </c>
      <c r="B26" s="25" t="str">
        <f>S_R_350!B2</f>
        <v>350</v>
      </c>
      <c r="C26" s="25">
        <f>S_R_350!C2</f>
        <v>100</v>
      </c>
      <c r="D26" s="25">
        <f>S_R_350!D2</f>
        <v>100</v>
      </c>
      <c r="E26" s="25">
        <f>S_R_350!E2</f>
        <v>26</v>
      </c>
      <c r="F26" s="25" t="str">
        <f>S_R_350!F2</f>
        <v>SIGMA350</v>
      </c>
      <c r="G26" s="25" t="str">
        <f>S_R_350!G2</f>
        <v>350/100/100/26</v>
      </c>
      <c r="H26" s="25">
        <f>S_R_350!H2</f>
        <v>3.5</v>
      </c>
      <c r="I26" s="25">
        <f>S_R_350!I2</f>
        <v>16.260000000000002</v>
      </c>
      <c r="J26" s="25">
        <f>S_R_350!J2</f>
        <v>19.489999999999998</v>
      </c>
      <c r="K26" s="25">
        <f>S_R_350!K2</f>
        <v>3.38</v>
      </c>
      <c r="L26" s="25">
        <f>S_R_350!L2</f>
        <v>20.73</v>
      </c>
      <c r="M26" s="25">
        <f>S_R_350!M2</f>
        <v>3581.67</v>
      </c>
      <c r="N26" s="25">
        <f>S_R_350!N2</f>
        <v>204.66</v>
      </c>
      <c r="O26" s="25">
        <f>S_R_350!O2</f>
        <v>13.14</v>
      </c>
      <c r="P26" s="25">
        <f>S_R_350!P2</f>
        <v>17.5</v>
      </c>
      <c r="Q26" s="25">
        <f>S_R_350!Q2</f>
        <v>0</v>
      </c>
      <c r="R26" s="25">
        <f>S_R_350!R2</f>
        <v>0</v>
      </c>
      <c r="S26" s="25">
        <f>S_R_350!S2</f>
        <v>0</v>
      </c>
      <c r="T26" s="25">
        <f>S_R_350!T2</f>
        <v>0</v>
      </c>
      <c r="U26" s="25">
        <f>S_R_350!U2</f>
        <v>0</v>
      </c>
      <c r="V26" s="25">
        <f>S_R_350!V2</f>
        <v>19.489999999999998</v>
      </c>
      <c r="W26" s="25">
        <f>S_R_350!W2</f>
        <v>223.16</v>
      </c>
      <c r="X26" s="25">
        <f>S_R_350!X2</f>
        <v>31.01</v>
      </c>
      <c r="Y26" s="25">
        <f>S_R_350!Y2</f>
        <v>3.38</v>
      </c>
      <c r="Z26" s="26">
        <f>S_R_350!Z2</f>
        <v>2.8</v>
      </c>
      <c r="AA26" s="28" t="s">
        <v>157</v>
      </c>
    </row>
    <row r="27" spans="1:27" ht="15" customHeight="1" thickBot="1" x14ac:dyDescent="0.25">
      <c r="A27" s="66" t="str">
        <f>A26</f>
        <v>SIGMA350x3,5</v>
      </c>
      <c r="B27" s="67" t="str">
        <f>S_R_390!B2</f>
        <v>350</v>
      </c>
      <c r="C27" s="67">
        <f>S_R_390!C2</f>
        <v>100</v>
      </c>
      <c r="D27" s="67">
        <f>S_R_390!D2</f>
        <v>100</v>
      </c>
      <c r="E27" s="67">
        <f>S_R_390!E2</f>
        <v>26</v>
      </c>
      <c r="F27" s="67" t="str">
        <f>S_R_390!F2</f>
        <v>SIGMA350</v>
      </c>
      <c r="G27" s="67" t="str">
        <f>S_R_390!G2</f>
        <v>350/100/100/26</v>
      </c>
      <c r="H27" s="67">
        <f>S_R_390!H2</f>
        <v>3.5</v>
      </c>
      <c r="I27" s="67">
        <f>S_R_390!I2</f>
        <v>16.260000000000002</v>
      </c>
      <c r="J27" s="68">
        <f>S_R_390!J2</f>
        <v>19.21</v>
      </c>
      <c r="K27" s="68">
        <f>S_R_390!K2</f>
        <v>3.3857142857142857</v>
      </c>
      <c r="L27" s="68">
        <f>S_R_390!L2</f>
        <v>20.507142857142856</v>
      </c>
      <c r="M27" s="68">
        <f>S_R_390!M2</f>
        <v>3558.31</v>
      </c>
      <c r="N27" s="68">
        <f>S_R_390!N2</f>
        <v>202.06</v>
      </c>
      <c r="O27" s="68">
        <f>S_R_390!O2</f>
        <v>13.168571428571429</v>
      </c>
      <c r="P27" s="68">
        <f>S_R_390!P2</f>
        <v>17.39142857142857</v>
      </c>
      <c r="Q27" s="69">
        <f>S_R_390!Q2</f>
        <v>0</v>
      </c>
      <c r="R27" s="69">
        <f>S_R_390!R2</f>
        <v>0</v>
      </c>
      <c r="S27" s="69">
        <f>S_R_390!S2</f>
        <v>0</v>
      </c>
      <c r="T27" s="69">
        <f>S_R_390!T2</f>
        <v>0</v>
      </c>
      <c r="U27" s="69">
        <f>S_R_390!U2</f>
        <v>0</v>
      </c>
      <c r="V27" s="68">
        <f>S_R_390!V2</f>
        <v>19.21</v>
      </c>
      <c r="W27" s="68">
        <f>S_R_390!W2</f>
        <v>221.16571428571427</v>
      </c>
      <c r="X27" s="68">
        <f>S_R_390!X2</f>
        <v>30.901428571428571</v>
      </c>
      <c r="Y27" s="68">
        <f>S_R_390!Y2</f>
        <v>3.3857142857142857</v>
      </c>
      <c r="Z27" s="70">
        <f>S_R_390!Z2</f>
        <v>2.84</v>
      </c>
      <c r="AA27" s="28" t="s">
        <v>161</v>
      </c>
    </row>
    <row r="28" spans="1:27" ht="15" customHeight="1" thickBot="1" x14ac:dyDescent="0.25">
      <c r="A28" s="63" t="str">
        <f>A26</f>
        <v>SIGMA350x3,5</v>
      </c>
      <c r="B28" s="64" t="str">
        <f>S_R_420!B2</f>
        <v>350</v>
      </c>
      <c r="C28" s="64">
        <f>S_R_420!C2</f>
        <v>100</v>
      </c>
      <c r="D28" s="64">
        <f>S_R_420!D2</f>
        <v>100</v>
      </c>
      <c r="E28" s="64">
        <f>S_R_420!E2</f>
        <v>26</v>
      </c>
      <c r="F28" s="64" t="str">
        <f>S_R_420!F2</f>
        <v>SIGMA350</v>
      </c>
      <c r="G28" s="64" t="str">
        <f>S_R_420!G2</f>
        <v>350/100/100/26</v>
      </c>
      <c r="H28" s="64">
        <f>S_R_420!H2</f>
        <v>3.5</v>
      </c>
      <c r="I28" s="64">
        <f>S_R_420!I2</f>
        <v>16.260000000000002</v>
      </c>
      <c r="J28" s="64">
        <f>S_R_420!J2</f>
        <v>19</v>
      </c>
      <c r="K28" s="64">
        <f>S_R_420!K2</f>
        <v>3.39</v>
      </c>
      <c r="L28" s="64">
        <f>S_R_420!L2</f>
        <v>20.34</v>
      </c>
      <c r="M28" s="64">
        <f>S_R_420!M2</f>
        <v>3540.79</v>
      </c>
      <c r="N28" s="64">
        <f>S_R_420!N2</f>
        <v>200.11</v>
      </c>
      <c r="O28" s="64">
        <f>S_R_420!O2</f>
        <v>13.19</v>
      </c>
      <c r="P28" s="64">
        <f>S_R_420!P2</f>
        <v>17.309999999999999</v>
      </c>
      <c r="Q28" s="64">
        <f>S_R_420!Q2</f>
        <v>0</v>
      </c>
      <c r="R28" s="64">
        <f>S_R_420!R2</f>
        <v>0</v>
      </c>
      <c r="S28" s="64">
        <f>S_R_420!S2</f>
        <v>0</v>
      </c>
      <c r="T28" s="64">
        <f>S_R_420!T2</f>
        <v>0</v>
      </c>
      <c r="U28" s="64">
        <f>S_R_420!U2</f>
        <v>0</v>
      </c>
      <c r="V28" s="64">
        <f>S_R_420!V2</f>
        <v>19</v>
      </c>
      <c r="W28" s="64">
        <f>S_R_420!W2</f>
        <v>219.67</v>
      </c>
      <c r="X28" s="64">
        <f>S_R_420!X2</f>
        <v>30.82</v>
      </c>
      <c r="Y28" s="64">
        <f>S_R_420!Y2</f>
        <v>3.39</v>
      </c>
      <c r="Z28" s="65">
        <f>S_R_420!Z2</f>
        <v>2.87</v>
      </c>
      <c r="AA28" s="28" t="s">
        <v>158</v>
      </c>
    </row>
    <row r="29" spans="1:27" ht="15" customHeight="1" x14ac:dyDescent="0.2">
      <c r="A29" s="245" t="s">
        <v>202</v>
      </c>
      <c r="B29" s="246" t="str">
        <f>C_R_350!B2</f>
        <v>170</v>
      </c>
      <c r="C29" s="246">
        <f>C_R_350!C2</f>
        <v>68</v>
      </c>
      <c r="D29" s="246">
        <f>C_R_350!D2</f>
        <v>68</v>
      </c>
      <c r="E29" s="246">
        <f>C_R_350!E2</f>
        <v>17</v>
      </c>
      <c r="F29" s="246" t="str">
        <f>C_R_350!F2</f>
        <v>C170</v>
      </c>
      <c r="G29" s="246" t="str">
        <f>C_R_350!G2</f>
        <v>170/68/68/17</v>
      </c>
      <c r="H29" s="246">
        <f>C_R_350!H2</f>
        <v>2</v>
      </c>
      <c r="I29" s="246">
        <f>C_R_350!I2</f>
        <v>5.08</v>
      </c>
      <c r="J29" s="246">
        <f>C_R_350!J2</f>
        <v>4.79</v>
      </c>
      <c r="K29" s="246">
        <f>C_R_350!K2</f>
        <v>2.52</v>
      </c>
      <c r="L29" s="246">
        <f>C_R_350!L2</f>
        <v>6.46</v>
      </c>
      <c r="M29" s="246">
        <f>C_R_350!M2</f>
        <v>289.83999999999997</v>
      </c>
      <c r="N29" s="246">
        <f>C_R_350!N2</f>
        <v>34.07</v>
      </c>
      <c r="O29" s="246">
        <f>C_R_350!O2</f>
        <v>6.7</v>
      </c>
      <c r="P29" s="246">
        <f>C_R_350!P2</f>
        <v>8.5</v>
      </c>
      <c r="Q29" s="246">
        <f>C_R_350!Q2</f>
        <v>0</v>
      </c>
      <c r="R29" s="246">
        <f>C_R_350!R2</f>
        <v>0</v>
      </c>
      <c r="S29" s="246">
        <f>C_R_350!S2</f>
        <v>0</v>
      </c>
      <c r="T29" s="246">
        <f>C_R_350!T2</f>
        <v>0</v>
      </c>
      <c r="U29" s="246">
        <f>C_R_350!U2</f>
        <v>0</v>
      </c>
      <c r="V29" s="246">
        <f>C_R_350!V2</f>
        <v>4.79</v>
      </c>
      <c r="W29" s="246">
        <f>C_R_350!W2</f>
        <v>30.51</v>
      </c>
      <c r="X29" s="246">
        <f>C_R_350!X2</f>
        <v>7.4</v>
      </c>
      <c r="Y29" s="246">
        <f>C_R_350!Y2</f>
        <v>2.52</v>
      </c>
      <c r="Z29" s="247">
        <f>C_R_350!Z2</f>
        <v>2.68</v>
      </c>
      <c r="AA29" s="248" t="s">
        <v>157</v>
      </c>
    </row>
    <row r="30" spans="1:27" ht="15" customHeight="1" thickBot="1" x14ac:dyDescent="0.25">
      <c r="A30" s="249" t="str">
        <f>A29</f>
        <v>C170x2,0</v>
      </c>
      <c r="B30" s="250" t="str">
        <f>C_R_390!B2</f>
        <v>170</v>
      </c>
      <c r="C30" s="250">
        <f>C_R_390!C2</f>
        <v>68</v>
      </c>
      <c r="D30" s="250">
        <f>C_R_390!D2</f>
        <v>68</v>
      </c>
      <c r="E30" s="250">
        <f>C_R_390!E2</f>
        <v>17</v>
      </c>
      <c r="F30" s="250" t="str">
        <f>C_R_390!F2</f>
        <v>C170</v>
      </c>
      <c r="G30" s="250" t="str">
        <f>C_R_390!G2</f>
        <v>170/68/68/17</v>
      </c>
      <c r="H30" s="250">
        <f>C_R_390!H2</f>
        <v>2</v>
      </c>
      <c r="I30" s="250">
        <f>C_R_390!I2</f>
        <v>5.08</v>
      </c>
      <c r="J30" s="250">
        <f>C_R_390!J2</f>
        <v>4.6500000000000004</v>
      </c>
      <c r="K30" s="250">
        <f>C_R_390!K2</f>
        <v>2.54</v>
      </c>
      <c r="L30" s="250">
        <f>C_R_390!L2</f>
        <v>6.35</v>
      </c>
      <c r="M30" s="250">
        <f>C_R_390!M2</f>
        <v>287.3</v>
      </c>
      <c r="N30" s="250">
        <f>C_R_390!N2</f>
        <v>33.46</v>
      </c>
      <c r="O30" s="250">
        <f>C_R_390!O2</f>
        <v>6.72</v>
      </c>
      <c r="P30" s="250">
        <f>C_R_390!P2</f>
        <v>8.41</v>
      </c>
      <c r="Q30" s="250">
        <f>C_R_390!Q2</f>
        <v>0</v>
      </c>
      <c r="R30" s="250">
        <f>C_R_390!R2</f>
        <v>0</v>
      </c>
      <c r="S30" s="250">
        <f>C_R_390!S2</f>
        <v>0</v>
      </c>
      <c r="T30" s="250">
        <f>C_R_390!T2</f>
        <v>0</v>
      </c>
      <c r="U30" s="250">
        <f>C_R_390!U2</f>
        <v>0</v>
      </c>
      <c r="V30" s="250">
        <f>C_R_390!V2</f>
        <v>4.72</v>
      </c>
      <c r="W30" s="250">
        <f>C_R_390!W2</f>
        <v>30.01</v>
      </c>
      <c r="X30" s="250">
        <f>C_R_390!X2</f>
        <v>7.35</v>
      </c>
      <c r="Y30" s="250">
        <f>C_R_390!Y2</f>
        <v>2.52</v>
      </c>
      <c r="Z30" s="251">
        <f>C_R_390!Z2</f>
        <v>2.72</v>
      </c>
      <c r="AA30" s="252" t="s">
        <v>161</v>
      </c>
    </row>
    <row r="33" spans="2:5" ht="15" customHeight="1" x14ac:dyDescent="0.2">
      <c r="B33" s="17" t="s">
        <v>192</v>
      </c>
      <c r="C33" s="17">
        <v>18.28</v>
      </c>
      <c r="D33" s="17">
        <f>C33*2</f>
        <v>36.56</v>
      </c>
      <c r="E33" s="17" t="s">
        <v>201</v>
      </c>
    </row>
    <row r="34" spans="2:5" ht="15" customHeight="1" x14ac:dyDescent="0.2">
      <c r="B34" s="17" t="s">
        <v>194</v>
      </c>
      <c r="C34" s="17">
        <v>2411.48</v>
      </c>
      <c r="D34" s="17">
        <f>C34*2</f>
        <v>4822.96</v>
      </c>
      <c r="E34" s="17" t="s">
        <v>200</v>
      </c>
    </row>
    <row r="35" spans="2:5" ht="15" customHeight="1" x14ac:dyDescent="0.2">
      <c r="B35" s="17" t="s">
        <v>193</v>
      </c>
      <c r="C35" s="17">
        <v>8.43</v>
      </c>
      <c r="D35" s="17">
        <f>C35*2</f>
        <v>16.86</v>
      </c>
      <c r="E35" s="17" t="s">
        <v>201</v>
      </c>
    </row>
    <row r="36" spans="2:5" ht="15" customHeight="1" x14ac:dyDescent="0.2">
      <c r="B36" s="17" t="s">
        <v>195</v>
      </c>
      <c r="C36" s="17">
        <v>766.65</v>
      </c>
      <c r="D36" s="17">
        <f>C36*2</f>
        <v>1533.3</v>
      </c>
      <c r="E36" s="17" t="s">
        <v>200</v>
      </c>
    </row>
    <row r="37" spans="2:5" ht="15" customHeight="1" x14ac:dyDescent="0.2">
      <c r="B37" s="17" t="s">
        <v>196</v>
      </c>
      <c r="D37" s="17">
        <v>162.5</v>
      </c>
      <c r="E37" s="17" t="s">
        <v>6</v>
      </c>
    </row>
    <row r="38" spans="2:5" ht="15" customHeight="1" x14ac:dyDescent="0.2">
      <c r="B38" s="17" t="s">
        <v>197</v>
      </c>
      <c r="D38" s="17">
        <v>12.5</v>
      </c>
      <c r="E38" s="17" t="s">
        <v>6</v>
      </c>
    </row>
    <row r="40" spans="2:5" ht="15" customHeight="1" x14ac:dyDescent="0.2">
      <c r="B40" s="17" t="s">
        <v>198</v>
      </c>
      <c r="D40" s="17">
        <f>(D33*D37+D35*D38)/(D33+D35)</f>
        <v>115.15818045675776</v>
      </c>
      <c r="E40" s="17" t="s">
        <v>6</v>
      </c>
    </row>
    <row r="41" spans="2:5" ht="15" customHeight="1" x14ac:dyDescent="0.2">
      <c r="B41" s="17" t="s">
        <v>199</v>
      </c>
      <c r="D41" s="17">
        <f>D34+D36+D33*(D37-D40)^2+D35*(D40-D38)^2</f>
        <v>265978.79837514041</v>
      </c>
      <c r="E41" s="17" t="s">
        <v>200</v>
      </c>
    </row>
  </sheetData>
  <mergeCells count="56">
    <mergeCell ref="A1:A5"/>
    <mergeCell ref="B1:B5"/>
    <mergeCell ref="C1:C5"/>
    <mergeCell ref="D1:D5"/>
    <mergeCell ref="E1:E5"/>
    <mergeCell ref="F1:G1"/>
    <mergeCell ref="H1:H5"/>
    <mergeCell ref="I1:S1"/>
    <mergeCell ref="T1:T5"/>
    <mergeCell ref="U1:U5"/>
    <mergeCell ref="P2:S3"/>
    <mergeCell ref="F2:F5"/>
    <mergeCell ref="G2:G5"/>
    <mergeCell ref="I2:I3"/>
    <mergeCell ref="J2:J3"/>
    <mergeCell ref="K2:K3"/>
    <mergeCell ref="V12:Z13"/>
    <mergeCell ref="L13:P13"/>
    <mergeCell ref="Q13:U13"/>
    <mergeCell ref="M14:M15"/>
    <mergeCell ref="Y14:Y15"/>
    <mergeCell ref="Z14:Z15"/>
    <mergeCell ref="N14:N15"/>
    <mergeCell ref="O14:O15"/>
    <mergeCell ref="P14:P15"/>
    <mergeCell ref="Q14:Q15"/>
    <mergeCell ref="R14:R15"/>
    <mergeCell ref="S14:S15"/>
    <mergeCell ref="L12:U12"/>
    <mergeCell ref="W1:W5"/>
    <mergeCell ref="X1:X5"/>
    <mergeCell ref="L2:L3"/>
    <mergeCell ref="M2:M3"/>
    <mergeCell ref="N2:O3"/>
    <mergeCell ref="V1:V5"/>
    <mergeCell ref="A11:A17"/>
    <mergeCell ref="B11:B17"/>
    <mergeCell ref="C11:C17"/>
    <mergeCell ref="D11:D17"/>
    <mergeCell ref="E11:E17"/>
    <mergeCell ref="AA11:AA15"/>
    <mergeCell ref="F11:G13"/>
    <mergeCell ref="U14:U15"/>
    <mergeCell ref="V14:V15"/>
    <mergeCell ref="W14:W15"/>
    <mergeCell ref="X14:X15"/>
    <mergeCell ref="T14:T15"/>
    <mergeCell ref="F14:F17"/>
    <mergeCell ref="G14:G17"/>
    <mergeCell ref="J14:J15"/>
    <mergeCell ref="K14:K15"/>
    <mergeCell ref="L14:L15"/>
    <mergeCell ref="H11:H17"/>
    <mergeCell ref="I11:I16"/>
    <mergeCell ref="J11:K13"/>
    <mergeCell ref="L11:Z11"/>
  </mergeCell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'C'!$A$11:$A$49</xm:f>
          </x14:formula1>
          <xm:sqref>A9</xm:sqref>
        </x14:dataValidation>
        <x14:dataValidation type="list" allowBlank="1" showInputMessage="1" showErrorMessage="1">
          <x14:formula1>
            <xm:f>C_R_350!$A$11:$A$49</xm:f>
          </x14:formula1>
          <xm:sqref>A29:A30</xm:sqref>
        </x14:dataValidation>
        <x14:dataValidation type="list" allowBlank="1" showInputMessage="1" showErrorMessage="1">
          <x14:formula1>
            <xm:f>Z_R_280!$A$11:$A$48</xm:f>
          </x14:formula1>
          <xm:sqref>A18</xm:sqref>
        </x14:dataValidation>
        <x14:dataValidation type="list" allowBlank="1" showInputMessage="1" showErrorMessage="1">
          <x14:formula1>
            <xm:f>S!$A$11:$A$51</xm:f>
          </x14:formula1>
          <xm:sqref>A8</xm:sqref>
        </x14:dataValidation>
        <x14:dataValidation type="list" allowBlank="1" showInputMessage="1" showErrorMessage="1">
          <x14:formula1>
            <xm:f>S_R_350!$A$11:$A$51</xm:f>
          </x14:formula1>
          <xm:sqref>A26</xm:sqref>
        </x14:dataValidation>
        <x14:dataValidation type="list" allowBlank="1" showErrorMessage="1">
          <x14:formula1>
            <xm:f>Z!$A$11:$A$48</xm:f>
          </x14:formula1>
          <xm:sqref>A6</xm:sqref>
        </x14:dataValidation>
        <x14:dataValidation type="list" allowBlank="1" showInputMessage="1" showErrorMessage="1">
          <x14:formula1>
            <xm:f>ZR!$A$11:$A$51</xm:f>
          </x14:formula1>
          <xm:sqref>A7</xm:sqref>
        </x14:dataValidation>
        <x14:dataValidation type="list" allowBlank="1" showInputMessage="1" showErrorMessage="1">
          <x14:formula1>
            <xm:f>ZR_R_350!$A$11:$A$51</xm:f>
          </x14:formula1>
          <xm:sqref>A23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1"/>
  <sheetViews>
    <sheetView topLeftCell="A5" zoomScale="85" zoomScaleNormal="85" workbookViewId="0">
      <selection activeCell="Z6" sqref="Z6:AG48"/>
    </sheetView>
  </sheetViews>
  <sheetFormatPr defaultColWidth="8.85546875" defaultRowHeight="15" customHeight="1" x14ac:dyDescent="0.25"/>
  <cols>
    <col min="1" max="1" width="12.7109375" style="195" customWidth="1"/>
    <col min="2" max="5" width="6.7109375" style="195" customWidth="1"/>
    <col min="6" max="6" width="8.7109375" style="195" customWidth="1"/>
    <col min="7" max="7" width="15.7109375" style="195" customWidth="1"/>
    <col min="8" max="24" width="8.7109375" style="195" customWidth="1"/>
    <col min="25" max="31" width="8.85546875" style="195"/>
    <col min="32" max="33" width="14.140625" style="195" customWidth="1"/>
    <col min="34" max="16384" width="8.85546875" style="195"/>
  </cols>
  <sheetData>
    <row r="1" spans="1:33" ht="15" customHeight="1" thickBot="1" x14ac:dyDescent="0.3"/>
    <row r="2" spans="1:33" ht="15" customHeight="1" thickBot="1" x14ac:dyDescent="0.3">
      <c r="A2" s="79" t="str">
        <f>Сводная!A6</f>
        <v>Z140x1,5</v>
      </c>
      <c r="B2" s="105" t="str">
        <f>INDEX(B11:B48,MATCH($A$2,$A$11:$A$48))</f>
        <v>140</v>
      </c>
      <c r="C2" s="105">
        <f t="shared" ref="C2:X2" si="0">INDEX(C11:C48,MATCH($A$2,$A$11:$A$48))</f>
        <v>59.5</v>
      </c>
      <c r="D2" s="105">
        <f t="shared" si="0"/>
        <v>65.5</v>
      </c>
      <c r="E2" s="105">
        <f t="shared" si="0"/>
        <v>20</v>
      </c>
      <c r="F2" s="93" t="str">
        <f t="shared" si="0"/>
        <v>Z140</v>
      </c>
      <c r="G2" s="93" t="str">
        <f t="shared" si="0"/>
        <v>140/59,5/65,5/20</v>
      </c>
      <c r="H2" s="105">
        <f t="shared" si="0"/>
        <v>1.5</v>
      </c>
      <c r="I2" s="103">
        <f>INDEX(I11:I48,MATCH($A$2,$A$11:$A$48))</f>
        <v>4.37</v>
      </c>
      <c r="J2" s="103">
        <f t="shared" si="0"/>
        <v>135.6</v>
      </c>
      <c r="K2" s="103">
        <f t="shared" si="0"/>
        <v>18.98</v>
      </c>
      <c r="L2" s="103">
        <f t="shared" si="0"/>
        <v>41.96</v>
      </c>
      <c r="M2" s="103">
        <f t="shared" si="0"/>
        <v>6.49</v>
      </c>
      <c r="N2" s="103">
        <f t="shared" si="0"/>
        <v>5.57</v>
      </c>
      <c r="O2" s="103">
        <f t="shared" si="0"/>
        <v>3.1</v>
      </c>
      <c r="P2" s="103">
        <f t="shared" si="0"/>
        <v>6.31</v>
      </c>
      <c r="Q2" s="103">
        <f t="shared" si="0"/>
        <v>6.04</v>
      </c>
      <c r="R2" s="103">
        <f t="shared" si="0"/>
        <v>6.86</v>
      </c>
      <c r="S2" s="103">
        <f t="shared" si="0"/>
        <v>7.14</v>
      </c>
      <c r="T2" s="103">
        <f t="shared" si="0"/>
        <v>3.42</v>
      </c>
      <c r="U2" s="103">
        <f>INDEX(U11:U48,MATCH($A$2,$A$11:$A$48))</f>
        <v>0</v>
      </c>
      <c r="V2" s="103">
        <f t="shared" si="0"/>
        <v>3.27E-2</v>
      </c>
      <c r="W2" s="103">
        <f t="shared" si="0"/>
        <v>6.54E-2</v>
      </c>
      <c r="X2" s="104">
        <f t="shared" si="0"/>
        <v>406.53969999999998</v>
      </c>
    </row>
    <row r="3" spans="1:33" ht="1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33" ht="15" customHeight="1" x14ac:dyDescent="0.25">
      <c r="G4" s="196"/>
    </row>
    <row r="5" spans="1:33" ht="15" customHeight="1" thickBot="1" x14ac:dyDescent="0.3"/>
    <row r="6" spans="1:33" ht="15" customHeight="1" x14ac:dyDescent="0.25">
      <c r="A6" s="361" t="s">
        <v>166</v>
      </c>
      <c r="B6" s="344" t="s">
        <v>11</v>
      </c>
      <c r="C6" s="344" t="s">
        <v>10</v>
      </c>
      <c r="D6" s="344" t="s">
        <v>12</v>
      </c>
      <c r="E6" s="367" t="s">
        <v>59</v>
      </c>
      <c r="F6" s="359" t="s">
        <v>165</v>
      </c>
      <c r="G6" s="360"/>
      <c r="H6" s="372" t="s">
        <v>167</v>
      </c>
      <c r="I6" s="377" t="s">
        <v>1</v>
      </c>
      <c r="J6" s="378"/>
      <c r="K6" s="378"/>
      <c r="L6" s="378"/>
      <c r="M6" s="378"/>
      <c r="N6" s="378"/>
      <c r="O6" s="378"/>
      <c r="P6" s="378"/>
      <c r="Q6" s="378"/>
      <c r="R6" s="378"/>
      <c r="S6" s="379"/>
      <c r="T6" s="343" t="s">
        <v>25</v>
      </c>
      <c r="U6" s="387" t="s">
        <v>26</v>
      </c>
      <c r="V6" s="375" t="s">
        <v>7</v>
      </c>
      <c r="W6" s="369" t="s">
        <v>8</v>
      </c>
      <c r="X6" s="354" t="s">
        <v>9</v>
      </c>
      <c r="Z6" s="390" t="s">
        <v>214</v>
      </c>
      <c r="AA6" s="390" t="s">
        <v>215</v>
      </c>
      <c r="AB6" s="390" t="s">
        <v>212</v>
      </c>
      <c r="AC6" s="390" t="s">
        <v>10</v>
      </c>
      <c r="AD6" s="390" t="s">
        <v>12</v>
      </c>
      <c r="AE6" s="390" t="s">
        <v>213</v>
      </c>
      <c r="AF6" s="390" t="s">
        <v>216</v>
      </c>
      <c r="AG6" s="391" t="s">
        <v>217</v>
      </c>
    </row>
    <row r="7" spans="1:33" ht="15" customHeight="1" x14ac:dyDescent="0.25">
      <c r="A7" s="348"/>
      <c r="B7" s="345"/>
      <c r="C7" s="345"/>
      <c r="D7" s="345"/>
      <c r="E7" s="368"/>
      <c r="F7" s="341" t="s">
        <v>57</v>
      </c>
      <c r="G7" s="365" t="s">
        <v>164</v>
      </c>
      <c r="H7" s="373"/>
      <c r="I7" s="364" t="s">
        <v>21</v>
      </c>
      <c r="J7" s="364" t="s">
        <v>3</v>
      </c>
      <c r="K7" s="381" t="s">
        <v>156</v>
      </c>
      <c r="L7" s="364" t="s">
        <v>3</v>
      </c>
      <c r="M7" s="381" t="s">
        <v>156</v>
      </c>
      <c r="N7" s="382" t="s">
        <v>22</v>
      </c>
      <c r="O7" s="374"/>
      <c r="P7" s="382" t="s">
        <v>5</v>
      </c>
      <c r="Q7" s="385"/>
      <c r="R7" s="385"/>
      <c r="S7" s="374"/>
      <c r="T7" s="341"/>
      <c r="U7" s="388"/>
      <c r="V7" s="376"/>
      <c r="W7" s="370"/>
      <c r="X7" s="355"/>
      <c r="Z7" s="390"/>
      <c r="AA7" s="390"/>
      <c r="AB7" s="390"/>
      <c r="AC7" s="390"/>
      <c r="AD7" s="390"/>
      <c r="AE7" s="390"/>
      <c r="AF7" s="390"/>
      <c r="AG7" s="391"/>
    </row>
    <row r="8" spans="1:33" ht="15" customHeight="1" x14ac:dyDescent="0.25">
      <c r="A8" s="348"/>
      <c r="B8" s="345"/>
      <c r="C8" s="345"/>
      <c r="D8" s="345"/>
      <c r="E8" s="368"/>
      <c r="F8" s="341"/>
      <c r="G8" s="358"/>
      <c r="H8" s="373"/>
      <c r="I8" s="380"/>
      <c r="J8" s="380"/>
      <c r="K8" s="380"/>
      <c r="L8" s="380"/>
      <c r="M8" s="380"/>
      <c r="N8" s="383"/>
      <c r="O8" s="384"/>
      <c r="P8" s="383"/>
      <c r="Q8" s="386"/>
      <c r="R8" s="386"/>
      <c r="S8" s="384"/>
      <c r="T8" s="341"/>
      <c r="U8" s="388"/>
      <c r="V8" s="376"/>
      <c r="W8" s="370"/>
      <c r="X8" s="355"/>
      <c r="Z8" s="390"/>
      <c r="AA8" s="390"/>
      <c r="AB8" s="390"/>
      <c r="AC8" s="390"/>
      <c r="AD8" s="390"/>
      <c r="AE8" s="390"/>
      <c r="AF8" s="390"/>
      <c r="AG8" s="391"/>
    </row>
    <row r="9" spans="1:33" ht="15" customHeight="1" x14ac:dyDescent="0.25">
      <c r="A9" s="348"/>
      <c r="B9" s="345"/>
      <c r="C9" s="345"/>
      <c r="D9" s="345"/>
      <c r="E9" s="368"/>
      <c r="F9" s="341"/>
      <c r="G9" s="358"/>
      <c r="H9" s="373"/>
      <c r="I9" s="169" t="s">
        <v>172</v>
      </c>
      <c r="J9" s="169" t="s">
        <v>174</v>
      </c>
      <c r="K9" s="169" t="s">
        <v>175</v>
      </c>
      <c r="L9" s="169" t="s">
        <v>178</v>
      </c>
      <c r="M9" s="169" t="s">
        <v>179</v>
      </c>
      <c r="N9" s="169" t="s">
        <v>176</v>
      </c>
      <c r="O9" s="169" t="s">
        <v>180</v>
      </c>
      <c r="P9" s="169" t="s">
        <v>181</v>
      </c>
      <c r="Q9" s="169" t="s">
        <v>185</v>
      </c>
      <c r="R9" s="169" t="s">
        <v>177</v>
      </c>
      <c r="S9" s="169" t="s">
        <v>186</v>
      </c>
      <c r="T9" s="341"/>
      <c r="U9" s="388"/>
      <c r="V9" s="376"/>
      <c r="W9" s="370"/>
      <c r="X9" s="355"/>
      <c r="Z9" s="390"/>
      <c r="AA9" s="390"/>
      <c r="AB9" s="390"/>
      <c r="AC9" s="390"/>
      <c r="AD9" s="390"/>
      <c r="AE9" s="390"/>
      <c r="AF9" s="390"/>
      <c r="AG9" s="391"/>
    </row>
    <row r="10" spans="1:33" ht="15" customHeight="1" thickBot="1" x14ac:dyDescent="0.3">
      <c r="A10" s="362"/>
      <c r="B10" s="363"/>
      <c r="C10" s="363"/>
      <c r="D10" s="363"/>
      <c r="E10" s="368"/>
      <c r="F10" s="364"/>
      <c r="G10" s="366"/>
      <c r="H10" s="374"/>
      <c r="I10" s="174" t="s">
        <v>182</v>
      </c>
      <c r="J10" s="174" t="s">
        <v>183</v>
      </c>
      <c r="K10" s="174" t="s">
        <v>184</v>
      </c>
      <c r="L10" s="174" t="s">
        <v>183</v>
      </c>
      <c r="M10" s="174" t="s">
        <v>184</v>
      </c>
      <c r="N10" s="174" t="s">
        <v>6</v>
      </c>
      <c r="O10" s="174" t="s">
        <v>6</v>
      </c>
      <c r="P10" s="174" t="s">
        <v>6</v>
      </c>
      <c r="Q10" s="174" t="s">
        <v>6</v>
      </c>
      <c r="R10" s="174" t="s">
        <v>6</v>
      </c>
      <c r="S10" s="174" t="s">
        <v>6</v>
      </c>
      <c r="T10" s="364"/>
      <c r="U10" s="389"/>
      <c r="V10" s="376"/>
      <c r="W10" s="370"/>
      <c r="X10" s="371"/>
      <c r="Z10" s="390"/>
      <c r="AA10" s="390"/>
      <c r="AB10" s="390"/>
      <c r="AC10" s="390"/>
      <c r="AD10" s="390"/>
      <c r="AE10" s="390"/>
      <c r="AF10" s="390"/>
      <c r="AG10" s="391"/>
    </row>
    <row r="11" spans="1:33" ht="15" customHeight="1" x14ac:dyDescent="0.25">
      <c r="A11" s="71" t="str">
        <f t="shared" ref="A11:A16" si="1">CONCATENATE(F11,"x",(IF(H11=INT(H11),CONCATENATE(H11,",",0),H11)))</f>
        <v>Z140x1,0</v>
      </c>
      <c r="B11" s="1" t="str">
        <f>LEFT(G11,3)</f>
        <v>140</v>
      </c>
      <c r="C11" s="1">
        <f t="shared" ref="C11:C16" si="2">VALUE(MID(G11,(SEARCH("/",G11,1)+1),(SEARCH("/",G11,(SEARCH("/",G11,1)+1))-SEARCH("/",G11,1)-1)))</f>
        <v>59.5</v>
      </c>
      <c r="D11" s="1">
        <f t="shared" ref="D11:D16" si="3">VALUE(MID(G11,(SEARCH("/",G11,(SEARCH("/",G11,1)+1))+1),(SEARCH("/",G11,SEARCH("/",G11,(SEARCH("/",G11,1)+1))+1))-(SEARCH("/",G11,(SEARCH("/",G11,1)+1))+1)))</f>
        <v>65.5</v>
      </c>
      <c r="E11" s="1">
        <f t="shared" ref="E11:E16" si="4">VALUE(MID(G11,(SEARCH("/",G11,SEARCH("/",G11,(SEARCH("/",G11,1)+1))+1)+1),4))</f>
        <v>20</v>
      </c>
      <c r="F11" s="2" t="str">
        <f>CONCATENATE("Z",LEFT(G11,3))</f>
        <v>Z140</v>
      </c>
      <c r="G11" s="159" t="s">
        <v>27</v>
      </c>
      <c r="H11" s="160">
        <v>1</v>
      </c>
      <c r="I11" s="175">
        <v>2.94</v>
      </c>
      <c r="J11" s="175">
        <v>91.97</v>
      </c>
      <c r="K11" s="175">
        <v>12.87</v>
      </c>
      <c r="L11" s="175">
        <v>28.83</v>
      </c>
      <c r="M11" s="175">
        <v>4.55</v>
      </c>
      <c r="N11" s="175">
        <v>5.6</v>
      </c>
      <c r="O11" s="175">
        <v>3.13</v>
      </c>
      <c r="P11" s="175">
        <v>6.33</v>
      </c>
      <c r="Q11" s="175">
        <v>6.07</v>
      </c>
      <c r="R11" s="175">
        <v>6.86</v>
      </c>
      <c r="S11" s="175">
        <v>7.14</v>
      </c>
      <c r="T11" s="161">
        <v>2.38</v>
      </c>
      <c r="U11" s="267"/>
      <c r="V11" s="176"/>
      <c r="W11" s="177"/>
      <c r="X11" s="178"/>
      <c r="Z11" s="244">
        <f>2*PI()*4</f>
        <v>25.132741228718345</v>
      </c>
      <c r="AA11" s="244">
        <f>2*PI()*(4+H11)</f>
        <v>31.415926535897931</v>
      </c>
      <c r="AB11" s="335">
        <f>B11-2*(4+$H11)</f>
        <v>130</v>
      </c>
      <c r="AC11" s="335">
        <f>C11-2*(4+$H11)</f>
        <v>49.5</v>
      </c>
      <c r="AD11" s="335">
        <f>D11-2*(4+$H11)</f>
        <v>55.5</v>
      </c>
      <c r="AE11" s="335">
        <f>E11-(4+$H11)</f>
        <v>15</v>
      </c>
      <c r="AF11" s="195">
        <f>(Z11+AA11+2*(AB11+AC11+AD11+2*AE11))/10</f>
        <v>58.654866776461631</v>
      </c>
      <c r="AG11" s="336">
        <f>I11/AF11*10</f>
        <v>0.50123717972194437</v>
      </c>
    </row>
    <row r="12" spans="1:33" ht="15.6" customHeight="1" x14ac:dyDescent="0.25">
      <c r="A12" s="72" t="str">
        <f t="shared" si="1"/>
        <v>Z140x1,2</v>
      </c>
      <c r="B12" s="3" t="str">
        <f>LEFT(G12,3)</f>
        <v>140</v>
      </c>
      <c r="C12" s="3">
        <f t="shared" si="2"/>
        <v>59.5</v>
      </c>
      <c r="D12" s="3">
        <f t="shared" si="3"/>
        <v>65.5</v>
      </c>
      <c r="E12" s="3">
        <f t="shared" si="4"/>
        <v>20</v>
      </c>
      <c r="F12" s="4" t="str">
        <f>CONCATENATE("Z",LEFT(G12,3))</f>
        <v>Z140</v>
      </c>
      <c r="G12" s="155" t="s">
        <v>27</v>
      </c>
      <c r="H12" s="164">
        <v>1.2</v>
      </c>
      <c r="I12" s="179">
        <v>3.51</v>
      </c>
      <c r="J12" s="179">
        <v>109.61</v>
      </c>
      <c r="K12" s="179">
        <v>15.34</v>
      </c>
      <c r="L12" s="179">
        <v>34.18</v>
      </c>
      <c r="M12" s="179">
        <v>5.41</v>
      </c>
      <c r="N12" s="179">
        <v>5.59</v>
      </c>
      <c r="O12" s="179">
        <v>3.12</v>
      </c>
      <c r="P12" s="179">
        <v>6.32</v>
      </c>
      <c r="Q12" s="179">
        <v>6.06</v>
      </c>
      <c r="R12" s="179">
        <v>6.86</v>
      </c>
      <c r="S12" s="179">
        <v>7.14</v>
      </c>
      <c r="T12" s="165">
        <v>2.83</v>
      </c>
      <c r="U12" s="268"/>
      <c r="V12" s="180"/>
      <c r="W12" s="181"/>
      <c r="X12" s="182"/>
      <c r="Z12" s="244">
        <f t="shared" ref="Z12:Z48" si="5">2*PI()*4</f>
        <v>25.132741228718345</v>
      </c>
      <c r="AA12" s="244">
        <f t="shared" ref="AA12:AA48" si="6">2*PI()*(4+H12)</f>
        <v>32.672563597333848</v>
      </c>
      <c r="AB12" s="335">
        <f t="shared" ref="AB12:AB48" si="7">B12-2*(4+$H12)</f>
        <v>129.6</v>
      </c>
      <c r="AC12" s="335">
        <f t="shared" ref="AC12:AD26" si="8">C12-2*(4+$H12)</f>
        <v>49.1</v>
      </c>
      <c r="AD12" s="335">
        <f t="shared" si="8"/>
        <v>55.1</v>
      </c>
      <c r="AE12" s="335">
        <f t="shared" ref="AE12:AE48" si="9">E12-(4+$H12)</f>
        <v>14.8</v>
      </c>
      <c r="AF12" s="195">
        <f t="shared" ref="AF12:AF48" si="10">(Z12+AA12+2*(AB12+AC12+AD12+2*AE12))/10</f>
        <v>58.460530482605215</v>
      </c>
      <c r="AG12" s="336">
        <f t="shared" ref="AG12:AG48" si="11">I12/AF12*10</f>
        <v>0.60040508887349076</v>
      </c>
    </row>
    <row r="13" spans="1:33" ht="15" customHeight="1" x14ac:dyDescent="0.25">
      <c r="A13" s="72" t="str">
        <f t="shared" si="1"/>
        <v>Z140x1,5</v>
      </c>
      <c r="B13" s="3" t="str">
        <f>LEFT(G13,3)</f>
        <v>140</v>
      </c>
      <c r="C13" s="3">
        <f t="shared" si="2"/>
        <v>59.5</v>
      </c>
      <c r="D13" s="3">
        <f t="shared" si="3"/>
        <v>65.5</v>
      </c>
      <c r="E13" s="3">
        <f t="shared" si="4"/>
        <v>20</v>
      </c>
      <c r="F13" s="4" t="str">
        <f>CONCATENATE("Z",LEFT(G13,3))</f>
        <v>Z140</v>
      </c>
      <c r="G13" s="81" t="s">
        <v>27</v>
      </c>
      <c r="H13" s="117">
        <v>1.5</v>
      </c>
      <c r="I13" s="112">
        <v>4.37</v>
      </c>
      <c r="J13" s="112">
        <v>135.6</v>
      </c>
      <c r="K13" s="112">
        <v>18.98</v>
      </c>
      <c r="L13" s="112">
        <v>41.96</v>
      </c>
      <c r="M13" s="112">
        <v>6.49</v>
      </c>
      <c r="N13" s="112">
        <v>5.57</v>
      </c>
      <c r="O13" s="112">
        <v>3.1</v>
      </c>
      <c r="P13" s="96">
        <v>6.31</v>
      </c>
      <c r="Q13" s="96">
        <v>6.04</v>
      </c>
      <c r="R13" s="96">
        <v>6.86</v>
      </c>
      <c r="S13" s="96">
        <v>7.14</v>
      </c>
      <c r="T13" s="112">
        <v>3.42</v>
      </c>
      <c r="U13" s="269"/>
      <c r="V13" s="307">
        <v>3.27E-2</v>
      </c>
      <c r="W13" s="265">
        <v>6.54E-2</v>
      </c>
      <c r="X13" s="308">
        <v>406.53969999999998</v>
      </c>
      <c r="Z13" s="244">
        <f t="shared" si="5"/>
        <v>25.132741228718345</v>
      </c>
      <c r="AA13" s="244">
        <f t="shared" si="6"/>
        <v>34.557519189487721</v>
      </c>
      <c r="AB13" s="335">
        <f t="shared" si="7"/>
        <v>129</v>
      </c>
      <c r="AC13" s="335">
        <f t="shared" si="8"/>
        <v>48.5</v>
      </c>
      <c r="AD13" s="335">
        <f t="shared" si="8"/>
        <v>54.5</v>
      </c>
      <c r="AE13" s="335">
        <f t="shared" si="9"/>
        <v>14.5</v>
      </c>
      <c r="AF13" s="195">
        <f t="shared" si="10"/>
        <v>58.169026041820608</v>
      </c>
      <c r="AG13" s="336">
        <f t="shared" si="11"/>
        <v>0.75125892547318729</v>
      </c>
    </row>
    <row r="14" spans="1:33" ht="15" customHeight="1" x14ac:dyDescent="0.25">
      <c r="A14" s="72" t="str">
        <f t="shared" si="1"/>
        <v>Z140x2,0</v>
      </c>
      <c r="B14" s="3" t="str">
        <f t="shared" ref="B14:B48" si="12">LEFT(G14,3)</f>
        <v>140</v>
      </c>
      <c r="C14" s="3">
        <f t="shared" si="2"/>
        <v>59.5</v>
      </c>
      <c r="D14" s="3">
        <f t="shared" si="3"/>
        <v>65.5</v>
      </c>
      <c r="E14" s="3">
        <f t="shared" si="4"/>
        <v>20.5</v>
      </c>
      <c r="F14" s="4" t="str">
        <f t="shared" ref="F14:F31" si="13">CONCATENATE("Z",LEFT(G14,3))</f>
        <v>Z140</v>
      </c>
      <c r="G14" s="81" t="s">
        <v>28</v>
      </c>
      <c r="H14" s="121">
        <v>2</v>
      </c>
      <c r="I14" s="112">
        <v>5.79</v>
      </c>
      <c r="J14" s="112">
        <v>178.2</v>
      </c>
      <c r="K14" s="112">
        <v>24.94</v>
      </c>
      <c r="L14" s="112">
        <v>55</v>
      </c>
      <c r="M14" s="112">
        <v>8.48</v>
      </c>
      <c r="N14" s="112">
        <v>5.54</v>
      </c>
      <c r="O14" s="112">
        <v>3.08</v>
      </c>
      <c r="P14" s="96">
        <v>6.28</v>
      </c>
      <c r="Q14" s="96">
        <v>6.02</v>
      </c>
      <c r="R14" s="96">
        <v>6.86</v>
      </c>
      <c r="S14" s="96">
        <v>7.14</v>
      </c>
      <c r="T14" s="112">
        <v>4.54</v>
      </c>
      <c r="U14" s="269"/>
      <c r="V14" s="307">
        <v>7.7100000000000002E-2</v>
      </c>
      <c r="W14" s="265">
        <v>0.1542</v>
      </c>
      <c r="X14" s="308">
        <v>534.49210000000005</v>
      </c>
      <c r="Z14" s="244">
        <f t="shared" si="5"/>
        <v>25.132741228718345</v>
      </c>
      <c r="AA14" s="244">
        <f t="shared" si="6"/>
        <v>37.699111843077517</v>
      </c>
      <c r="AB14" s="335">
        <f t="shared" si="7"/>
        <v>128</v>
      </c>
      <c r="AC14" s="335">
        <f t="shared" si="8"/>
        <v>47.5</v>
      </c>
      <c r="AD14" s="335">
        <f t="shared" si="8"/>
        <v>53.5</v>
      </c>
      <c r="AE14" s="335">
        <f t="shared" si="9"/>
        <v>14.5</v>
      </c>
      <c r="AF14" s="195">
        <f t="shared" si="10"/>
        <v>57.883185307179588</v>
      </c>
      <c r="AG14" s="336">
        <f t="shared" si="11"/>
        <v>1.0002904935644295</v>
      </c>
    </row>
    <row r="15" spans="1:33" ht="15" customHeight="1" x14ac:dyDescent="0.25">
      <c r="A15" s="72" t="str">
        <f t="shared" si="1"/>
        <v>Z140x2,5</v>
      </c>
      <c r="B15" s="3" t="str">
        <f t="shared" si="12"/>
        <v>140</v>
      </c>
      <c r="C15" s="3">
        <f t="shared" si="2"/>
        <v>59.5</v>
      </c>
      <c r="D15" s="3">
        <f t="shared" si="3"/>
        <v>65.5</v>
      </c>
      <c r="E15" s="3">
        <f t="shared" si="4"/>
        <v>21</v>
      </c>
      <c r="F15" s="4" t="str">
        <f t="shared" si="13"/>
        <v>Z140</v>
      </c>
      <c r="G15" s="81" t="s">
        <v>29</v>
      </c>
      <c r="H15" s="117">
        <v>2.5</v>
      </c>
      <c r="I15" s="112">
        <v>7.2</v>
      </c>
      <c r="J15" s="112">
        <v>219.52</v>
      </c>
      <c r="K15" s="112">
        <v>30.73</v>
      </c>
      <c r="L15" s="112">
        <v>67.59</v>
      </c>
      <c r="M15" s="112">
        <v>10.38</v>
      </c>
      <c r="N15" s="112">
        <v>5.52</v>
      </c>
      <c r="O15" s="112">
        <v>3.06</v>
      </c>
      <c r="P15" s="96">
        <v>6.26</v>
      </c>
      <c r="Q15" s="96">
        <v>5.99</v>
      </c>
      <c r="R15" s="96">
        <v>6.86</v>
      </c>
      <c r="S15" s="96">
        <v>7.14</v>
      </c>
      <c r="T15" s="112">
        <v>5.65</v>
      </c>
      <c r="U15" s="269"/>
      <c r="V15" s="307">
        <v>0.14979999999999999</v>
      </c>
      <c r="W15" s="265">
        <v>0.29959999999999998</v>
      </c>
      <c r="X15" s="308">
        <v>658.7509</v>
      </c>
      <c r="Z15" s="244">
        <f t="shared" si="5"/>
        <v>25.132741228718345</v>
      </c>
      <c r="AA15" s="244">
        <f t="shared" si="6"/>
        <v>40.840704496667314</v>
      </c>
      <c r="AB15" s="335">
        <f t="shared" si="7"/>
        <v>127</v>
      </c>
      <c r="AC15" s="335">
        <f t="shared" si="8"/>
        <v>46.5</v>
      </c>
      <c r="AD15" s="335">
        <f t="shared" si="8"/>
        <v>52.5</v>
      </c>
      <c r="AE15" s="335">
        <f t="shared" si="9"/>
        <v>14.5</v>
      </c>
      <c r="AF15" s="195">
        <f t="shared" si="10"/>
        <v>57.597344572538567</v>
      </c>
      <c r="AG15" s="336">
        <f t="shared" si="11"/>
        <v>1.2500576291207768</v>
      </c>
    </row>
    <row r="16" spans="1:33" ht="15" customHeight="1" thickBot="1" x14ac:dyDescent="0.3">
      <c r="A16" s="73" t="str">
        <f t="shared" si="1"/>
        <v>Z140x3,0</v>
      </c>
      <c r="B16" s="5" t="str">
        <f t="shared" si="12"/>
        <v>140</v>
      </c>
      <c r="C16" s="5">
        <f t="shared" si="2"/>
        <v>59.5</v>
      </c>
      <c r="D16" s="5">
        <f t="shared" si="3"/>
        <v>65.5</v>
      </c>
      <c r="E16" s="5">
        <f t="shared" si="4"/>
        <v>22</v>
      </c>
      <c r="F16" s="6" t="str">
        <f t="shared" si="13"/>
        <v>Z140</v>
      </c>
      <c r="G16" s="82" t="s">
        <v>30</v>
      </c>
      <c r="H16" s="118">
        <v>3</v>
      </c>
      <c r="I16" s="113">
        <v>8.6300000000000008</v>
      </c>
      <c r="J16" s="113">
        <v>260.29000000000002</v>
      </c>
      <c r="K16" s="113">
        <v>36.44</v>
      </c>
      <c r="L16" s="113">
        <v>80.790000000000006</v>
      </c>
      <c r="M16" s="113">
        <v>12.36</v>
      </c>
      <c r="N16" s="113">
        <v>5.49</v>
      </c>
      <c r="O16" s="113">
        <v>3.06</v>
      </c>
      <c r="P16" s="98">
        <v>6.23</v>
      </c>
      <c r="Q16" s="98">
        <v>5.97</v>
      </c>
      <c r="R16" s="98">
        <v>6.86</v>
      </c>
      <c r="S16" s="98">
        <v>7.14</v>
      </c>
      <c r="T16" s="113">
        <v>6.77</v>
      </c>
      <c r="U16" s="270"/>
      <c r="V16" s="309">
        <v>0.25840000000000002</v>
      </c>
      <c r="W16" s="310">
        <v>0.51690000000000003</v>
      </c>
      <c r="X16" s="311">
        <v>783.76170000000002</v>
      </c>
      <c r="Z16" s="244">
        <f t="shared" si="5"/>
        <v>25.132741228718345</v>
      </c>
      <c r="AA16" s="244">
        <f t="shared" si="6"/>
        <v>43.982297150257104</v>
      </c>
      <c r="AB16" s="335">
        <f t="shared" si="7"/>
        <v>126</v>
      </c>
      <c r="AC16" s="335">
        <f t="shared" si="8"/>
        <v>45.5</v>
      </c>
      <c r="AD16" s="335">
        <f t="shared" si="8"/>
        <v>51.5</v>
      </c>
      <c r="AE16" s="335">
        <f t="shared" si="9"/>
        <v>15</v>
      </c>
      <c r="AF16" s="195">
        <f t="shared" si="10"/>
        <v>57.511503837897543</v>
      </c>
      <c r="AG16" s="336">
        <f t="shared" si="11"/>
        <v>1.5005693511900853</v>
      </c>
    </row>
    <row r="17" spans="1:33" ht="15" customHeight="1" x14ac:dyDescent="0.25">
      <c r="A17" s="71" t="str">
        <f t="shared" ref="A17:A18" si="14">CONCATENATE(F17,"x",(IF(H17=INT(H17),CONCATENATE(H17,",",0),H17)))</f>
        <v>Z160x1,0</v>
      </c>
      <c r="B17" s="1" t="str">
        <f t="shared" ref="B17:B18" si="15">LEFT(G17,3)</f>
        <v>160</v>
      </c>
      <c r="C17" s="1">
        <f t="shared" ref="C17:C18" si="16">VALUE(MID(G17,(SEARCH("/",G17,1)+1),(SEARCH("/",G17,(SEARCH("/",G17,1)+1))-SEARCH("/",G17,1)-1)))</f>
        <v>59.5</v>
      </c>
      <c r="D17" s="1">
        <f t="shared" ref="D17:D18" si="17">VALUE(MID(G17,(SEARCH("/",G17,(SEARCH("/",G17,1)+1))+1),(SEARCH("/",G17,SEARCH("/",G17,(SEARCH("/",G17,1)+1))+1))-(SEARCH("/",G17,(SEARCH("/",G17,1)+1))+1)))</f>
        <v>65.5</v>
      </c>
      <c r="E17" s="1">
        <f t="shared" ref="E17:E18" si="18">VALUE(MID(G17,(SEARCH("/",G17,SEARCH("/",G17,(SEARCH("/",G17,1)+1))+1)+1),4))</f>
        <v>20</v>
      </c>
      <c r="F17" s="2" t="str">
        <f t="shared" ref="F17:F18" si="19">CONCATENATE("Z",LEFT(G17,3))</f>
        <v>Z160</v>
      </c>
      <c r="G17" s="80" t="s">
        <v>31</v>
      </c>
      <c r="H17" s="116">
        <v>1</v>
      </c>
      <c r="I17" s="111">
        <v>3.14</v>
      </c>
      <c r="J17" s="111">
        <v>125.29</v>
      </c>
      <c r="K17" s="111">
        <v>15.36</v>
      </c>
      <c r="L17" s="111">
        <v>28.83</v>
      </c>
      <c r="M17" s="111">
        <v>4.55</v>
      </c>
      <c r="N17" s="111">
        <v>6.32</v>
      </c>
      <c r="O17" s="111">
        <v>3.03</v>
      </c>
      <c r="P17" s="94">
        <v>6.34</v>
      </c>
      <c r="Q17" s="94">
        <v>6.06</v>
      </c>
      <c r="R17" s="94">
        <v>7.85</v>
      </c>
      <c r="S17" s="94">
        <v>8.15</v>
      </c>
      <c r="T17" s="111">
        <v>2.54</v>
      </c>
      <c r="U17" s="276"/>
      <c r="V17" s="321"/>
      <c r="W17" s="322"/>
      <c r="X17" s="323"/>
      <c r="Z17" s="244">
        <f t="shared" si="5"/>
        <v>25.132741228718345</v>
      </c>
      <c r="AA17" s="244">
        <f t="shared" si="6"/>
        <v>31.415926535897931</v>
      </c>
      <c r="AB17" s="335">
        <f t="shared" si="7"/>
        <v>150</v>
      </c>
      <c r="AC17" s="335">
        <f t="shared" si="8"/>
        <v>49.5</v>
      </c>
      <c r="AD17" s="335">
        <f t="shared" si="8"/>
        <v>55.5</v>
      </c>
      <c r="AE17" s="335">
        <f t="shared" si="9"/>
        <v>15</v>
      </c>
      <c r="AF17" s="195">
        <f t="shared" si="10"/>
        <v>62.654866776461631</v>
      </c>
      <c r="AG17" s="336">
        <f t="shared" si="11"/>
        <v>0.50115819593118105</v>
      </c>
    </row>
    <row r="18" spans="1:33" ht="15" customHeight="1" x14ac:dyDescent="0.25">
      <c r="A18" s="72" t="str">
        <f t="shared" si="14"/>
        <v>Z160x1,2</v>
      </c>
      <c r="B18" s="3" t="str">
        <f t="shared" si="15"/>
        <v>160</v>
      </c>
      <c r="C18" s="3">
        <f t="shared" si="16"/>
        <v>59.5</v>
      </c>
      <c r="D18" s="3">
        <f t="shared" si="17"/>
        <v>65.5</v>
      </c>
      <c r="E18" s="3">
        <f t="shared" si="18"/>
        <v>20</v>
      </c>
      <c r="F18" s="4" t="str">
        <f t="shared" si="19"/>
        <v>Z160</v>
      </c>
      <c r="G18" s="81" t="s">
        <v>31</v>
      </c>
      <c r="H18" s="117">
        <v>1.2</v>
      </c>
      <c r="I18" s="112">
        <v>3.75</v>
      </c>
      <c r="J18" s="112">
        <v>149.38999999999999</v>
      </c>
      <c r="K18" s="112">
        <v>18.32</v>
      </c>
      <c r="L18" s="112">
        <v>34.19</v>
      </c>
      <c r="M18" s="112">
        <v>5.4</v>
      </c>
      <c r="N18" s="112">
        <v>6.31</v>
      </c>
      <c r="O18" s="112">
        <v>3.02</v>
      </c>
      <c r="P18" s="96">
        <v>6.33</v>
      </c>
      <c r="Q18" s="96">
        <v>6.05</v>
      </c>
      <c r="R18" s="96">
        <v>7.85</v>
      </c>
      <c r="S18" s="96">
        <v>8.15</v>
      </c>
      <c r="T18" s="112">
        <v>3.02</v>
      </c>
      <c r="U18" s="269"/>
      <c r="V18" s="324"/>
      <c r="W18" s="325"/>
      <c r="X18" s="326"/>
      <c r="Z18" s="244">
        <f t="shared" si="5"/>
        <v>25.132741228718345</v>
      </c>
      <c r="AA18" s="244">
        <f t="shared" si="6"/>
        <v>32.672563597333848</v>
      </c>
      <c r="AB18" s="335">
        <f t="shared" si="7"/>
        <v>149.6</v>
      </c>
      <c r="AC18" s="335">
        <f t="shared" si="8"/>
        <v>49.1</v>
      </c>
      <c r="AD18" s="335">
        <f t="shared" si="8"/>
        <v>55.1</v>
      </c>
      <c r="AE18" s="335">
        <f t="shared" si="9"/>
        <v>14.8</v>
      </c>
      <c r="AF18" s="195">
        <f t="shared" si="10"/>
        <v>62.460530482605215</v>
      </c>
      <c r="AG18" s="336">
        <f t="shared" si="11"/>
        <v>0.6003791468028512</v>
      </c>
    </row>
    <row r="19" spans="1:33" ht="15" customHeight="1" x14ac:dyDescent="0.25">
      <c r="A19" s="72" t="str">
        <f t="shared" ref="A19:A48" si="20">CONCATENATE(F19,"x",(IF(H19=INT(H19),CONCATENATE(H19,",",0),H19)))</f>
        <v>Z160x1,5</v>
      </c>
      <c r="B19" s="3" t="str">
        <f t="shared" si="12"/>
        <v>160</v>
      </c>
      <c r="C19" s="3">
        <f t="shared" ref="C19:C48" si="21">VALUE(MID(G19,(SEARCH("/",G19,1)+1),(SEARCH("/",G19,(SEARCH("/",G19,1)+1))-SEARCH("/",G19,1)-1)))</f>
        <v>59.5</v>
      </c>
      <c r="D19" s="3">
        <f t="shared" ref="D19:D48" si="22">VALUE(MID(G19,(SEARCH("/",G19,(SEARCH("/",G19,1)+1))+1),(SEARCH("/",G19,SEARCH("/",G19,(SEARCH("/",G19,1)+1))+1))-(SEARCH("/",G19,(SEARCH("/",G19,1)+1))+1)))</f>
        <v>65.5</v>
      </c>
      <c r="E19" s="3">
        <f t="shared" ref="E19:E48" si="23">VALUE(MID(G19,(SEARCH("/",G19,SEARCH("/",G19,(SEARCH("/",G19,1)+1))+1)+1),4))</f>
        <v>20</v>
      </c>
      <c r="F19" s="4" t="str">
        <f t="shared" si="13"/>
        <v>Z160</v>
      </c>
      <c r="G19" s="81" t="s">
        <v>31</v>
      </c>
      <c r="H19" s="117">
        <v>1.5</v>
      </c>
      <c r="I19" s="112">
        <v>4.67</v>
      </c>
      <c r="J19" s="112">
        <v>184.96</v>
      </c>
      <c r="K19" s="112">
        <v>22.68</v>
      </c>
      <c r="L19" s="112">
        <v>41.97</v>
      </c>
      <c r="M19" s="112">
        <v>6.48</v>
      </c>
      <c r="N19" s="112">
        <v>6.29</v>
      </c>
      <c r="O19" s="112">
        <v>3</v>
      </c>
      <c r="P19" s="96">
        <v>6.32</v>
      </c>
      <c r="Q19" s="96">
        <v>6.03</v>
      </c>
      <c r="R19" s="96">
        <v>7.85</v>
      </c>
      <c r="S19" s="96">
        <v>8.15</v>
      </c>
      <c r="T19" s="112">
        <v>3.66</v>
      </c>
      <c r="U19" s="269"/>
      <c r="V19" s="307">
        <v>3.49E-2</v>
      </c>
      <c r="W19" s="265">
        <v>6.9900000000000004E-2</v>
      </c>
      <c r="X19" s="308">
        <v>427.60419999999999</v>
      </c>
      <c r="Z19" s="244">
        <f t="shared" si="5"/>
        <v>25.132741228718345</v>
      </c>
      <c r="AA19" s="244">
        <f t="shared" si="6"/>
        <v>34.557519189487721</v>
      </c>
      <c r="AB19" s="335">
        <f t="shared" si="7"/>
        <v>149</v>
      </c>
      <c r="AC19" s="335">
        <f t="shared" si="8"/>
        <v>48.5</v>
      </c>
      <c r="AD19" s="335">
        <f t="shared" si="8"/>
        <v>54.5</v>
      </c>
      <c r="AE19" s="335">
        <f t="shared" si="9"/>
        <v>14.5</v>
      </c>
      <c r="AF19" s="195">
        <f t="shared" si="10"/>
        <v>62.169026041820608</v>
      </c>
      <c r="AG19" s="336">
        <f t="shared" si="11"/>
        <v>0.75117792529973504</v>
      </c>
    </row>
    <row r="20" spans="1:33" ht="15" customHeight="1" x14ac:dyDescent="0.25">
      <c r="A20" s="72" t="str">
        <f t="shared" si="20"/>
        <v>Z160x2,0</v>
      </c>
      <c r="B20" s="3" t="str">
        <f t="shared" si="12"/>
        <v>160</v>
      </c>
      <c r="C20" s="3">
        <f t="shared" si="21"/>
        <v>59.5</v>
      </c>
      <c r="D20" s="3">
        <f t="shared" si="22"/>
        <v>65.5</v>
      </c>
      <c r="E20" s="3">
        <f t="shared" si="23"/>
        <v>20.5</v>
      </c>
      <c r="F20" s="4" t="str">
        <f t="shared" si="13"/>
        <v>Z160</v>
      </c>
      <c r="G20" s="81" t="s">
        <v>32</v>
      </c>
      <c r="H20" s="117">
        <v>2</v>
      </c>
      <c r="I20" s="112">
        <v>6.19</v>
      </c>
      <c r="J20" s="112">
        <v>243.39</v>
      </c>
      <c r="K20" s="112">
        <v>29.85</v>
      </c>
      <c r="L20" s="112">
        <v>55.01</v>
      </c>
      <c r="M20" s="112">
        <v>8.4700000000000006</v>
      </c>
      <c r="N20" s="112">
        <v>6.27</v>
      </c>
      <c r="O20" s="112">
        <v>2.98</v>
      </c>
      <c r="P20" s="96">
        <v>6.29</v>
      </c>
      <c r="Q20" s="96">
        <v>6.01</v>
      </c>
      <c r="R20" s="96">
        <v>7.85</v>
      </c>
      <c r="S20" s="96">
        <v>8.15</v>
      </c>
      <c r="T20" s="112">
        <v>4.8600000000000003</v>
      </c>
      <c r="U20" s="269"/>
      <c r="V20" s="307">
        <v>8.2400000000000001E-2</v>
      </c>
      <c r="W20" s="265">
        <v>0.1648</v>
      </c>
      <c r="X20" s="308">
        <v>562.34280000000001</v>
      </c>
      <c r="Z20" s="244">
        <f t="shared" si="5"/>
        <v>25.132741228718345</v>
      </c>
      <c r="AA20" s="244">
        <f t="shared" si="6"/>
        <v>37.699111843077517</v>
      </c>
      <c r="AB20" s="335">
        <f t="shared" si="7"/>
        <v>148</v>
      </c>
      <c r="AC20" s="335">
        <f t="shared" si="8"/>
        <v>47.5</v>
      </c>
      <c r="AD20" s="335">
        <f t="shared" si="8"/>
        <v>53.5</v>
      </c>
      <c r="AE20" s="335">
        <f t="shared" si="9"/>
        <v>14.5</v>
      </c>
      <c r="AF20" s="195">
        <f t="shared" si="10"/>
        <v>61.883185307179588</v>
      </c>
      <c r="AG20" s="336">
        <f t="shared" si="11"/>
        <v>1.000271716666441</v>
      </c>
    </row>
    <row r="21" spans="1:33" ht="15" customHeight="1" x14ac:dyDescent="0.25">
      <c r="A21" s="72" t="str">
        <f t="shared" si="20"/>
        <v>Z160x2,5</v>
      </c>
      <c r="B21" s="3" t="str">
        <f t="shared" si="12"/>
        <v>160</v>
      </c>
      <c r="C21" s="3">
        <f t="shared" si="21"/>
        <v>59.5</v>
      </c>
      <c r="D21" s="3">
        <f t="shared" si="22"/>
        <v>65.5</v>
      </c>
      <c r="E21" s="3">
        <f t="shared" si="23"/>
        <v>21</v>
      </c>
      <c r="F21" s="4" t="str">
        <f t="shared" si="13"/>
        <v>Z160</v>
      </c>
      <c r="G21" s="81" t="s">
        <v>33</v>
      </c>
      <c r="H21" s="117">
        <v>2.5</v>
      </c>
      <c r="I21" s="112">
        <v>7.7</v>
      </c>
      <c r="J21" s="112">
        <v>300.24</v>
      </c>
      <c r="K21" s="112">
        <v>36.82</v>
      </c>
      <c r="L21" s="112">
        <v>67.599999999999994</v>
      </c>
      <c r="M21" s="112">
        <v>10.36</v>
      </c>
      <c r="N21" s="112">
        <v>6.24</v>
      </c>
      <c r="O21" s="112">
        <v>2.96</v>
      </c>
      <c r="P21" s="96">
        <v>6.27</v>
      </c>
      <c r="Q21" s="96">
        <v>5.98</v>
      </c>
      <c r="R21" s="96">
        <v>7.85</v>
      </c>
      <c r="S21" s="96">
        <v>8.15</v>
      </c>
      <c r="T21" s="112">
        <v>6.04</v>
      </c>
      <c r="U21" s="269"/>
      <c r="V21" s="307">
        <v>0.16020000000000001</v>
      </c>
      <c r="W21" s="265">
        <v>0.32040000000000002</v>
      </c>
      <c r="X21" s="308">
        <v>693.27170000000001</v>
      </c>
      <c r="Z21" s="244">
        <f t="shared" si="5"/>
        <v>25.132741228718345</v>
      </c>
      <c r="AA21" s="244">
        <f t="shared" si="6"/>
        <v>40.840704496667314</v>
      </c>
      <c r="AB21" s="335">
        <f t="shared" si="7"/>
        <v>147</v>
      </c>
      <c r="AC21" s="335">
        <f t="shared" si="8"/>
        <v>46.5</v>
      </c>
      <c r="AD21" s="335">
        <f t="shared" si="8"/>
        <v>52.5</v>
      </c>
      <c r="AE21" s="335">
        <f t="shared" si="9"/>
        <v>14.5</v>
      </c>
      <c r="AF21" s="195">
        <f t="shared" si="10"/>
        <v>61.597344572538567</v>
      </c>
      <c r="AG21" s="336">
        <f t="shared" si="11"/>
        <v>1.250053886808755</v>
      </c>
    </row>
    <row r="22" spans="1:33" ht="15" customHeight="1" thickBot="1" x14ac:dyDescent="0.3">
      <c r="A22" s="73" t="str">
        <f t="shared" si="20"/>
        <v>Z160x3,0</v>
      </c>
      <c r="B22" s="5" t="str">
        <f t="shared" si="12"/>
        <v>160</v>
      </c>
      <c r="C22" s="5">
        <f t="shared" si="21"/>
        <v>59.5</v>
      </c>
      <c r="D22" s="5">
        <f t="shared" si="22"/>
        <v>65.5</v>
      </c>
      <c r="E22" s="5">
        <f t="shared" si="23"/>
        <v>22</v>
      </c>
      <c r="F22" s="6" t="str">
        <f t="shared" si="13"/>
        <v>Z160</v>
      </c>
      <c r="G22" s="82" t="s">
        <v>34</v>
      </c>
      <c r="H22" s="118">
        <v>3</v>
      </c>
      <c r="I22" s="113">
        <v>9.23</v>
      </c>
      <c r="J22" s="113">
        <v>356.55</v>
      </c>
      <c r="K22" s="113">
        <v>43.73</v>
      </c>
      <c r="L22" s="113">
        <v>80.81</v>
      </c>
      <c r="M22" s="113">
        <v>12.34</v>
      </c>
      <c r="N22" s="113">
        <v>6.21</v>
      </c>
      <c r="O22" s="113">
        <v>2.95</v>
      </c>
      <c r="P22" s="98">
        <v>6.24</v>
      </c>
      <c r="Q22" s="98">
        <v>5.96</v>
      </c>
      <c r="R22" s="98">
        <v>7.85</v>
      </c>
      <c r="S22" s="98">
        <v>8.15</v>
      </c>
      <c r="T22" s="113">
        <v>7.24</v>
      </c>
      <c r="U22" s="270"/>
      <c r="V22" s="315">
        <v>0.27639999999999998</v>
      </c>
      <c r="W22" s="316">
        <v>0.55289999999999995</v>
      </c>
      <c r="X22" s="317">
        <v>824.83770000000004</v>
      </c>
      <c r="Z22" s="244">
        <f t="shared" si="5"/>
        <v>25.132741228718345</v>
      </c>
      <c r="AA22" s="244">
        <f t="shared" si="6"/>
        <v>43.982297150257104</v>
      </c>
      <c r="AB22" s="335">
        <f t="shared" si="7"/>
        <v>146</v>
      </c>
      <c r="AC22" s="335">
        <f t="shared" si="8"/>
        <v>45.5</v>
      </c>
      <c r="AD22" s="335">
        <f t="shared" si="8"/>
        <v>51.5</v>
      </c>
      <c r="AE22" s="335">
        <f t="shared" si="9"/>
        <v>15</v>
      </c>
      <c r="AF22" s="195">
        <f t="shared" si="10"/>
        <v>61.511503837897543</v>
      </c>
      <c r="AG22" s="336">
        <f t="shared" si="11"/>
        <v>1.5005323271438784</v>
      </c>
    </row>
    <row r="23" spans="1:33" ht="15" customHeight="1" x14ac:dyDescent="0.25">
      <c r="A23" s="71" t="str">
        <f t="shared" ref="A23:A24" si="24">CONCATENATE(F23,"x",(IF(H23=INT(H23),CONCATENATE(H23,",",0),H23)))</f>
        <v>Z200x1,0</v>
      </c>
      <c r="B23" s="1" t="str">
        <f t="shared" ref="B23:B24" si="25">LEFT(G23,3)</f>
        <v>200</v>
      </c>
      <c r="C23" s="1">
        <f t="shared" ref="C23:C24" si="26">VALUE(MID(G23,(SEARCH("/",G23,1)+1),(SEARCH("/",G23,(SEARCH("/",G23,1)+1))-SEARCH("/",G23,1)-1)))</f>
        <v>59.5</v>
      </c>
      <c r="D23" s="1">
        <f t="shared" ref="D23:D24" si="27">VALUE(MID(G23,(SEARCH("/",G23,(SEARCH("/",G23,1)+1))+1),(SEARCH("/",G23,SEARCH("/",G23,(SEARCH("/",G23,1)+1))+1))-(SEARCH("/",G23,(SEARCH("/",G23,1)+1))+1)))</f>
        <v>65.5</v>
      </c>
      <c r="E23" s="1">
        <f t="shared" ref="E23:E24" si="28">VALUE(MID(G23,(SEARCH("/",G23,SEARCH("/",G23,(SEARCH("/",G23,1)+1))+1)+1),4))</f>
        <v>20</v>
      </c>
      <c r="F23" s="2" t="str">
        <f t="shared" ref="F23:F24" si="29">CONCATENATE("Z",LEFT(G23,3))</f>
        <v>Z200</v>
      </c>
      <c r="G23" s="80" t="s">
        <v>35</v>
      </c>
      <c r="H23" s="116">
        <v>1</v>
      </c>
      <c r="I23" s="111">
        <v>3.54</v>
      </c>
      <c r="J23" s="111">
        <v>211.12</v>
      </c>
      <c r="K23" s="111">
        <v>20.76</v>
      </c>
      <c r="L23" s="111">
        <v>28.84</v>
      </c>
      <c r="M23" s="111">
        <v>4.54</v>
      </c>
      <c r="N23" s="111">
        <v>7.73</v>
      </c>
      <c r="O23" s="111">
        <v>2.85</v>
      </c>
      <c r="P23" s="94">
        <v>6.36</v>
      </c>
      <c r="Q23" s="94">
        <v>6.04</v>
      </c>
      <c r="R23" s="94">
        <v>9.84</v>
      </c>
      <c r="S23" s="94">
        <v>10.16</v>
      </c>
      <c r="T23" s="111">
        <v>2.87</v>
      </c>
      <c r="U23" s="276"/>
      <c r="V23" s="327"/>
      <c r="W23" s="328"/>
      <c r="X23" s="329"/>
      <c r="Z23" s="244">
        <f t="shared" si="5"/>
        <v>25.132741228718345</v>
      </c>
      <c r="AA23" s="244">
        <f t="shared" si="6"/>
        <v>31.415926535897931</v>
      </c>
      <c r="AB23" s="335">
        <f t="shared" si="7"/>
        <v>190</v>
      </c>
      <c r="AC23" s="335">
        <f t="shared" si="8"/>
        <v>49.5</v>
      </c>
      <c r="AD23" s="335">
        <f t="shared" si="8"/>
        <v>55.5</v>
      </c>
      <c r="AE23" s="335">
        <f t="shared" si="9"/>
        <v>15</v>
      </c>
      <c r="AF23" s="195">
        <f t="shared" si="10"/>
        <v>70.654866776461631</v>
      </c>
      <c r="AG23" s="336">
        <f t="shared" si="11"/>
        <v>0.50102705751323218</v>
      </c>
    </row>
    <row r="24" spans="1:33" ht="15" customHeight="1" x14ac:dyDescent="0.25">
      <c r="A24" s="72" t="str">
        <f t="shared" si="24"/>
        <v>Z200x1,2</v>
      </c>
      <c r="B24" s="3" t="str">
        <f t="shared" si="25"/>
        <v>200</v>
      </c>
      <c r="C24" s="3">
        <f t="shared" si="26"/>
        <v>59.5</v>
      </c>
      <c r="D24" s="3">
        <f t="shared" si="27"/>
        <v>65.5</v>
      </c>
      <c r="E24" s="3">
        <f t="shared" si="28"/>
        <v>20</v>
      </c>
      <c r="F24" s="4" t="str">
        <f t="shared" si="29"/>
        <v>Z200</v>
      </c>
      <c r="G24" s="81" t="s">
        <v>35</v>
      </c>
      <c r="H24" s="117">
        <v>1.2</v>
      </c>
      <c r="I24" s="112">
        <v>4.2300000000000004</v>
      </c>
      <c r="J24" s="112">
        <v>251.92</v>
      </c>
      <c r="K24" s="112">
        <v>24.77</v>
      </c>
      <c r="L24" s="112">
        <v>34.200000000000003</v>
      </c>
      <c r="M24" s="112">
        <v>5.39</v>
      </c>
      <c r="N24" s="112">
        <v>7.71</v>
      </c>
      <c r="O24" s="112">
        <v>2.84</v>
      </c>
      <c r="P24" s="96">
        <v>6.35</v>
      </c>
      <c r="Q24" s="96">
        <v>6.03</v>
      </c>
      <c r="R24" s="96">
        <v>9.84</v>
      </c>
      <c r="S24" s="96">
        <v>10.16</v>
      </c>
      <c r="T24" s="112">
        <v>3.41</v>
      </c>
      <c r="U24" s="269"/>
      <c r="V24" s="324"/>
      <c r="W24" s="325"/>
      <c r="X24" s="326"/>
      <c r="Z24" s="244">
        <f t="shared" si="5"/>
        <v>25.132741228718345</v>
      </c>
      <c r="AA24" s="244">
        <f t="shared" si="6"/>
        <v>32.672563597333848</v>
      </c>
      <c r="AB24" s="335">
        <f t="shared" si="7"/>
        <v>189.6</v>
      </c>
      <c r="AC24" s="335">
        <f t="shared" si="8"/>
        <v>49.1</v>
      </c>
      <c r="AD24" s="335">
        <f t="shared" si="8"/>
        <v>55.1</v>
      </c>
      <c r="AE24" s="335">
        <f t="shared" si="9"/>
        <v>14.8</v>
      </c>
      <c r="AF24" s="195">
        <f t="shared" si="10"/>
        <v>70.460530482605222</v>
      </c>
      <c r="AG24" s="336">
        <f t="shared" si="11"/>
        <v>0.6003360989517772</v>
      </c>
    </row>
    <row r="25" spans="1:33" ht="15" customHeight="1" x14ac:dyDescent="0.25">
      <c r="A25" s="72" t="str">
        <f t="shared" si="20"/>
        <v>Z200x1,5</v>
      </c>
      <c r="B25" s="3" t="str">
        <f t="shared" si="12"/>
        <v>200</v>
      </c>
      <c r="C25" s="3">
        <f t="shared" si="21"/>
        <v>59.5</v>
      </c>
      <c r="D25" s="3">
        <f t="shared" si="22"/>
        <v>65.5</v>
      </c>
      <c r="E25" s="3">
        <f t="shared" si="23"/>
        <v>20</v>
      </c>
      <c r="F25" s="4" t="str">
        <f t="shared" si="13"/>
        <v>Z200</v>
      </c>
      <c r="G25" s="81" t="s">
        <v>35</v>
      </c>
      <c r="H25" s="117">
        <v>1.5</v>
      </c>
      <c r="I25" s="112">
        <v>5.27</v>
      </c>
      <c r="J25" s="112">
        <v>312.23</v>
      </c>
      <c r="K25" s="112">
        <v>30.7</v>
      </c>
      <c r="L25" s="112">
        <v>41.98</v>
      </c>
      <c r="M25" s="112">
        <v>6.47</v>
      </c>
      <c r="N25" s="112">
        <v>7.7</v>
      </c>
      <c r="O25" s="112">
        <v>2.82</v>
      </c>
      <c r="P25" s="96">
        <v>6.34</v>
      </c>
      <c r="Q25" s="96">
        <v>6.01</v>
      </c>
      <c r="R25" s="96">
        <v>9.84</v>
      </c>
      <c r="S25" s="96">
        <v>10.16</v>
      </c>
      <c r="T25" s="112">
        <v>4.13</v>
      </c>
      <c r="U25" s="269"/>
      <c r="V25" s="307">
        <v>3.9399999999999998E-2</v>
      </c>
      <c r="W25" s="265">
        <v>7.8899999999999998E-2</v>
      </c>
      <c r="X25" s="308">
        <v>469.73320000000001</v>
      </c>
      <c r="Z25" s="244">
        <f t="shared" si="5"/>
        <v>25.132741228718345</v>
      </c>
      <c r="AA25" s="244">
        <f t="shared" si="6"/>
        <v>34.557519189487721</v>
      </c>
      <c r="AB25" s="335">
        <f t="shared" si="7"/>
        <v>189</v>
      </c>
      <c r="AC25" s="335">
        <f t="shared" si="8"/>
        <v>48.5</v>
      </c>
      <c r="AD25" s="335">
        <f t="shared" si="8"/>
        <v>54.5</v>
      </c>
      <c r="AE25" s="335">
        <f t="shared" si="9"/>
        <v>14.5</v>
      </c>
      <c r="AF25" s="195">
        <f t="shared" si="10"/>
        <v>70.169026041820615</v>
      </c>
      <c r="AG25" s="336">
        <f t="shared" si="11"/>
        <v>0.75104362954376613</v>
      </c>
    </row>
    <row r="26" spans="1:33" ht="15" customHeight="1" x14ac:dyDescent="0.25">
      <c r="A26" s="72" t="str">
        <f t="shared" si="20"/>
        <v>Z200x2,0</v>
      </c>
      <c r="B26" s="3" t="str">
        <f t="shared" si="12"/>
        <v>200</v>
      </c>
      <c r="C26" s="3">
        <f t="shared" si="21"/>
        <v>59.5</v>
      </c>
      <c r="D26" s="3">
        <f t="shared" si="22"/>
        <v>65.5</v>
      </c>
      <c r="E26" s="3">
        <f t="shared" si="23"/>
        <v>20.5</v>
      </c>
      <c r="F26" s="4" t="str">
        <f t="shared" si="13"/>
        <v>Z200</v>
      </c>
      <c r="G26" s="81" t="s">
        <v>36</v>
      </c>
      <c r="H26" s="117">
        <v>2</v>
      </c>
      <c r="I26" s="112">
        <v>6.99</v>
      </c>
      <c r="J26" s="112">
        <v>411.68</v>
      </c>
      <c r="K26" s="112">
        <v>40.479999999999997</v>
      </c>
      <c r="L26" s="112">
        <v>55.03</v>
      </c>
      <c r="M26" s="112">
        <v>8.4499999999999993</v>
      </c>
      <c r="N26" s="112">
        <v>7.67</v>
      </c>
      <c r="O26" s="112">
        <v>2.8</v>
      </c>
      <c r="P26" s="96">
        <v>6.31</v>
      </c>
      <c r="Q26" s="96">
        <v>5.99</v>
      </c>
      <c r="R26" s="96">
        <v>9.84</v>
      </c>
      <c r="S26" s="96">
        <v>10.16</v>
      </c>
      <c r="T26" s="112">
        <v>5.49</v>
      </c>
      <c r="U26" s="269"/>
      <c r="V26" s="307">
        <v>9.3100000000000002E-2</v>
      </c>
      <c r="W26" s="265">
        <v>0.1862</v>
      </c>
      <c r="X26" s="308">
        <v>618.04409999999996</v>
      </c>
      <c r="Z26" s="244">
        <f t="shared" si="5"/>
        <v>25.132741228718345</v>
      </c>
      <c r="AA26" s="244">
        <f t="shared" si="6"/>
        <v>37.699111843077517</v>
      </c>
      <c r="AB26" s="335">
        <f t="shared" si="7"/>
        <v>188</v>
      </c>
      <c r="AC26" s="335">
        <f t="shared" si="8"/>
        <v>47.5</v>
      </c>
      <c r="AD26" s="335">
        <f t="shared" si="8"/>
        <v>53.5</v>
      </c>
      <c r="AE26" s="335">
        <f t="shared" si="9"/>
        <v>14.5</v>
      </c>
      <c r="AF26" s="195">
        <f t="shared" si="10"/>
        <v>69.883185307179588</v>
      </c>
      <c r="AG26" s="336">
        <f t="shared" si="11"/>
        <v>1.0002406114252878</v>
      </c>
    </row>
    <row r="27" spans="1:33" ht="15" customHeight="1" x14ac:dyDescent="0.25">
      <c r="A27" s="72" t="str">
        <f t="shared" si="20"/>
        <v>Z200x2,5</v>
      </c>
      <c r="B27" s="3" t="str">
        <f t="shared" si="12"/>
        <v>200</v>
      </c>
      <c r="C27" s="3">
        <f t="shared" si="21"/>
        <v>59.5</v>
      </c>
      <c r="D27" s="3">
        <f t="shared" si="22"/>
        <v>65.5</v>
      </c>
      <c r="E27" s="3">
        <f t="shared" si="23"/>
        <v>21</v>
      </c>
      <c r="F27" s="4" t="str">
        <f t="shared" si="13"/>
        <v>Z200</v>
      </c>
      <c r="G27" s="81" t="s">
        <v>37</v>
      </c>
      <c r="H27" s="117">
        <v>2.5</v>
      </c>
      <c r="I27" s="112">
        <v>8.6999999999999993</v>
      </c>
      <c r="J27" s="112">
        <v>508.87</v>
      </c>
      <c r="K27" s="112">
        <v>50.03</v>
      </c>
      <c r="L27" s="112">
        <v>67.63</v>
      </c>
      <c r="M27" s="112">
        <v>10.34</v>
      </c>
      <c r="N27" s="112">
        <v>7.64</v>
      </c>
      <c r="O27" s="112">
        <v>2.78</v>
      </c>
      <c r="P27" s="96">
        <v>6.29</v>
      </c>
      <c r="Q27" s="96">
        <v>5.96</v>
      </c>
      <c r="R27" s="96">
        <v>9.83</v>
      </c>
      <c r="S27" s="96">
        <v>10.17</v>
      </c>
      <c r="T27" s="112">
        <v>6.83</v>
      </c>
      <c r="U27" s="269"/>
      <c r="V27" s="307">
        <v>0.18099999999999999</v>
      </c>
      <c r="W27" s="265">
        <v>0.36209999999999998</v>
      </c>
      <c r="X27" s="308">
        <v>762.3134</v>
      </c>
      <c r="Z27" s="244">
        <f t="shared" si="5"/>
        <v>25.132741228718345</v>
      </c>
      <c r="AA27" s="244">
        <f t="shared" si="6"/>
        <v>40.840704496667314</v>
      </c>
      <c r="AB27" s="335">
        <f t="shared" si="7"/>
        <v>187</v>
      </c>
      <c r="AC27" s="335">
        <f t="shared" ref="AC27:AC48" si="30">C27-2*(4+$H27)</f>
        <v>46.5</v>
      </c>
      <c r="AD27" s="335">
        <f t="shared" ref="AD27:AD48" si="31">D27-2*(4+$H27)</f>
        <v>52.5</v>
      </c>
      <c r="AE27" s="335">
        <f t="shared" si="9"/>
        <v>14.5</v>
      </c>
      <c r="AF27" s="195">
        <f t="shared" si="10"/>
        <v>69.59734457253856</v>
      </c>
      <c r="AG27" s="336">
        <f t="shared" si="11"/>
        <v>1.2500476926863688</v>
      </c>
    </row>
    <row r="28" spans="1:33" ht="15" customHeight="1" x14ac:dyDescent="0.25">
      <c r="A28" s="72" t="str">
        <f t="shared" si="20"/>
        <v>Z200x3,0</v>
      </c>
      <c r="B28" s="3" t="str">
        <f t="shared" si="12"/>
        <v>200</v>
      </c>
      <c r="C28" s="3">
        <f t="shared" si="21"/>
        <v>59.5</v>
      </c>
      <c r="D28" s="3">
        <f t="shared" si="22"/>
        <v>65.5</v>
      </c>
      <c r="E28" s="3">
        <f t="shared" si="23"/>
        <v>22</v>
      </c>
      <c r="F28" s="4" t="str">
        <f t="shared" si="13"/>
        <v>Z200</v>
      </c>
      <c r="G28" s="81" t="s">
        <v>38</v>
      </c>
      <c r="H28" s="117">
        <v>3</v>
      </c>
      <c r="I28" s="112">
        <v>10.43</v>
      </c>
      <c r="J28" s="112">
        <v>605.64</v>
      </c>
      <c r="K28" s="112">
        <v>59.55</v>
      </c>
      <c r="L28" s="112">
        <v>80.84</v>
      </c>
      <c r="M28" s="112">
        <v>12.31</v>
      </c>
      <c r="N28" s="112">
        <v>7.62</v>
      </c>
      <c r="O28" s="112">
        <v>2.78</v>
      </c>
      <c r="P28" s="96">
        <v>6.26</v>
      </c>
      <c r="Q28" s="96">
        <v>5.94</v>
      </c>
      <c r="R28" s="96">
        <v>9.83</v>
      </c>
      <c r="S28" s="96">
        <v>10.17</v>
      </c>
      <c r="T28" s="112">
        <v>8.18</v>
      </c>
      <c r="U28" s="269"/>
      <c r="V28" s="307">
        <v>0.31240000000000001</v>
      </c>
      <c r="W28" s="265">
        <v>0.62490000000000001</v>
      </c>
      <c r="X28" s="308">
        <v>906.98969999999997</v>
      </c>
      <c r="Z28" s="244">
        <f t="shared" si="5"/>
        <v>25.132741228718345</v>
      </c>
      <c r="AA28" s="244">
        <f t="shared" si="6"/>
        <v>43.982297150257104</v>
      </c>
      <c r="AB28" s="335">
        <f t="shared" si="7"/>
        <v>186</v>
      </c>
      <c r="AC28" s="335">
        <f t="shared" si="30"/>
        <v>45.5</v>
      </c>
      <c r="AD28" s="335">
        <f t="shared" si="31"/>
        <v>51.5</v>
      </c>
      <c r="AE28" s="335">
        <f t="shared" si="9"/>
        <v>15</v>
      </c>
      <c r="AF28" s="195">
        <f t="shared" si="10"/>
        <v>69.51150383789755</v>
      </c>
      <c r="AG28" s="336">
        <f t="shared" si="11"/>
        <v>1.500471062217702</v>
      </c>
    </row>
    <row r="29" spans="1:33" ht="15" customHeight="1" thickBot="1" x14ac:dyDescent="0.3">
      <c r="A29" s="73" t="str">
        <f t="shared" si="20"/>
        <v>Z200x3,5</v>
      </c>
      <c r="B29" s="5" t="str">
        <f t="shared" si="12"/>
        <v>200</v>
      </c>
      <c r="C29" s="5">
        <f t="shared" si="21"/>
        <v>59.5</v>
      </c>
      <c r="D29" s="5">
        <f t="shared" si="22"/>
        <v>65.5</v>
      </c>
      <c r="E29" s="5">
        <f t="shared" si="23"/>
        <v>23</v>
      </c>
      <c r="F29" s="6" t="str">
        <f t="shared" si="13"/>
        <v>Z200</v>
      </c>
      <c r="G29" s="82" t="s">
        <v>39</v>
      </c>
      <c r="H29" s="118">
        <v>3.5</v>
      </c>
      <c r="I29" s="113">
        <v>12.15</v>
      </c>
      <c r="J29" s="113">
        <v>700.71</v>
      </c>
      <c r="K29" s="113">
        <v>68.900000000000006</v>
      </c>
      <c r="L29" s="113">
        <v>93.93</v>
      </c>
      <c r="M29" s="113">
        <v>14.25</v>
      </c>
      <c r="N29" s="113">
        <v>7.59</v>
      </c>
      <c r="O29" s="113">
        <v>2.78</v>
      </c>
      <c r="P29" s="98">
        <v>6.24</v>
      </c>
      <c r="Q29" s="98">
        <v>5.91</v>
      </c>
      <c r="R29" s="98">
        <v>9.84</v>
      </c>
      <c r="S29" s="98">
        <v>10.16</v>
      </c>
      <c r="T29" s="113">
        <v>9.5399999999999991</v>
      </c>
      <c r="U29" s="270"/>
      <c r="V29" s="330"/>
      <c r="W29" s="331"/>
      <c r="X29" s="332"/>
      <c r="Z29" s="244">
        <f t="shared" si="5"/>
        <v>25.132741228718345</v>
      </c>
      <c r="AA29" s="244">
        <f t="shared" si="6"/>
        <v>47.123889803846893</v>
      </c>
      <c r="AB29" s="335">
        <f t="shared" si="7"/>
        <v>185</v>
      </c>
      <c r="AC29" s="335">
        <f t="shared" si="30"/>
        <v>44.5</v>
      </c>
      <c r="AD29" s="335">
        <f t="shared" si="31"/>
        <v>50.5</v>
      </c>
      <c r="AE29" s="335">
        <f t="shared" si="9"/>
        <v>15.5</v>
      </c>
      <c r="AF29" s="195">
        <f t="shared" si="10"/>
        <v>69.425663103256525</v>
      </c>
      <c r="AG29" s="336">
        <f t="shared" si="11"/>
        <v>1.7500733096246199</v>
      </c>
    </row>
    <row r="30" spans="1:33" ht="15" customHeight="1" x14ac:dyDescent="0.25">
      <c r="A30" s="71" t="str">
        <f t="shared" ref="A30:A31" si="32">CONCATENATE(F30,"x",(IF(H30=INT(H30),CONCATENATE(H30,",",0),H30)))</f>
        <v>Z250x1,0</v>
      </c>
      <c r="B30" s="1" t="str">
        <f t="shared" ref="B30:B31" si="33">LEFT(G30,3)</f>
        <v>250</v>
      </c>
      <c r="C30" s="1">
        <f t="shared" ref="C30:C31" si="34">VALUE(MID(G30,(SEARCH("/",G30,1)+1),(SEARCH("/",G30,(SEARCH("/",G30,1)+1))-SEARCH("/",G30,1)-1)))</f>
        <v>67</v>
      </c>
      <c r="D30" s="1">
        <f t="shared" ref="D30:D31" si="35">VALUE(MID(G30,(SEARCH("/",G30,(SEARCH("/",G30,1)+1))+1),(SEARCH("/",G30,SEARCH("/",G30,(SEARCH("/",G30,1)+1))+1))-(SEARCH("/",G30,(SEARCH("/",G30,1)+1))+1)))</f>
        <v>78</v>
      </c>
      <c r="E30" s="1">
        <f t="shared" ref="E30:E31" si="36">VALUE(MID(G30,(SEARCH("/",G30,SEARCH("/",G30,(SEARCH("/",G30,1)+1))+1)+1),4))</f>
        <v>21.5</v>
      </c>
      <c r="F30" s="2" t="str">
        <f t="shared" si="13"/>
        <v>Z250</v>
      </c>
      <c r="G30" s="80" t="s">
        <v>40</v>
      </c>
      <c r="H30" s="116">
        <v>1</v>
      </c>
      <c r="I30" s="111">
        <v>4.2699999999999996</v>
      </c>
      <c r="J30" s="111">
        <v>392.49</v>
      </c>
      <c r="K30" s="111">
        <v>30.61</v>
      </c>
      <c r="L30" s="111">
        <v>44.14</v>
      </c>
      <c r="M30" s="111">
        <v>5.88</v>
      </c>
      <c r="N30" s="111">
        <v>9.59</v>
      </c>
      <c r="O30" s="111">
        <v>3.21</v>
      </c>
      <c r="P30" s="94">
        <v>7.51</v>
      </c>
      <c r="Q30" s="94">
        <v>6.89</v>
      </c>
      <c r="R30" s="94">
        <v>12.18</v>
      </c>
      <c r="S30" s="94">
        <v>12.82</v>
      </c>
      <c r="T30" s="111">
        <v>3.46</v>
      </c>
      <c r="U30" s="276"/>
      <c r="V30" s="321"/>
      <c r="W30" s="322"/>
      <c r="X30" s="323"/>
      <c r="Z30" s="244">
        <f t="shared" si="5"/>
        <v>25.132741228718345</v>
      </c>
      <c r="AA30" s="244">
        <f t="shared" si="6"/>
        <v>31.415926535897931</v>
      </c>
      <c r="AB30" s="335">
        <f t="shared" si="7"/>
        <v>240</v>
      </c>
      <c r="AC30" s="335">
        <f t="shared" si="30"/>
        <v>57</v>
      </c>
      <c r="AD30" s="335">
        <f t="shared" si="31"/>
        <v>68</v>
      </c>
      <c r="AE30" s="335">
        <f t="shared" si="9"/>
        <v>16.5</v>
      </c>
      <c r="AF30" s="195">
        <f t="shared" si="10"/>
        <v>85.254866776461625</v>
      </c>
      <c r="AG30" s="336">
        <f t="shared" si="11"/>
        <v>0.50085117266043533</v>
      </c>
    </row>
    <row r="31" spans="1:33" ht="15" customHeight="1" x14ac:dyDescent="0.25">
      <c r="A31" s="72" t="str">
        <f t="shared" si="32"/>
        <v>Z250x1,2</v>
      </c>
      <c r="B31" s="3" t="str">
        <f t="shared" si="33"/>
        <v>250</v>
      </c>
      <c r="C31" s="3">
        <f t="shared" si="34"/>
        <v>67</v>
      </c>
      <c r="D31" s="3">
        <f t="shared" si="35"/>
        <v>78</v>
      </c>
      <c r="E31" s="3">
        <f t="shared" si="36"/>
        <v>21.5</v>
      </c>
      <c r="F31" s="4" t="str">
        <f t="shared" si="13"/>
        <v>Z250</v>
      </c>
      <c r="G31" s="81" t="s">
        <v>40</v>
      </c>
      <c r="H31" s="117">
        <v>1.2</v>
      </c>
      <c r="I31" s="112">
        <v>5.1100000000000003</v>
      </c>
      <c r="J31" s="112">
        <v>468.78</v>
      </c>
      <c r="K31" s="112">
        <v>36.56</v>
      </c>
      <c r="L31" s="112">
        <v>52.42</v>
      </c>
      <c r="M31" s="112">
        <v>6.99</v>
      </c>
      <c r="N31" s="112">
        <v>9.58</v>
      </c>
      <c r="O31" s="112">
        <v>3.2</v>
      </c>
      <c r="P31" s="96">
        <v>7.5</v>
      </c>
      <c r="Q31" s="96">
        <v>6.88</v>
      </c>
      <c r="R31" s="96">
        <v>12.18</v>
      </c>
      <c r="S31" s="96">
        <v>12.82</v>
      </c>
      <c r="T31" s="112">
        <v>4.12</v>
      </c>
      <c r="U31" s="269"/>
      <c r="V31" s="324"/>
      <c r="W31" s="325"/>
      <c r="X31" s="326"/>
      <c r="Z31" s="244">
        <f t="shared" si="5"/>
        <v>25.132741228718345</v>
      </c>
      <c r="AA31" s="244">
        <f t="shared" si="6"/>
        <v>32.672563597333848</v>
      </c>
      <c r="AB31" s="335">
        <f t="shared" si="7"/>
        <v>239.6</v>
      </c>
      <c r="AC31" s="335">
        <f t="shared" si="30"/>
        <v>56.6</v>
      </c>
      <c r="AD31" s="335">
        <f t="shared" si="31"/>
        <v>67.599999999999994</v>
      </c>
      <c r="AE31" s="335">
        <f t="shared" si="9"/>
        <v>16.3</v>
      </c>
      <c r="AF31" s="195">
        <f t="shared" si="10"/>
        <v>85.060530482605216</v>
      </c>
      <c r="AG31" s="336">
        <f t="shared" si="11"/>
        <v>0.60074866345266797</v>
      </c>
    </row>
    <row r="32" spans="1:33" ht="15" customHeight="1" x14ac:dyDescent="0.25">
      <c r="A32" s="72" t="str">
        <f t="shared" si="20"/>
        <v>Z250x1,5</v>
      </c>
      <c r="B32" s="3" t="str">
        <f t="shared" si="12"/>
        <v>250</v>
      </c>
      <c r="C32" s="3">
        <f t="shared" si="21"/>
        <v>67</v>
      </c>
      <c r="D32" s="3">
        <f t="shared" si="22"/>
        <v>78</v>
      </c>
      <c r="E32" s="3">
        <f t="shared" si="23"/>
        <v>21.5</v>
      </c>
      <c r="F32" s="4" t="str">
        <f t="shared" ref="F32:F48" si="37">CONCATENATE("Z",LEFT(G32,3))</f>
        <v>Z250</v>
      </c>
      <c r="G32" s="81" t="s">
        <v>40</v>
      </c>
      <c r="H32" s="117">
        <v>1.5</v>
      </c>
      <c r="I32" s="112">
        <v>6.36</v>
      </c>
      <c r="J32" s="112">
        <v>581.84</v>
      </c>
      <c r="K32" s="112">
        <v>45.37</v>
      </c>
      <c r="L32" s="112">
        <v>64.5</v>
      </c>
      <c r="M32" s="112">
        <v>8.44</v>
      </c>
      <c r="N32" s="112">
        <v>9.56</v>
      </c>
      <c r="O32" s="112">
        <v>3.18</v>
      </c>
      <c r="P32" s="96">
        <v>7.49</v>
      </c>
      <c r="Q32" s="96">
        <v>6.86</v>
      </c>
      <c r="R32" s="96">
        <v>12.18</v>
      </c>
      <c r="S32" s="96">
        <v>12.82</v>
      </c>
      <c r="T32" s="112">
        <v>4.99</v>
      </c>
      <c r="U32" s="269"/>
      <c r="V32" s="307">
        <v>4.7600000000000003E-2</v>
      </c>
      <c r="W32" s="265">
        <v>9.5299999999999996E-2</v>
      </c>
      <c r="X32" s="308">
        <v>734.9701</v>
      </c>
      <c r="Z32" s="244">
        <f t="shared" si="5"/>
        <v>25.132741228718345</v>
      </c>
      <c r="AA32" s="244">
        <f t="shared" si="6"/>
        <v>34.557519189487721</v>
      </c>
      <c r="AB32" s="335">
        <f t="shared" si="7"/>
        <v>239</v>
      </c>
      <c r="AC32" s="335">
        <f t="shared" si="30"/>
        <v>56</v>
      </c>
      <c r="AD32" s="335">
        <f t="shared" si="31"/>
        <v>67</v>
      </c>
      <c r="AE32" s="335">
        <f t="shared" si="9"/>
        <v>16</v>
      </c>
      <c r="AF32" s="195">
        <f t="shared" si="10"/>
        <v>84.769026041820609</v>
      </c>
      <c r="AG32" s="336">
        <f t="shared" si="11"/>
        <v>0.75027404430272782</v>
      </c>
    </row>
    <row r="33" spans="1:33" ht="15" customHeight="1" x14ac:dyDescent="0.25">
      <c r="A33" s="72" t="str">
        <f t="shared" si="20"/>
        <v>Z250x2,0</v>
      </c>
      <c r="B33" s="3" t="str">
        <f t="shared" si="12"/>
        <v>250</v>
      </c>
      <c r="C33" s="3">
        <f t="shared" si="21"/>
        <v>67</v>
      </c>
      <c r="D33" s="3">
        <f t="shared" si="22"/>
        <v>78</v>
      </c>
      <c r="E33" s="3">
        <f t="shared" si="23"/>
        <v>21.5</v>
      </c>
      <c r="F33" s="4" t="str">
        <f t="shared" si="37"/>
        <v>Z250</v>
      </c>
      <c r="G33" s="81" t="s">
        <v>40</v>
      </c>
      <c r="H33" s="117">
        <v>2</v>
      </c>
      <c r="I33" s="112">
        <v>8.43</v>
      </c>
      <c r="J33" s="112">
        <v>766.65</v>
      </c>
      <c r="K33" s="112">
        <v>59.78</v>
      </c>
      <c r="L33" s="112">
        <v>83.77</v>
      </c>
      <c r="M33" s="112">
        <v>10.92</v>
      </c>
      <c r="N33" s="112">
        <v>9.5299999999999994</v>
      </c>
      <c r="O33" s="112">
        <v>3.15</v>
      </c>
      <c r="P33" s="96">
        <v>7.46</v>
      </c>
      <c r="Q33" s="96">
        <v>6.84</v>
      </c>
      <c r="R33" s="96">
        <v>12.18</v>
      </c>
      <c r="S33" s="96">
        <v>12.82</v>
      </c>
      <c r="T33" s="112">
        <v>6.62</v>
      </c>
      <c r="U33" s="269"/>
      <c r="V33" s="307">
        <v>0.1123</v>
      </c>
      <c r="W33" s="265">
        <v>0.22459999999999999</v>
      </c>
      <c r="X33" s="308">
        <v>964.76599999999996</v>
      </c>
      <c r="Z33" s="244">
        <f t="shared" si="5"/>
        <v>25.132741228718345</v>
      </c>
      <c r="AA33" s="244">
        <f t="shared" si="6"/>
        <v>37.699111843077517</v>
      </c>
      <c r="AB33" s="335">
        <f t="shared" si="7"/>
        <v>238</v>
      </c>
      <c r="AC33" s="335">
        <f t="shared" si="30"/>
        <v>55</v>
      </c>
      <c r="AD33" s="335">
        <f t="shared" si="31"/>
        <v>66</v>
      </c>
      <c r="AE33" s="335">
        <f t="shared" si="9"/>
        <v>15.5</v>
      </c>
      <c r="AF33" s="195">
        <f t="shared" si="10"/>
        <v>84.283185307179593</v>
      </c>
      <c r="AG33" s="336">
        <f t="shared" si="11"/>
        <v>1.0001995023415302</v>
      </c>
    </row>
    <row r="34" spans="1:33" ht="15" customHeight="1" x14ac:dyDescent="0.25">
      <c r="A34" s="72" t="str">
        <f t="shared" si="20"/>
        <v>Z250x2,5</v>
      </c>
      <c r="B34" s="3" t="str">
        <f t="shared" si="12"/>
        <v>250</v>
      </c>
      <c r="C34" s="3">
        <f t="shared" si="21"/>
        <v>68</v>
      </c>
      <c r="D34" s="3">
        <f t="shared" si="22"/>
        <v>79</v>
      </c>
      <c r="E34" s="3">
        <f t="shared" si="23"/>
        <v>22</v>
      </c>
      <c r="F34" s="4" t="str">
        <f t="shared" si="37"/>
        <v>Z250</v>
      </c>
      <c r="G34" s="81" t="s">
        <v>41</v>
      </c>
      <c r="H34" s="117">
        <v>2.5</v>
      </c>
      <c r="I34" s="112">
        <v>10.55</v>
      </c>
      <c r="J34" s="112">
        <v>957.29</v>
      </c>
      <c r="K34" s="112">
        <v>74.650000000000006</v>
      </c>
      <c r="L34" s="112">
        <v>106.98</v>
      </c>
      <c r="M34" s="112">
        <v>13.73</v>
      </c>
      <c r="N34" s="112">
        <v>9.52</v>
      </c>
      <c r="O34" s="112">
        <v>3.18</v>
      </c>
      <c r="P34" s="96">
        <v>7.54</v>
      </c>
      <c r="Q34" s="96">
        <v>6.91</v>
      </c>
      <c r="R34" s="96">
        <v>12.18</v>
      </c>
      <c r="S34" s="96">
        <v>12.82</v>
      </c>
      <c r="T34" s="112">
        <v>8.2799999999999994</v>
      </c>
      <c r="U34" s="269"/>
      <c r="V34" s="307">
        <v>0.21959999999999999</v>
      </c>
      <c r="W34" s="265">
        <v>0.43919999999999998</v>
      </c>
      <c r="X34" s="308">
        <v>1234.0360000000001</v>
      </c>
      <c r="Z34" s="244">
        <f t="shared" si="5"/>
        <v>25.132741228718345</v>
      </c>
      <c r="AA34" s="244">
        <f t="shared" si="6"/>
        <v>40.840704496667314</v>
      </c>
      <c r="AB34" s="335">
        <f t="shared" si="7"/>
        <v>237</v>
      </c>
      <c r="AC34" s="335">
        <f t="shared" si="30"/>
        <v>55</v>
      </c>
      <c r="AD34" s="335">
        <f t="shared" si="31"/>
        <v>66</v>
      </c>
      <c r="AE34" s="335">
        <f t="shared" si="9"/>
        <v>15.5</v>
      </c>
      <c r="AF34" s="195">
        <f t="shared" si="10"/>
        <v>84.397344572538572</v>
      </c>
      <c r="AG34" s="336">
        <f t="shared" si="11"/>
        <v>1.2500393292507437</v>
      </c>
    </row>
    <row r="35" spans="1:33" ht="15" customHeight="1" thickBot="1" x14ac:dyDescent="0.3">
      <c r="A35" s="73" t="str">
        <f t="shared" si="20"/>
        <v>Z250x3,0</v>
      </c>
      <c r="B35" s="5" t="str">
        <f t="shared" si="12"/>
        <v>250</v>
      </c>
      <c r="C35" s="5">
        <f t="shared" si="21"/>
        <v>69</v>
      </c>
      <c r="D35" s="5">
        <f t="shared" si="22"/>
        <v>80</v>
      </c>
      <c r="E35" s="5">
        <f t="shared" si="23"/>
        <v>22.5</v>
      </c>
      <c r="F35" s="6" t="str">
        <f t="shared" si="37"/>
        <v>Z250</v>
      </c>
      <c r="G35" s="82" t="s">
        <v>42</v>
      </c>
      <c r="H35" s="118">
        <v>3</v>
      </c>
      <c r="I35" s="113">
        <v>12.68</v>
      </c>
      <c r="J35" s="113">
        <v>1147.5</v>
      </c>
      <c r="K35" s="113">
        <v>89.49</v>
      </c>
      <c r="L35" s="113">
        <v>131.16</v>
      </c>
      <c r="M35" s="113">
        <v>16.57</v>
      </c>
      <c r="N35" s="113">
        <v>9.51</v>
      </c>
      <c r="O35" s="113">
        <v>3.21</v>
      </c>
      <c r="P35" s="98">
        <v>7.61</v>
      </c>
      <c r="Q35" s="98">
        <v>6.99</v>
      </c>
      <c r="R35" s="98">
        <v>12.18</v>
      </c>
      <c r="S35" s="98">
        <v>12.82</v>
      </c>
      <c r="T35" s="113">
        <v>9.9499999999999993</v>
      </c>
      <c r="U35" s="270"/>
      <c r="V35" s="315">
        <v>0.37990000000000002</v>
      </c>
      <c r="W35" s="316">
        <v>0.75990000000000002</v>
      </c>
      <c r="X35" s="317">
        <v>1514.9835</v>
      </c>
      <c r="Z35" s="244">
        <f t="shared" si="5"/>
        <v>25.132741228718345</v>
      </c>
      <c r="AA35" s="244">
        <f t="shared" si="6"/>
        <v>43.982297150257104</v>
      </c>
      <c r="AB35" s="335">
        <f t="shared" si="7"/>
        <v>236</v>
      </c>
      <c r="AC35" s="335">
        <f t="shared" si="30"/>
        <v>55</v>
      </c>
      <c r="AD35" s="335">
        <f t="shared" si="31"/>
        <v>66</v>
      </c>
      <c r="AE35" s="335">
        <f t="shared" si="9"/>
        <v>15.5</v>
      </c>
      <c r="AF35" s="195">
        <f t="shared" si="10"/>
        <v>84.51150383789755</v>
      </c>
      <c r="AG35" s="336">
        <f t="shared" si="11"/>
        <v>1.5003874530882386</v>
      </c>
    </row>
    <row r="36" spans="1:33" ht="15" customHeight="1" x14ac:dyDescent="0.25">
      <c r="A36" s="74" t="str">
        <f t="shared" si="20"/>
        <v>Z300x2,0</v>
      </c>
      <c r="B36" s="15" t="str">
        <f t="shared" si="12"/>
        <v>300</v>
      </c>
      <c r="C36" s="1">
        <f t="shared" si="21"/>
        <v>85</v>
      </c>
      <c r="D36" s="1">
        <f t="shared" si="22"/>
        <v>93</v>
      </c>
      <c r="E36" s="1">
        <f t="shared" si="23"/>
        <v>29.5</v>
      </c>
      <c r="F36" s="2" t="str">
        <f t="shared" si="37"/>
        <v>Z300</v>
      </c>
      <c r="G36" s="80" t="s">
        <v>43</v>
      </c>
      <c r="H36" s="116">
        <v>2</v>
      </c>
      <c r="I36" s="111">
        <v>10.41</v>
      </c>
      <c r="J36" s="111">
        <v>1382.43</v>
      </c>
      <c r="K36" s="111">
        <v>90.77</v>
      </c>
      <c r="L36" s="111">
        <v>167.92</v>
      </c>
      <c r="M36" s="111">
        <v>18.2</v>
      </c>
      <c r="N36" s="111">
        <v>11.52</v>
      </c>
      <c r="O36" s="111">
        <v>4.01</v>
      </c>
      <c r="P36" s="94">
        <v>9.02</v>
      </c>
      <c r="Q36" s="94">
        <v>8.58</v>
      </c>
      <c r="R36" s="94">
        <v>14.78</v>
      </c>
      <c r="S36" s="94">
        <v>15.22</v>
      </c>
      <c r="T36" s="111">
        <v>8.17</v>
      </c>
      <c r="U36" s="276"/>
      <c r="V36" s="312">
        <v>0.13869999999999999</v>
      </c>
      <c r="W36" s="313">
        <v>0.27739999999999998</v>
      </c>
      <c r="X36" s="314">
        <v>1882.4296999999999</v>
      </c>
      <c r="Z36" s="244">
        <f t="shared" si="5"/>
        <v>25.132741228718345</v>
      </c>
      <c r="AA36" s="244">
        <f t="shared" si="6"/>
        <v>37.699111843077517</v>
      </c>
      <c r="AB36" s="335">
        <f t="shared" si="7"/>
        <v>288</v>
      </c>
      <c r="AC36" s="335">
        <f t="shared" si="30"/>
        <v>73</v>
      </c>
      <c r="AD36" s="335">
        <f t="shared" si="31"/>
        <v>81</v>
      </c>
      <c r="AE36" s="335">
        <f t="shared" si="9"/>
        <v>23.5</v>
      </c>
      <c r="AF36" s="195">
        <f t="shared" si="10"/>
        <v>104.08318530717959</v>
      </c>
      <c r="AG36" s="336">
        <f t="shared" si="11"/>
        <v>1.0001615505210644</v>
      </c>
    </row>
    <row r="37" spans="1:33" ht="15" customHeight="1" x14ac:dyDescent="0.25">
      <c r="A37" s="72" t="str">
        <f t="shared" si="20"/>
        <v>Z300x2,5</v>
      </c>
      <c r="B37" s="3" t="str">
        <f t="shared" si="12"/>
        <v>300</v>
      </c>
      <c r="C37" s="75">
        <f t="shared" si="21"/>
        <v>86</v>
      </c>
      <c r="D37" s="14">
        <f t="shared" si="22"/>
        <v>94</v>
      </c>
      <c r="E37" s="14">
        <f t="shared" si="23"/>
        <v>30</v>
      </c>
      <c r="F37" s="4" t="str">
        <f t="shared" si="37"/>
        <v>Z300</v>
      </c>
      <c r="G37" s="81" t="s">
        <v>44</v>
      </c>
      <c r="H37" s="117">
        <v>2.5</v>
      </c>
      <c r="I37" s="112">
        <v>13.03</v>
      </c>
      <c r="J37" s="112">
        <v>1726.2</v>
      </c>
      <c r="K37" s="112">
        <v>113.35</v>
      </c>
      <c r="L37" s="112">
        <v>213.52</v>
      </c>
      <c r="M37" s="112">
        <v>22.84</v>
      </c>
      <c r="N37" s="112">
        <v>11.51</v>
      </c>
      <c r="O37" s="112">
        <v>4.04</v>
      </c>
      <c r="P37" s="96">
        <v>9.09</v>
      </c>
      <c r="Q37" s="96">
        <v>8.66</v>
      </c>
      <c r="R37" s="96">
        <v>14.78</v>
      </c>
      <c r="S37" s="96">
        <v>15.22</v>
      </c>
      <c r="T37" s="112">
        <v>10.220000000000001</v>
      </c>
      <c r="U37" s="269"/>
      <c r="V37" s="307">
        <v>0.2712</v>
      </c>
      <c r="W37" s="265">
        <v>0.5423</v>
      </c>
      <c r="X37" s="308">
        <v>2396.4252999999999</v>
      </c>
      <c r="Z37" s="244">
        <f t="shared" si="5"/>
        <v>25.132741228718345</v>
      </c>
      <c r="AA37" s="244">
        <f t="shared" si="6"/>
        <v>40.840704496667314</v>
      </c>
      <c r="AB37" s="335">
        <f t="shared" si="7"/>
        <v>287</v>
      </c>
      <c r="AC37" s="335">
        <f t="shared" si="30"/>
        <v>73</v>
      </c>
      <c r="AD37" s="335">
        <f t="shared" si="31"/>
        <v>81</v>
      </c>
      <c r="AE37" s="335">
        <f t="shared" si="9"/>
        <v>23.5</v>
      </c>
      <c r="AF37" s="195">
        <f t="shared" si="10"/>
        <v>104.19734457253858</v>
      </c>
      <c r="AG37" s="336">
        <f t="shared" si="11"/>
        <v>1.2505117144255977</v>
      </c>
    </row>
    <row r="38" spans="1:33" ht="15" customHeight="1" x14ac:dyDescent="0.25">
      <c r="A38" s="72" t="str">
        <f t="shared" si="20"/>
        <v>Z300x3,0</v>
      </c>
      <c r="B38" s="3" t="str">
        <f t="shared" si="12"/>
        <v>300</v>
      </c>
      <c r="C38" s="3">
        <f t="shared" si="21"/>
        <v>87</v>
      </c>
      <c r="D38" s="3">
        <f t="shared" si="22"/>
        <v>95</v>
      </c>
      <c r="E38" s="14">
        <f t="shared" si="23"/>
        <v>30.5</v>
      </c>
      <c r="F38" s="4" t="str">
        <f t="shared" si="37"/>
        <v>Z300</v>
      </c>
      <c r="G38" s="81" t="s">
        <v>45</v>
      </c>
      <c r="H38" s="117">
        <v>3</v>
      </c>
      <c r="I38" s="112">
        <v>15.65</v>
      </c>
      <c r="J38" s="112">
        <v>2069.2199999999998</v>
      </c>
      <c r="K38" s="112">
        <v>135.88</v>
      </c>
      <c r="L38" s="112">
        <v>260.62</v>
      </c>
      <c r="M38" s="112">
        <v>27.51</v>
      </c>
      <c r="N38" s="112">
        <v>11.49</v>
      </c>
      <c r="O38" s="112">
        <v>4.08</v>
      </c>
      <c r="P38" s="96">
        <v>9.17</v>
      </c>
      <c r="Q38" s="96">
        <v>8.73</v>
      </c>
      <c r="R38" s="96">
        <v>14.78</v>
      </c>
      <c r="S38" s="96">
        <v>15.22</v>
      </c>
      <c r="T38" s="112">
        <v>12.28</v>
      </c>
      <c r="U38" s="269"/>
      <c r="V38" s="307">
        <v>0.46899999999999997</v>
      </c>
      <c r="W38" s="265">
        <v>0.93810000000000004</v>
      </c>
      <c r="X38" s="308">
        <v>2928.3249999999998</v>
      </c>
      <c r="Z38" s="244">
        <f t="shared" si="5"/>
        <v>25.132741228718345</v>
      </c>
      <c r="AA38" s="244">
        <f t="shared" si="6"/>
        <v>43.982297150257104</v>
      </c>
      <c r="AB38" s="335">
        <f t="shared" si="7"/>
        <v>286</v>
      </c>
      <c r="AC38" s="335">
        <f t="shared" si="30"/>
        <v>73</v>
      </c>
      <c r="AD38" s="335">
        <f t="shared" si="31"/>
        <v>81</v>
      </c>
      <c r="AE38" s="335">
        <f t="shared" si="9"/>
        <v>23.5</v>
      </c>
      <c r="AF38" s="195">
        <f t="shared" si="10"/>
        <v>104.31150383789755</v>
      </c>
      <c r="AG38" s="336">
        <f t="shared" si="11"/>
        <v>1.5003139082646586</v>
      </c>
    </row>
    <row r="39" spans="1:33" ht="15" customHeight="1" thickBot="1" x14ac:dyDescent="0.3">
      <c r="A39" s="73" t="str">
        <f t="shared" si="20"/>
        <v>Z300x3,5</v>
      </c>
      <c r="B39" s="5" t="str">
        <f t="shared" si="12"/>
        <v>300</v>
      </c>
      <c r="C39" s="5">
        <f t="shared" si="21"/>
        <v>88</v>
      </c>
      <c r="D39" s="5">
        <f t="shared" si="22"/>
        <v>96</v>
      </c>
      <c r="E39" s="5">
        <f t="shared" si="23"/>
        <v>31</v>
      </c>
      <c r="F39" s="6" t="str">
        <f t="shared" si="37"/>
        <v>Z300</v>
      </c>
      <c r="G39" s="82" t="s">
        <v>46</v>
      </c>
      <c r="H39" s="118">
        <v>3.5</v>
      </c>
      <c r="I39" s="113">
        <v>18.28</v>
      </c>
      <c r="J39" s="113">
        <v>2411.48</v>
      </c>
      <c r="K39" s="113">
        <v>158.36000000000001</v>
      </c>
      <c r="L39" s="113">
        <v>309.25</v>
      </c>
      <c r="M39" s="113">
        <v>32.22</v>
      </c>
      <c r="N39" s="113">
        <v>11.48</v>
      </c>
      <c r="O39" s="113">
        <v>4.1100000000000003</v>
      </c>
      <c r="P39" s="98">
        <v>9.24</v>
      </c>
      <c r="Q39" s="98">
        <v>8.81</v>
      </c>
      <c r="R39" s="98">
        <v>14.78</v>
      </c>
      <c r="S39" s="98">
        <v>15.22</v>
      </c>
      <c r="T39" s="113">
        <v>14.35</v>
      </c>
      <c r="U39" s="270"/>
      <c r="V39" s="309">
        <v>0.74560000000000004</v>
      </c>
      <c r="W39" s="310">
        <v>1.4912000000000001</v>
      </c>
      <c r="X39" s="311">
        <v>3478.4050999999999</v>
      </c>
      <c r="Z39" s="244">
        <f t="shared" si="5"/>
        <v>25.132741228718345</v>
      </c>
      <c r="AA39" s="244">
        <f t="shared" si="6"/>
        <v>47.123889803846893</v>
      </c>
      <c r="AB39" s="335">
        <f t="shared" si="7"/>
        <v>285</v>
      </c>
      <c r="AC39" s="335">
        <f t="shared" si="30"/>
        <v>73</v>
      </c>
      <c r="AD39" s="335">
        <f t="shared" si="31"/>
        <v>81</v>
      </c>
      <c r="AE39" s="335">
        <f t="shared" si="9"/>
        <v>23.5</v>
      </c>
      <c r="AF39" s="195">
        <f t="shared" si="10"/>
        <v>104.42566310325654</v>
      </c>
      <c r="AG39" s="336">
        <f t="shared" si="11"/>
        <v>1.7505275481875235</v>
      </c>
    </row>
    <row r="40" spans="1:33" ht="15" customHeight="1" x14ac:dyDescent="0.25">
      <c r="A40" s="74" t="str">
        <f t="shared" si="20"/>
        <v>Z350x2,0</v>
      </c>
      <c r="B40" s="15" t="str">
        <f t="shared" si="12"/>
        <v>350</v>
      </c>
      <c r="C40" s="15">
        <f t="shared" si="21"/>
        <v>85</v>
      </c>
      <c r="D40" s="15">
        <f t="shared" si="22"/>
        <v>93</v>
      </c>
      <c r="E40" s="75">
        <f t="shared" si="23"/>
        <v>29.5</v>
      </c>
      <c r="F40" s="8" t="str">
        <f t="shared" si="37"/>
        <v>Z350</v>
      </c>
      <c r="G40" s="80" t="s">
        <v>47</v>
      </c>
      <c r="H40" s="116">
        <v>2</v>
      </c>
      <c r="I40" s="111">
        <v>11.41</v>
      </c>
      <c r="J40" s="111">
        <v>1994.66</v>
      </c>
      <c r="K40" s="111">
        <v>112.41</v>
      </c>
      <c r="L40" s="111">
        <v>167.95</v>
      </c>
      <c r="M40" s="111">
        <v>18.170000000000002</v>
      </c>
      <c r="N40" s="111">
        <v>13.22</v>
      </c>
      <c r="O40" s="111">
        <v>3.83</v>
      </c>
      <c r="P40" s="94">
        <v>9.0399999999999991</v>
      </c>
      <c r="Q40" s="94">
        <v>8.56</v>
      </c>
      <c r="R40" s="94">
        <v>17.260000000000002</v>
      </c>
      <c r="S40" s="94">
        <v>17.739999999999998</v>
      </c>
      <c r="T40" s="111">
        <v>8.9600000000000009</v>
      </c>
      <c r="U40" s="276"/>
      <c r="V40" s="318">
        <v>0.152</v>
      </c>
      <c r="W40" s="319">
        <v>0.30399999999999999</v>
      </c>
      <c r="X40" s="320">
        <v>2025.2414000000001</v>
      </c>
      <c r="Z40" s="244">
        <f t="shared" si="5"/>
        <v>25.132741228718345</v>
      </c>
      <c r="AA40" s="244">
        <f t="shared" si="6"/>
        <v>37.699111843077517</v>
      </c>
      <c r="AB40" s="335">
        <f t="shared" si="7"/>
        <v>338</v>
      </c>
      <c r="AC40" s="335">
        <f t="shared" si="30"/>
        <v>73</v>
      </c>
      <c r="AD40" s="335">
        <f t="shared" si="31"/>
        <v>81</v>
      </c>
      <c r="AE40" s="335">
        <f t="shared" si="9"/>
        <v>23.5</v>
      </c>
      <c r="AF40" s="195">
        <f t="shared" si="10"/>
        <v>114.08318530717959</v>
      </c>
      <c r="AG40" s="336">
        <f t="shared" si="11"/>
        <v>1.0001473897557747</v>
      </c>
    </row>
    <row r="41" spans="1:33" ht="15" customHeight="1" x14ac:dyDescent="0.25">
      <c r="A41" s="72" t="str">
        <f t="shared" si="20"/>
        <v>Z350x2,5</v>
      </c>
      <c r="B41" s="3" t="str">
        <f t="shared" si="12"/>
        <v>350</v>
      </c>
      <c r="C41" s="15">
        <f t="shared" si="21"/>
        <v>86</v>
      </c>
      <c r="D41" s="3">
        <f t="shared" si="22"/>
        <v>94</v>
      </c>
      <c r="E41" s="14">
        <f t="shared" si="23"/>
        <v>30</v>
      </c>
      <c r="F41" s="4" t="str">
        <f t="shared" si="37"/>
        <v>Z350</v>
      </c>
      <c r="G41" s="81" t="s">
        <v>48</v>
      </c>
      <c r="H41" s="117">
        <v>2.5</v>
      </c>
      <c r="I41" s="112">
        <v>14.28</v>
      </c>
      <c r="J41" s="112">
        <v>2491.77</v>
      </c>
      <c r="K41" s="112">
        <v>140.43</v>
      </c>
      <c r="L41" s="112">
        <v>213.56</v>
      </c>
      <c r="M41" s="112">
        <v>22.8</v>
      </c>
      <c r="N41" s="112">
        <v>13.21</v>
      </c>
      <c r="O41" s="112">
        <v>3.86</v>
      </c>
      <c r="P41" s="96">
        <v>9.11</v>
      </c>
      <c r="Q41" s="96">
        <v>8.64</v>
      </c>
      <c r="R41" s="96">
        <v>17.260000000000002</v>
      </c>
      <c r="S41" s="96">
        <v>17.739999999999998</v>
      </c>
      <c r="T41" s="112">
        <v>11.21</v>
      </c>
      <c r="U41" s="269"/>
      <c r="V41" s="307">
        <v>0.29720000000000002</v>
      </c>
      <c r="W41" s="265">
        <v>0.59440000000000004</v>
      </c>
      <c r="X41" s="308">
        <v>2578.1273999999999</v>
      </c>
      <c r="Z41" s="244">
        <f t="shared" si="5"/>
        <v>25.132741228718345</v>
      </c>
      <c r="AA41" s="244">
        <f t="shared" si="6"/>
        <v>40.840704496667314</v>
      </c>
      <c r="AB41" s="335">
        <f t="shared" si="7"/>
        <v>337</v>
      </c>
      <c r="AC41" s="335">
        <f t="shared" si="30"/>
        <v>73</v>
      </c>
      <c r="AD41" s="335">
        <f t="shared" si="31"/>
        <v>81</v>
      </c>
      <c r="AE41" s="335">
        <f t="shared" si="9"/>
        <v>23.5</v>
      </c>
      <c r="AF41" s="195">
        <f t="shared" si="10"/>
        <v>114.19734457253858</v>
      </c>
      <c r="AG41" s="336">
        <f t="shared" si="11"/>
        <v>1.2504669047649606</v>
      </c>
    </row>
    <row r="42" spans="1:33" ht="15" customHeight="1" x14ac:dyDescent="0.25">
      <c r="A42" s="72" t="str">
        <f t="shared" si="20"/>
        <v>Z350x3,0</v>
      </c>
      <c r="B42" s="3" t="str">
        <f t="shared" si="12"/>
        <v>350</v>
      </c>
      <c r="C42" s="3">
        <f t="shared" si="21"/>
        <v>87</v>
      </c>
      <c r="D42" s="3">
        <f t="shared" si="22"/>
        <v>95</v>
      </c>
      <c r="E42" s="3">
        <f t="shared" si="23"/>
        <v>30.5</v>
      </c>
      <c r="F42" s="4" t="str">
        <f t="shared" si="37"/>
        <v>Z350</v>
      </c>
      <c r="G42" s="81" t="s">
        <v>49</v>
      </c>
      <c r="H42" s="117">
        <v>3</v>
      </c>
      <c r="I42" s="112">
        <v>17.149999999999999</v>
      </c>
      <c r="J42" s="112">
        <v>2988.23</v>
      </c>
      <c r="K42" s="112">
        <v>168.41</v>
      </c>
      <c r="L42" s="112">
        <v>260.67</v>
      </c>
      <c r="M42" s="112">
        <v>27.47</v>
      </c>
      <c r="N42" s="112">
        <v>13.2</v>
      </c>
      <c r="O42" s="112">
        <v>3.89</v>
      </c>
      <c r="P42" s="96">
        <v>9.18</v>
      </c>
      <c r="Q42" s="96">
        <v>8.7200000000000006</v>
      </c>
      <c r="R42" s="96">
        <v>17.260000000000002</v>
      </c>
      <c r="S42" s="96">
        <v>17.739999999999998</v>
      </c>
      <c r="T42" s="112">
        <v>13.46</v>
      </c>
      <c r="U42" s="269"/>
      <c r="V42" s="307">
        <v>0.51400000000000001</v>
      </c>
      <c r="W42" s="265">
        <v>1.0281</v>
      </c>
      <c r="X42" s="308">
        <v>3150.2275</v>
      </c>
      <c r="Z42" s="244">
        <f t="shared" si="5"/>
        <v>25.132741228718345</v>
      </c>
      <c r="AA42" s="244">
        <f t="shared" si="6"/>
        <v>43.982297150257104</v>
      </c>
      <c r="AB42" s="335">
        <f t="shared" si="7"/>
        <v>336</v>
      </c>
      <c r="AC42" s="335">
        <f t="shared" si="30"/>
        <v>73</v>
      </c>
      <c r="AD42" s="335">
        <f t="shared" si="31"/>
        <v>81</v>
      </c>
      <c r="AE42" s="335">
        <f t="shared" si="9"/>
        <v>23.5</v>
      </c>
      <c r="AF42" s="195">
        <f t="shared" si="10"/>
        <v>114.31150383789755</v>
      </c>
      <c r="AG42" s="336">
        <f t="shared" si="11"/>
        <v>1.5002864474882607</v>
      </c>
    </row>
    <row r="43" spans="1:33" ht="15" customHeight="1" thickBot="1" x14ac:dyDescent="0.3">
      <c r="A43" s="73" t="str">
        <f t="shared" si="20"/>
        <v>Z350x3,5</v>
      </c>
      <c r="B43" s="14" t="str">
        <f t="shared" si="12"/>
        <v>350</v>
      </c>
      <c r="C43" s="15">
        <f t="shared" si="21"/>
        <v>88</v>
      </c>
      <c r="D43" s="15">
        <f t="shared" si="22"/>
        <v>96</v>
      </c>
      <c r="E43" s="15">
        <f t="shared" si="23"/>
        <v>31</v>
      </c>
      <c r="F43" s="7" t="str">
        <f t="shared" si="37"/>
        <v>Z350</v>
      </c>
      <c r="G43" s="82" t="s">
        <v>50</v>
      </c>
      <c r="H43" s="118">
        <v>3.5</v>
      </c>
      <c r="I43" s="113">
        <v>20.03</v>
      </c>
      <c r="J43" s="113">
        <v>3484.03</v>
      </c>
      <c r="K43" s="113">
        <v>196.36</v>
      </c>
      <c r="L43" s="113">
        <v>309.32</v>
      </c>
      <c r="M43" s="113">
        <v>32.17</v>
      </c>
      <c r="N43" s="113">
        <v>13.19</v>
      </c>
      <c r="O43" s="113">
        <v>3.93</v>
      </c>
      <c r="P43" s="98">
        <v>9.26</v>
      </c>
      <c r="Q43" s="98">
        <v>8.7899999999999991</v>
      </c>
      <c r="R43" s="98">
        <v>17.260000000000002</v>
      </c>
      <c r="S43" s="98">
        <v>17.739999999999998</v>
      </c>
      <c r="T43" s="113">
        <v>15.72</v>
      </c>
      <c r="U43" s="270"/>
      <c r="V43" s="315">
        <v>0.81710000000000005</v>
      </c>
      <c r="W43" s="316">
        <v>1.6342000000000001</v>
      </c>
      <c r="X43" s="317">
        <v>3741.8355000000001</v>
      </c>
      <c r="Z43" s="244">
        <f t="shared" si="5"/>
        <v>25.132741228718345</v>
      </c>
      <c r="AA43" s="244">
        <f t="shared" si="6"/>
        <v>47.123889803846893</v>
      </c>
      <c r="AB43" s="335">
        <f t="shared" si="7"/>
        <v>335</v>
      </c>
      <c r="AC43" s="335">
        <f t="shared" si="30"/>
        <v>73</v>
      </c>
      <c r="AD43" s="335">
        <f t="shared" si="31"/>
        <v>81</v>
      </c>
      <c r="AE43" s="335">
        <f t="shared" si="9"/>
        <v>23.5</v>
      </c>
      <c r="AF43" s="195">
        <f t="shared" si="10"/>
        <v>114.42566310325654</v>
      </c>
      <c r="AG43" s="336">
        <f t="shared" si="11"/>
        <v>1.7504814441778795</v>
      </c>
    </row>
    <row r="44" spans="1:33" ht="15" customHeight="1" x14ac:dyDescent="0.25">
      <c r="A44" s="74" t="str">
        <f t="shared" si="20"/>
        <v>Z400x2,0</v>
      </c>
      <c r="B44" s="1" t="str">
        <f t="shared" si="12"/>
        <v>400</v>
      </c>
      <c r="C44" s="1">
        <f t="shared" si="21"/>
        <v>85</v>
      </c>
      <c r="D44" s="1">
        <f t="shared" si="22"/>
        <v>93</v>
      </c>
      <c r="E44" s="1">
        <f t="shared" si="23"/>
        <v>29.5</v>
      </c>
      <c r="F44" s="2" t="str">
        <f t="shared" si="37"/>
        <v>Z400</v>
      </c>
      <c r="G44" s="80" t="s">
        <v>51</v>
      </c>
      <c r="H44" s="116">
        <v>2</v>
      </c>
      <c r="I44" s="111">
        <v>12.41</v>
      </c>
      <c r="J44" s="111">
        <v>2749.49</v>
      </c>
      <c r="K44" s="111">
        <v>135.72999999999999</v>
      </c>
      <c r="L44" s="111">
        <v>167.98</v>
      </c>
      <c r="M44" s="111">
        <v>18.149999999999999</v>
      </c>
      <c r="N44" s="111">
        <v>14.88</v>
      </c>
      <c r="O44" s="111">
        <v>3.67</v>
      </c>
      <c r="P44" s="94">
        <v>9.0500000000000007</v>
      </c>
      <c r="Q44" s="94">
        <v>8.5500000000000007</v>
      </c>
      <c r="R44" s="94">
        <v>19.75</v>
      </c>
      <c r="S44" s="94">
        <v>20.25</v>
      </c>
      <c r="T44" s="111">
        <v>9.74</v>
      </c>
      <c r="U44" s="276"/>
      <c r="V44" s="312">
        <v>0.1653</v>
      </c>
      <c r="W44" s="313">
        <v>0.33069999999999999</v>
      </c>
      <c r="X44" s="314">
        <v>2168.0529999999999</v>
      </c>
      <c r="Z44" s="244">
        <f t="shared" si="5"/>
        <v>25.132741228718345</v>
      </c>
      <c r="AA44" s="244">
        <f t="shared" si="6"/>
        <v>37.699111843077517</v>
      </c>
      <c r="AB44" s="335">
        <f t="shared" si="7"/>
        <v>388</v>
      </c>
      <c r="AC44" s="335">
        <f t="shared" si="30"/>
        <v>73</v>
      </c>
      <c r="AD44" s="335">
        <f t="shared" si="31"/>
        <v>81</v>
      </c>
      <c r="AE44" s="335">
        <f t="shared" si="9"/>
        <v>23.5</v>
      </c>
      <c r="AF44" s="195">
        <f t="shared" si="10"/>
        <v>124.08318530717959</v>
      </c>
      <c r="AG44" s="336">
        <f t="shared" si="11"/>
        <v>1.0001355114536976</v>
      </c>
    </row>
    <row r="45" spans="1:33" s="198" customFormat="1" ht="15" customHeight="1" x14ac:dyDescent="0.25">
      <c r="A45" s="72" t="str">
        <f t="shared" si="20"/>
        <v>Z400x2,5</v>
      </c>
      <c r="B45" s="61" t="str">
        <f t="shared" si="12"/>
        <v>400</v>
      </c>
      <c r="C45" s="15">
        <f t="shared" si="21"/>
        <v>86</v>
      </c>
      <c r="D45" s="15">
        <f t="shared" si="22"/>
        <v>94</v>
      </c>
      <c r="E45" s="15">
        <f t="shared" si="23"/>
        <v>30</v>
      </c>
      <c r="F45" s="62" t="str">
        <f t="shared" si="37"/>
        <v>Z400</v>
      </c>
      <c r="G45" s="84" t="s">
        <v>52</v>
      </c>
      <c r="H45" s="119">
        <v>2.5</v>
      </c>
      <c r="I45" s="183">
        <v>15.53</v>
      </c>
      <c r="J45" s="183">
        <v>3435.76</v>
      </c>
      <c r="K45" s="183">
        <v>169.61</v>
      </c>
      <c r="L45" s="183">
        <v>213.59</v>
      </c>
      <c r="M45" s="183">
        <v>22.78</v>
      </c>
      <c r="N45" s="183">
        <v>14.87</v>
      </c>
      <c r="O45" s="183">
        <v>3.7</v>
      </c>
      <c r="P45" s="184">
        <v>9.1199999999999992</v>
      </c>
      <c r="Q45" s="184">
        <v>8.6300000000000008</v>
      </c>
      <c r="R45" s="184">
        <v>19.75</v>
      </c>
      <c r="S45" s="184">
        <v>20.25</v>
      </c>
      <c r="T45" s="183">
        <v>12.19</v>
      </c>
      <c r="U45" s="306"/>
      <c r="V45" s="307">
        <v>0.32319999999999999</v>
      </c>
      <c r="W45" s="265">
        <v>0.64649999999999996</v>
      </c>
      <c r="X45" s="308">
        <v>2759.8294999999998</v>
      </c>
      <c r="Z45" s="244">
        <f t="shared" si="5"/>
        <v>25.132741228718345</v>
      </c>
      <c r="AA45" s="244">
        <f t="shared" si="6"/>
        <v>40.840704496667314</v>
      </c>
      <c r="AB45" s="335">
        <f t="shared" si="7"/>
        <v>387</v>
      </c>
      <c r="AC45" s="335">
        <f t="shared" si="30"/>
        <v>73</v>
      </c>
      <c r="AD45" s="335">
        <f t="shared" si="31"/>
        <v>81</v>
      </c>
      <c r="AE45" s="335">
        <f t="shared" si="9"/>
        <v>23.5</v>
      </c>
      <c r="AF45" s="195">
        <f t="shared" si="10"/>
        <v>124.19734457253858</v>
      </c>
      <c r="AG45" s="336">
        <f t="shared" si="11"/>
        <v>1.2504293109849511</v>
      </c>
    </row>
    <row r="46" spans="1:33" ht="15" customHeight="1" x14ac:dyDescent="0.25">
      <c r="A46" s="72" t="str">
        <f t="shared" si="20"/>
        <v>Z400x3,0</v>
      </c>
      <c r="B46" s="3" t="str">
        <f t="shared" si="12"/>
        <v>400</v>
      </c>
      <c r="C46" s="3">
        <f t="shared" si="21"/>
        <v>87</v>
      </c>
      <c r="D46" s="3">
        <f t="shared" si="22"/>
        <v>95</v>
      </c>
      <c r="E46" s="3">
        <f t="shared" si="23"/>
        <v>30.5</v>
      </c>
      <c r="F46" s="4" t="str">
        <f t="shared" si="37"/>
        <v>Z400</v>
      </c>
      <c r="G46" s="81" t="s">
        <v>53</v>
      </c>
      <c r="H46" s="117">
        <v>3</v>
      </c>
      <c r="I46" s="112">
        <v>18.649999999999999</v>
      </c>
      <c r="J46" s="112">
        <v>4121.5600000000004</v>
      </c>
      <c r="K46" s="112">
        <v>203.47</v>
      </c>
      <c r="L46" s="112">
        <v>260.72000000000003</v>
      </c>
      <c r="M46" s="112">
        <v>27.44</v>
      </c>
      <c r="N46" s="112">
        <v>14.86</v>
      </c>
      <c r="O46" s="112">
        <v>3.73</v>
      </c>
      <c r="P46" s="96">
        <v>9.1999999999999993</v>
      </c>
      <c r="Q46" s="96">
        <v>8.6999999999999993</v>
      </c>
      <c r="R46" s="96">
        <v>19.75</v>
      </c>
      <c r="S46" s="96">
        <v>20.25</v>
      </c>
      <c r="T46" s="112">
        <v>14.64</v>
      </c>
      <c r="U46" s="269"/>
      <c r="V46" s="307">
        <v>0.55900000000000005</v>
      </c>
      <c r="W46" s="265">
        <v>1.1181000000000001</v>
      </c>
      <c r="X46" s="308">
        <v>3372.13</v>
      </c>
      <c r="Z46" s="244">
        <f t="shared" si="5"/>
        <v>25.132741228718345</v>
      </c>
      <c r="AA46" s="244">
        <f t="shared" si="6"/>
        <v>43.982297150257104</v>
      </c>
      <c r="AB46" s="335">
        <f t="shared" si="7"/>
        <v>386</v>
      </c>
      <c r="AC46" s="335">
        <f t="shared" si="30"/>
        <v>73</v>
      </c>
      <c r="AD46" s="335">
        <f t="shared" si="31"/>
        <v>81</v>
      </c>
      <c r="AE46" s="335">
        <f t="shared" si="9"/>
        <v>23.5</v>
      </c>
      <c r="AF46" s="195">
        <f t="shared" si="10"/>
        <v>124.31150383789755</v>
      </c>
      <c r="AG46" s="336">
        <f t="shared" si="11"/>
        <v>1.5002634047706185</v>
      </c>
    </row>
    <row r="47" spans="1:33" ht="15" customHeight="1" x14ac:dyDescent="0.25">
      <c r="A47" s="72" t="str">
        <f t="shared" si="20"/>
        <v>Z400x3,5</v>
      </c>
      <c r="B47" s="3" t="str">
        <f t="shared" si="12"/>
        <v>400</v>
      </c>
      <c r="C47" s="3">
        <f t="shared" si="21"/>
        <v>88</v>
      </c>
      <c r="D47" s="3">
        <f t="shared" si="22"/>
        <v>96</v>
      </c>
      <c r="E47" s="3">
        <f t="shared" si="23"/>
        <v>31</v>
      </c>
      <c r="F47" s="4" t="str">
        <f t="shared" si="37"/>
        <v>Z400</v>
      </c>
      <c r="G47" s="81" t="s">
        <v>54</v>
      </c>
      <c r="H47" s="117">
        <v>3.5</v>
      </c>
      <c r="I47" s="112">
        <v>21.78</v>
      </c>
      <c r="J47" s="112">
        <v>4806.87</v>
      </c>
      <c r="K47" s="112">
        <v>237.31</v>
      </c>
      <c r="L47" s="112">
        <v>309.38</v>
      </c>
      <c r="M47" s="112">
        <v>32.14</v>
      </c>
      <c r="N47" s="112">
        <v>14.85</v>
      </c>
      <c r="O47" s="112">
        <v>3.76</v>
      </c>
      <c r="P47" s="96">
        <v>9.27</v>
      </c>
      <c r="Q47" s="96">
        <v>8.7799999999999994</v>
      </c>
      <c r="R47" s="96">
        <v>19.75</v>
      </c>
      <c r="S47" s="96">
        <v>20.25</v>
      </c>
      <c r="T47" s="112">
        <v>17.09</v>
      </c>
      <c r="U47" s="269"/>
      <c r="V47" s="307">
        <v>0.88849999999999996</v>
      </c>
      <c r="W47" s="265">
        <v>1.7770999999999999</v>
      </c>
      <c r="X47" s="308">
        <v>4005.2658999999999</v>
      </c>
      <c r="Z47" s="244">
        <f t="shared" si="5"/>
        <v>25.132741228718345</v>
      </c>
      <c r="AA47" s="244">
        <f t="shared" si="6"/>
        <v>47.123889803846893</v>
      </c>
      <c r="AB47" s="335">
        <f t="shared" si="7"/>
        <v>385</v>
      </c>
      <c r="AC47" s="335">
        <f t="shared" si="30"/>
        <v>73</v>
      </c>
      <c r="AD47" s="335">
        <f t="shared" si="31"/>
        <v>81</v>
      </c>
      <c r="AE47" s="335">
        <f t="shared" si="9"/>
        <v>23.5</v>
      </c>
      <c r="AF47" s="195">
        <f t="shared" si="10"/>
        <v>124.42566310325654</v>
      </c>
      <c r="AG47" s="336">
        <f t="shared" si="11"/>
        <v>1.7504427508596465</v>
      </c>
    </row>
    <row r="48" spans="1:33" ht="15" customHeight="1" thickBot="1" x14ac:dyDescent="0.3">
      <c r="A48" s="73" t="str">
        <f t="shared" si="20"/>
        <v>Z400x4,0</v>
      </c>
      <c r="B48" s="5" t="str">
        <f t="shared" si="12"/>
        <v>400</v>
      </c>
      <c r="C48" s="5">
        <f t="shared" si="21"/>
        <v>89</v>
      </c>
      <c r="D48" s="5">
        <f t="shared" si="22"/>
        <v>97</v>
      </c>
      <c r="E48" s="5">
        <f t="shared" si="23"/>
        <v>31.5</v>
      </c>
      <c r="F48" s="6" t="str">
        <f t="shared" si="37"/>
        <v>Z400</v>
      </c>
      <c r="G48" s="82" t="s">
        <v>55</v>
      </c>
      <c r="H48" s="118">
        <v>4</v>
      </c>
      <c r="I48" s="113">
        <v>24.91</v>
      </c>
      <c r="J48" s="113">
        <v>5491.68</v>
      </c>
      <c r="K48" s="113">
        <v>271.13</v>
      </c>
      <c r="L48" s="113">
        <v>359.6</v>
      </c>
      <c r="M48" s="113">
        <v>36.880000000000003</v>
      </c>
      <c r="N48" s="113">
        <v>14.84</v>
      </c>
      <c r="O48" s="113">
        <v>3.79</v>
      </c>
      <c r="P48" s="98">
        <v>9.35</v>
      </c>
      <c r="Q48" s="98">
        <v>8.85</v>
      </c>
      <c r="R48" s="98">
        <v>19.75</v>
      </c>
      <c r="S48" s="98">
        <v>20.25</v>
      </c>
      <c r="T48" s="113">
        <v>19.55</v>
      </c>
      <c r="U48" s="270"/>
      <c r="V48" s="140"/>
      <c r="W48" s="141"/>
      <c r="X48" s="87"/>
      <c r="Z48" s="244">
        <f t="shared" si="5"/>
        <v>25.132741228718345</v>
      </c>
      <c r="AA48" s="244">
        <f t="shared" si="6"/>
        <v>50.26548245743669</v>
      </c>
      <c r="AB48" s="335">
        <f t="shared" si="7"/>
        <v>384</v>
      </c>
      <c r="AC48" s="335">
        <f t="shared" si="30"/>
        <v>73</v>
      </c>
      <c r="AD48" s="335">
        <f t="shared" si="31"/>
        <v>81</v>
      </c>
      <c r="AE48" s="335">
        <f t="shared" si="9"/>
        <v>23.5</v>
      </c>
      <c r="AF48" s="195">
        <f t="shared" si="10"/>
        <v>124.5398223686155</v>
      </c>
      <c r="AG48" s="336">
        <f t="shared" si="11"/>
        <v>2.0001634438076259</v>
      </c>
    </row>
    <row r="49" spans="26:29" ht="15" customHeight="1" x14ac:dyDescent="0.25">
      <c r="Z49" s="244"/>
      <c r="AA49" s="244"/>
      <c r="AB49" s="244"/>
      <c r="AC49" s="244"/>
    </row>
    <row r="50" spans="26:29" ht="15" customHeight="1" x14ac:dyDescent="0.25">
      <c r="Z50" s="244"/>
      <c r="AA50" s="244"/>
      <c r="AB50" s="244"/>
      <c r="AC50" s="244"/>
    </row>
    <row r="51" spans="26:29" ht="15" customHeight="1" x14ac:dyDescent="0.25">
      <c r="Z51" s="244"/>
      <c r="AA51" s="244"/>
      <c r="AB51" s="244"/>
      <c r="AC51" s="244"/>
    </row>
  </sheetData>
  <mergeCells count="30">
    <mergeCell ref="AE6:AE10"/>
    <mergeCell ref="AF6:AF10"/>
    <mergeCell ref="AG6:AG10"/>
    <mergeCell ref="Z6:Z10"/>
    <mergeCell ref="AA6:AA10"/>
    <mergeCell ref="AB6:AB10"/>
    <mergeCell ref="AC6:AC10"/>
    <mergeCell ref="AD6:AD10"/>
    <mergeCell ref="W6:W10"/>
    <mergeCell ref="X6:X10"/>
    <mergeCell ref="H6:H10"/>
    <mergeCell ref="T6:T10"/>
    <mergeCell ref="V6:V10"/>
    <mergeCell ref="I6:S6"/>
    <mergeCell ref="I7:I8"/>
    <mergeCell ref="J7:J8"/>
    <mergeCell ref="K7:K8"/>
    <mergeCell ref="L7:L8"/>
    <mergeCell ref="M7:M8"/>
    <mergeCell ref="N7:O8"/>
    <mergeCell ref="P7:S8"/>
    <mergeCell ref="U6:U10"/>
    <mergeCell ref="F6:G6"/>
    <mergeCell ref="A6:A10"/>
    <mergeCell ref="B6:B10"/>
    <mergeCell ref="C6:C10"/>
    <mergeCell ref="D6:D10"/>
    <mergeCell ref="F7:F10"/>
    <mergeCell ref="G7:G10"/>
    <mergeCell ref="E6:E10"/>
  </mergeCells>
  <pageMargins left="0.7" right="0.7" top="0.75" bottom="0.75" header="0.3" footer="0.3"/>
  <pageSetup paperSize="9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zoomScale="70" zoomScaleNormal="70" workbookViewId="0">
      <selection activeCell="AH24" sqref="AH24"/>
    </sheetView>
  </sheetViews>
  <sheetFormatPr defaultColWidth="8.85546875" defaultRowHeight="15" customHeight="1" x14ac:dyDescent="0.25"/>
  <cols>
    <col min="1" max="1" width="12.7109375" style="195" customWidth="1"/>
    <col min="2" max="5" width="6.7109375" style="195" customWidth="1"/>
    <col min="6" max="6" width="8.7109375" style="195" customWidth="1"/>
    <col min="7" max="7" width="15.7109375" style="195" customWidth="1"/>
    <col min="8" max="24" width="8.7109375" style="195" customWidth="1"/>
    <col min="25" max="33" width="8.85546875" style="195"/>
    <col min="34" max="35" width="14.7109375" style="195" customWidth="1"/>
    <col min="36" max="16384" width="8.85546875" style="195"/>
  </cols>
  <sheetData>
    <row r="1" spans="1:35" ht="15" customHeight="1" thickBot="1" x14ac:dyDescent="0.3"/>
    <row r="2" spans="1:35" ht="15" customHeight="1" thickBot="1" x14ac:dyDescent="0.3">
      <c r="A2" s="79" t="str">
        <f>Сводная!A9</f>
        <v>C250x2,5</v>
      </c>
      <c r="B2" s="93" t="str">
        <f>INDEX(B11:B52,MATCH($A$2,$A$11:$A$52))</f>
        <v>250</v>
      </c>
      <c r="C2" s="105">
        <f t="shared" ref="C2:X2" si="0">INDEX(C11:C52,MATCH($A$2,$A$11:$A$52))</f>
        <v>72</v>
      </c>
      <c r="D2" s="105">
        <f t="shared" si="0"/>
        <v>72</v>
      </c>
      <c r="E2" s="105">
        <f t="shared" si="0"/>
        <v>22</v>
      </c>
      <c r="F2" s="93" t="str">
        <f t="shared" si="0"/>
        <v>C250</v>
      </c>
      <c r="G2" s="93" t="str">
        <f t="shared" si="0"/>
        <v>250/72/72/22</v>
      </c>
      <c r="H2" s="105">
        <f t="shared" si="0"/>
        <v>2.5</v>
      </c>
      <c r="I2" s="93">
        <f t="shared" si="0"/>
        <v>10.47</v>
      </c>
      <c r="J2" s="93">
        <f>INDEX(J11:J52,MATCH($A$2,$A$11:$A$52))</f>
        <v>946.9</v>
      </c>
      <c r="K2" s="93">
        <f>INDEX(K11:K52,MATCH($A$2,$A$11:$A$52))</f>
        <v>75.75</v>
      </c>
      <c r="L2" s="93">
        <f t="shared" si="0"/>
        <v>67.86</v>
      </c>
      <c r="M2" s="93">
        <f t="shared" si="0"/>
        <v>12.78</v>
      </c>
      <c r="N2" s="93">
        <f t="shared" si="0"/>
        <v>9.5</v>
      </c>
      <c r="O2" s="93">
        <f t="shared" si="0"/>
        <v>2.54</v>
      </c>
      <c r="P2" s="93">
        <f t="shared" si="0"/>
        <v>1.89</v>
      </c>
      <c r="Q2" s="93">
        <f t="shared" si="0"/>
        <v>0</v>
      </c>
      <c r="R2" s="93">
        <f t="shared" si="0"/>
        <v>12.5</v>
      </c>
      <c r="S2" s="93">
        <f t="shared" si="0"/>
        <v>0</v>
      </c>
      <c r="T2" s="93">
        <f t="shared" si="0"/>
        <v>8.2200000000000006</v>
      </c>
      <c r="U2" s="93">
        <f t="shared" si="0"/>
        <v>0</v>
      </c>
      <c r="V2" s="93">
        <f t="shared" si="0"/>
        <v>0.218</v>
      </c>
      <c r="W2" s="93">
        <f t="shared" si="0"/>
        <v>0.436</v>
      </c>
      <c r="X2" s="137">
        <f t="shared" si="0"/>
        <v>235.721</v>
      </c>
    </row>
    <row r="5" spans="1:35" ht="15" customHeight="1" thickBot="1" x14ac:dyDescent="0.3"/>
    <row r="6" spans="1:35" ht="15" customHeight="1" x14ac:dyDescent="0.25">
      <c r="A6" s="347" t="s">
        <v>166</v>
      </c>
      <c r="B6" s="344" t="s">
        <v>11</v>
      </c>
      <c r="C6" s="344" t="s">
        <v>10</v>
      </c>
      <c r="D6" s="344" t="s">
        <v>12</v>
      </c>
      <c r="E6" s="398" t="s">
        <v>59</v>
      </c>
      <c r="F6" s="339" t="s">
        <v>0</v>
      </c>
      <c r="G6" s="360"/>
      <c r="H6" s="372" t="s">
        <v>167</v>
      </c>
      <c r="I6" s="377" t="s">
        <v>1</v>
      </c>
      <c r="J6" s="378"/>
      <c r="K6" s="378"/>
      <c r="L6" s="378"/>
      <c r="M6" s="378"/>
      <c r="N6" s="378"/>
      <c r="O6" s="378"/>
      <c r="P6" s="378"/>
      <c r="Q6" s="378"/>
      <c r="R6" s="378"/>
      <c r="S6" s="379"/>
      <c r="T6" s="343" t="s">
        <v>25</v>
      </c>
      <c r="U6" s="387" t="s">
        <v>26</v>
      </c>
      <c r="V6" s="375" t="s">
        <v>209</v>
      </c>
      <c r="W6" s="369" t="s">
        <v>208</v>
      </c>
      <c r="X6" s="354" t="s">
        <v>206</v>
      </c>
      <c r="Y6" s="392" t="s">
        <v>210</v>
      </c>
      <c r="Z6" s="395" t="s">
        <v>207</v>
      </c>
      <c r="AB6" s="390" t="s">
        <v>214</v>
      </c>
      <c r="AC6" s="390" t="s">
        <v>215</v>
      </c>
      <c r="AD6" s="390" t="s">
        <v>212</v>
      </c>
      <c r="AE6" s="390" t="s">
        <v>10</v>
      </c>
      <c r="AF6" s="390" t="s">
        <v>12</v>
      </c>
      <c r="AG6" s="390" t="s">
        <v>213</v>
      </c>
      <c r="AH6" s="390" t="s">
        <v>216</v>
      </c>
      <c r="AI6" s="391" t="s">
        <v>217</v>
      </c>
    </row>
    <row r="7" spans="1:35" ht="15" customHeight="1" x14ac:dyDescent="0.25">
      <c r="A7" s="348"/>
      <c r="B7" s="345"/>
      <c r="C7" s="345"/>
      <c r="D7" s="345"/>
      <c r="E7" s="368"/>
      <c r="F7" s="341" t="s">
        <v>57</v>
      </c>
      <c r="G7" s="365" t="s">
        <v>164</v>
      </c>
      <c r="H7" s="373"/>
      <c r="I7" s="364" t="s">
        <v>21</v>
      </c>
      <c r="J7" s="364" t="s">
        <v>3</v>
      </c>
      <c r="K7" s="381" t="s">
        <v>169</v>
      </c>
      <c r="L7" s="364" t="s">
        <v>3</v>
      </c>
      <c r="M7" s="364" t="s">
        <v>156</v>
      </c>
      <c r="N7" s="382" t="s">
        <v>22</v>
      </c>
      <c r="O7" s="374"/>
      <c r="P7" s="382" t="s">
        <v>5</v>
      </c>
      <c r="Q7" s="385"/>
      <c r="R7" s="385"/>
      <c r="S7" s="374"/>
      <c r="T7" s="341"/>
      <c r="U7" s="388"/>
      <c r="V7" s="376"/>
      <c r="W7" s="370"/>
      <c r="X7" s="355"/>
      <c r="Y7" s="393"/>
      <c r="Z7" s="396"/>
      <c r="AB7" s="390"/>
      <c r="AC7" s="390"/>
      <c r="AD7" s="390"/>
      <c r="AE7" s="390"/>
      <c r="AF7" s="390"/>
      <c r="AG7" s="390"/>
      <c r="AH7" s="390"/>
      <c r="AI7" s="391"/>
    </row>
    <row r="8" spans="1:35" ht="15" customHeight="1" x14ac:dyDescent="0.25">
      <c r="A8" s="348"/>
      <c r="B8" s="345"/>
      <c r="C8" s="345"/>
      <c r="D8" s="345"/>
      <c r="E8" s="368"/>
      <c r="F8" s="341"/>
      <c r="G8" s="358"/>
      <c r="H8" s="373"/>
      <c r="I8" s="380"/>
      <c r="J8" s="380"/>
      <c r="K8" s="380"/>
      <c r="L8" s="380"/>
      <c r="M8" s="380"/>
      <c r="N8" s="383"/>
      <c r="O8" s="384"/>
      <c r="P8" s="383"/>
      <c r="Q8" s="386"/>
      <c r="R8" s="386"/>
      <c r="S8" s="384"/>
      <c r="T8" s="341"/>
      <c r="U8" s="388"/>
      <c r="V8" s="376"/>
      <c r="W8" s="370"/>
      <c r="X8" s="355"/>
      <c r="Y8" s="393"/>
      <c r="Z8" s="396"/>
      <c r="AB8" s="390"/>
      <c r="AC8" s="390"/>
      <c r="AD8" s="390"/>
      <c r="AE8" s="390"/>
      <c r="AF8" s="390"/>
      <c r="AG8" s="390"/>
      <c r="AH8" s="390"/>
      <c r="AI8" s="391"/>
    </row>
    <row r="9" spans="1:35" ht="15" customHeight="1" x14ac:dyDescent="0.25">
      <c r="A9" s="348"/>
      <c r="B9" s="345"/>
      <c r="C9" s="345"/>
      <c r="D9" s="345"/>
      <c r="E9" s="368"/>
      <c r="F9" s="341"/>
      <c r="G9" s="358"/>
      <c r="H9" s="373"/>
      <c r="I9" s="169" t="s">
        <v>172</v>
      </c>
      <c r="J9" s="169" t="s">
        <v>174</v>
      </c>
      <c r="K9" s="169" t="s">
        <v>175</v>
      </c>
      <c r="L9" s="169" t="s">
        <v>178</v>
      </c>
      <c r="M9" s="169" t="s">
        <v>179</v>
      </c>
      <c r="N9" s="169" t="s">
        <v>176</v>
      </c>
      <c r="O9" s="169" t="s">
        <v>180</v>
      </c>
      <c r="P9" s="169" t="s">
        <v>181</v>
      </c>
      <c r="Q9" s="169" t="s">
        <v>185</v>
      </c>
      <c r="R9" s="169" t="s">
        <v>177</v>
      </c>
      <c r="S9" s="169" t="s">
        <v>186</v>
      </c>
      <c r="T9" s="341"/>
      <c r="U9" s="388"/>
      <c r="V9" s="376"/>
      <c r="W9" s="370"/>
      <c r="X9" s="355"/>
      <c r="Y9" s="393"/>
      <c r="Z9" s="396"/>
      <c r="AB9" s="390"/>
      <c r="AC9" s="390"/>
      <c r="AD9" s="390"/>
      <c r="AE9" s="390"/>
      <c r="AF9" s="390"/>
      <c r="AG9" s="390"/>
      <c r="AH9" s="390"/>
      <c r="AI9" s="391"/>
    </row>
    <row r="10" spans="1:35" ht="15" customHeight="1" thickBot="1" x14ac:dyDescent="0.3">
      <c r="A10" s="362"/>
      <c r="B10" s="363"/>
      <c r="C10" s="363"/>
      <c r="D10" s="363"/>
      <c r="E10" s="368"/>
      <c r="F10" s="364"/>
      <c r="G10" s="366"/>
      <c r="H10" s="374"/>
      <c r="I10" s="174" t="s">
        <v>182</v>
      </c>
      <c r="J10" s="174" t="s">
        <v>183</v>
      </c>
      <c r="K10" s="174" t="s">
        <v>184</v>
      </c>
      <c r="L10" s="174" t="s">
        <v>183</v>
      </c>
      <c r="M10" s="174" t="s">
        <v>184</v>
      </c>
      <c r="N10" s="174" t="s">
        <v>6</v>
      </c>
      <c r="O10" s="174" t="s">
        <v>6</v>
      </c>
      <c r="P10" s="174" t="s">
        <v>6</v>
      </c>
      <c r="Q10" s="174" t="s">
        <v>6</v>
      </c>
      <c r="R10" s="174" t="s">
        <v>6</v>
      </c>
      <c r="S10" s="174" t="s">
        <v>6</v>
      </c>
      <c r="T10" s="364"/>
      <c r="U10" s="389"/>
      <c r="V10" s="376"/>
      <c r="W10" s="370"/>
      <c r="X10" s="371"/>
      <c r="Y10" s="394"/>
      <c r="Z10" s="397"/>
      <c r="AB10" s="390"/>
      <c r="AC10" s="390"/>
      <c r="AD10" s="390"/>
      <c r="AE10" s="390"/>
      <c r="AF10" s="390"/>
      <c r="AG10" s="390"/>
      <c r="AH10" s="390"/>
      <c r="AI10" s="391"/>
    </row>
    <row r="11" spans="1:35" ht="15" customHeight="1" x14ac:dyDescent="0.25">
      <c r="A11" s="144" t="str">
        <f t="shared" ref="A11:A12" si="1">CONCATENATE(F11,"x",(IF(H11=INT(H11),CONCATENATE(H11,",",0),H11)))</f>
        <v>C140x1,0</v>
      </c>
      <c r="B11" s="146" t="str">
        <f t="shared" ref="B11:B12" si="2">LEFT(G11,3)</f>
        <v>140</v>
      </c>
      <c r="C11" s="146">
        <f t="shared" ref="C11:C12" si="3">VALUE(MID(G11,(SEARCH("/",G11,1)+1),(SEARCH("/",G11,(SEARCH("/",G11,1)+1))-SEARCH("/",G11,1)-1)))</f>
        <v>68</v>
      </c>
      <c r="D11" s="146">
        <f t="shared" ref="D11:D12" si="4">VALUE(MID(G11,(SEARCH("/",G11,(SEARCH("/",G11,1)+1))+1),(SEARCH("/",G11,SEARCH("/",G11,(SEARCH("/",G11,1)+1))+1))-(SEARCH("/",G11,(SEARCH("/",G11,1)+1))+1)))</f>
        <v>68</v>
      </c>
      <c r="E11" s="146">
        <f t="shared" ref="E11:E12" si="5">VALUE(MID(G11,(SEARCH("/",G11,SEARCH("/",G11,(SEARCH("/",G11,1)+1))+1)+1),4))</f>
        <v>15.5</v>
      </c>
      <c r="F11" s="158" t="str">
        <f t="shared" ref="F11:F12" si="6">CONCATENATE("C",LEFT(G11,3))</f>
        <v>C140</v>
      </c>
      <c r="G11" s="159" t="s">
        <v>126</v>
      </c>
      <c r="H11" s="160">
        <v>1</v>
      </c>
      <c r="I11" s="175">
        <v>2.95</v>
      </c>
      <c r="J11" s="175">
        <v>94.86</v>
      </c>
      <c r="K11" s="175">
        <v>13.55</v>
      </c>
      <c r="L11" s="175">
        <v>18.87</v>
      </c>
      <c r="M11" s="175">
        <v>4.07</v>
      </c>
      <c r="N11" s="175">
        <v>5.66</v>
      </c>
      <c r="O11" s="175">
        <v>2.52</v>
      </c>
      <c r="P11" s="175">
        <v>2.17</v>
      </c>
      <c r="Q11" s="175"/>
      <c r="R11" s="175">
        <v>7</v>
      </c>
      <c r="S11" s="175"/>
      <c r="T11" s="161">
        <v>2.4</v>
      </c>
      <c r="U11" s="267"/>
      <c r="V11" s="176"/>
      <c r="W11" s="177"/>
      <c r="X11" s="178"/>
      <c r="Y11" s="16"/>
      <c r="Z11" s="16"/>
      <c r="AB11" s="244">
        <f>2*PI()*4</f>
        <v>25.132741228718345</v>
      </c>
      <c r="AC11" s="244">
        <f>2*PI()*(4+H11)</f>
        <v>31.415926535897931</v>
      </c>
      <c r="AD11" s="335">
        <f>B11-2*(4+$H11)</f>
        <v>130</v>
      </c>
      <c r="AE11" s="335">
        <f>C11-2*(4+$H11)</f>
        <v>58</v>
      </c>
      <c r="AF11" s="335">
        <f>D11-2*(4+$H11)</f>
        <v>58</v>
      </c>
      <c r="AG11" s="335">
        <f>E11-(4+$H11)</f>
        <v>10.5</v>
      </c>
      <c r="AH11" s="195">
        <f>(AB11+AC11+2*(AD11+AE11+AF11+2*AG11))/10</f>
        <v>59.05486677646163</v>
      </c>
      <c r="AI11" s="336">
        <f>I11/AH11*10</f>
        <v>0.49953545931557758</v>
      </c>
    </row>
    <row r="12" spans="1:35" ht="15" customHeight="1" x14ac:dyDescent="0.25">
      <c r="A12" s="147" t="str">
        <f t="shared" si="1"/>
        <v>C140x1,2</v>
      </c>
      <c r="B12" s="149" t="str">
        <f t="shared" si="2"/>
        <v>140</v>
      </c>
      <c r="C12" s="149">
        <f t="shared" si="3"/>
        <v>68</v>
      </c>
      <c r="D12" s="149">
        <f t="shared" si="4"/>
        <v>68</v>
      </c>
      <c r="E12" s="149">
        <f t="shared" si="5"/>
        <v>15.5</v>
      </c>
      <c r="F12" s="154" t="str">
        <f t="shared" si="6"/>
        <v>C140</v>
      </c>
      <c r="G12" s="155" t="s">
        <v>126</v>
      </c>
      <c r="H12" s="164">
        <v>1.2</v>
      </c>
      <c r="I12" s="179">
        <v>3.53</v>
      </c>
      <c r="J12" s="179">
        <v>113.04</v>
      </c>
      <c r="K12" s="179">
        <v>16.14</v>
      </c>
      <c r="L12" s="179">
        <v>22.59</v>
      </c>
      <c r="M12" s="179">
        <v>4.87</v>
      </c>
      <c r="N12" s="179">
        <v>5.65</v>
      </c>
      <c r="O12" s="179">
        <v>2.52</v>
      </c>
      <c r="P12" s="179">
        <v>2.17</v>
      </c>
      <c r="Q12" s="179"/>
      <c r="R12" s="179">
        <v>7</v>
      </c>
      <c r="S12" s="179"/>
      <c r="T12" s="165">
        <v>2.86</v>
      </c>
      <c r="U12" s="268"/>
      <c r="V12" s="180"/>
      <c r="W12" s="181"/>
      <c r="X12" s="182"/>
      <c r="Y12" s="16"/>
      <c r="Z12" s="16"/>
      <c r="AB12" s="244">
        <f t="shared" ref="AB12:AB49" si="7">2*PI()*4</f>
        <v>25.132741228718345</v>
      </c>
      <c r="AC12" s="244">
        <f t="shared" ref="AC12:AC49" si="8">2*PI()*(4+H12)</f>
        <v>32.672563597333848</v>
      </c>
      <c r="AD12" s="335">
        <f t="shared" ref="AD12:AD49" si="9">B12-2*(4+$H12)</f>
        <v>129.6</v>
      </c>
      <c r="AE12" s="335">
        <f t="shared" ref="AE12:AE49" si="10">C12-2*(4+$H12)</f>
        <v>57.6</v>
      </c>
      <c r="AF12" s="335">
        <f t="shared" ref="AF12:AF49" si="11">D12-2*(4+$H12)</f>
        <v>57.6</v>
      </c>
      <c r="AG12" s="335">
        <f t="shared" ref="AG12:AG49" si="12">E12-(4+$H12)</f>
        <v>10.3</v>
      </c>
      <c r="AH12" s="195">
        <f t="shared" ref="AH12:AH49" si="13">(AB12+AC12+2*(AD12+AE12+AF12+2*AG12))/10</f>
        <v>58.860530482605213</v>
      </c>
      <c r="AI12" s="336">
        <f t="shared" ref="AI12:AI49" si="14">I12/AH12*10</f>
        <v>0.59972276346425468</v>
      </c>
    </row>
    <row r="13" spans="1:35" ht="15" customHeight="1" x14ac:dyDescent="0.2">
      <c r="A13" s="72" t="str">
        <f>CONCATENATE(F13,"x",(IF(H13=INT(H13),CONCATENATE(H13,",",0),H13)))</f>
        <v>C140x1,5</v>
      </c>
      <c r="B13" s="3" t="str">
        <f>LEFT(G13,3)</f>
        <v>140</v>
      </c>
      <c r="C13" s="3">
        <f>VALUE(MID(G13,(SEARCH("/",G13,1)+1),(SEARCH("/",G13,(SEARCH("/",G13,1)+1))-SEARCH("/",G13,1)-1)))</f>
        <v>68</v>
      </c>
      <c r="D13" s="3">
        <f>VALUE(MID(G13,(SEARCH("/",G13,(SEARCH("/",G13,1)+1))+1),(SEARCH("/",G13,SEARCH("/",G13,(SEARCH("/",G13,1)+1))+1))-(SEARCH("/",G13,(SEARCH("/",G13,1)+1))+1)))</f>
        <v>68</v>
      </c>
      <c r="E13" s="3">
        <f>VALUE(MID(G13,(SEARCH("/",G13,SEARCH("/",G13,(SEARCH("/",G13,1)+1))+1)+1),4))</f>
        <v>15.5</v>
      </c>
      <c r="F13" s="4" t="str">
        <f>CONCATENATE("C",LEFT(G13,3))</f>
        <v>C140</v>
      </c>
      <c r="G13" s="81" t="s">
        <v>126</v>
      </c>
      <c r="H13" s="117">
        <v>1.5</v>
      </c>
      <c r="I13" s="112">
        <v>4.3899999999999997</v>
      </c>
      <c r="J13" s="112">
        <v>139.91999999999999</v>
      </c>
      <c r="K13" s="112">
        <v>19.98</v>
      </c>
      <c r="L13" s="112">
        <v>27.07</v>
      </c>
      <c r="M13" s="112">
        <v>5.83</v>
      </c>
      <c r="N13" s="112">
        <v>5.64</v>
      </c>
      <c r="O13" s="112">
        <v>2.48</v>
      </c>
      <c r="P13" s="96">
        <v>2.16</v>
      </c>
      <c r="Q13" s="96"/>
      <c r="R13" s="96">
        <v>7</v>
      </c>
      <c r="S13" s="96"/>
      <c r="T13" s="112">
        <v>3.45</v>
      </c>
      <c r="U13" s="269"/>
      <c r="V13" s="271">
        <v>3.3000000000000002E-2</v>
      </c>
      <c r="W13" s="266">
        <v>6.6000000000000003E-2</v>
      </c>
      <c r="X13" s="272">
        <v>104.999</v>
      </c>
      <c r="Y13" s="16"/>
      <c r="Z13" s="263"/>
      <c r="AA13" s="197"/>
      <c r="AB13" s="244">
        <f t="shared" si="7"/>
        <v>25.132741228718345</v>
      </c>
      <c r="AC13" s="244">
        <f t="shared" si="8"/>
        <v>34.557519189487721</v>
      </c>
      <c r="AD13" s="335">
        <f t="shared" si="9"/>
        <v>129</v>
      </c>
      <c r="AE13" s="335">
        <f t="shared" si="10"/>
        <v>57</v>
      </c>
      <c r="AF13" s="335">
        <f t="shared" si="11"/>
        <v>57</v>
      </c>
      <c r="AG13" s="335">
        <f t="shared" si="12"/>
        <v>10</v>
      </c>
      <c r="AH13" s="195">
        <f t="shared" si="13"/>
        <v>58.569026041820607</v>
      </c>
      <c r="AI13" s="336">
        <f t="shared" si="14"/>
        <v>0.74954294047255721</v>
      </c>
    </row>
    <row r="14" spans="1:35" ht="15" customHeight="1" x14ac:dyDescent="0.2">
      <c r="A14" s="72" t="str">
        <f t="shared" ref="A14:A49" si="15">CONCATENATE(F14,"x",(IF(H14=INT(H14),CONCATENATE(H14,",",0),H14)))</f>
        <v>C140x2,0</v>
      </c>
      <c r="B14" s="3" t="str">
        <f t="shared" ref="B14:B49" si="16">LEFT(G14,3)</f>
        <v>140</v>
      </c>
      <c r="C14" s="3">
        <f t="shared" ref="C14:C49" si="17">VALUE(MID(G14,(SEARCH("/",G14,1)+1),(SEARCH("/",G14,(SEARCH("/",G14,1)+1))-SEARCH("/",G14,1)-1)))</f>
        <v>68</v>
      </c>
      <c r="D14" s="3">
        <f t="shared" ref="D14:D49" si="18">VALUE(MID(G14,(SEARCH("/",G14,(SEARCH("/",G14,1)+1))+1),(SEARCH("/",G14,SEARCH("/",G14,(SEARCH("/",G14,1)+1))+1))-(SEARCH("/",G14,(SEARCH("/",G14,1)+1))+1)))</f>
        <v>68</v>
      </c>
      <c r="E14" s="3">
        <f t="shared" ref="E14:E49" si="19">VALUE(MID(G14,(SEARCH("/",G14,SEARCH("/",G14,(SEARCH("/",G14,1)+1))+1)+1),4))</f>
        <v>17</v>
      </c>
      <c r="F14" s="4" t="str">
        <f t="shared" ref="F14:F49" si="20">CONCATENATE("C",LEFT(G14,3))</f>
        <v>C140</v>
      </c>
      <c r="G14" s="81" t="s">
        <v>127</v>
      </c>
      <c r="H14" s="117">
        <v>2</v>
      </c>
      <c r="I14" s="112">
        <v>5.86</v>
      </c>
      <c r="J14" s="112">
        <v>185.12</v>
      </c>
      <c r="K14" s="112">
        <v>26.44</v>
      </c>
      <c r="L14" s="112">
        <v>36.33</v>
      </c>
      <c r="M14" s="112">
        <v>7.91</v>
      </c>
      <c r="N14" s="112">
        <v>5.61</v>
      </c>
      <c r="O14" s="112">
        <v>2.48</v>
      </c>
      <c r="P14" s="96">
        <v>2.21</v>
      </c>
      <c r="Q14" s="96"/>
      <c r="R14" s="96">
        <v>7</v>
      </c>
      <c r="S14" s="96"/>
      <c r="T14" s="112">
        <v>4.6100000000000003</v>
      </c>
      <c r="U14" s="269"/>
      <c r="V14" s="271">
        <v>7.8E-2</v>
      </c>
      <c r="W14" s="266">
        <v>0.156</v>
      </c>
      <c r="X14" s="272">
        <v>140.30099999999999</v>
      </c>
      <c r="Y14" s="16"/>
      <c r="Z14" s="263"/>
      <c r="AA14" s="197"/>
      <c r="AB14" s="244">
        <f t="shared" si="7"/>
        <v>25.132741228718345</v>
      </c>
      <c r="AC14" s="244">
        <f t="shared" si="8"/>
        <v>37.699111843077517</v>
      </c>
      <c r="AD14" s="335">
        <f t="shared" si="9"/>
        <v>128</v>
      </c>
      <c r="AE14" s="335">
        <f t="shared" si="10"/>
        <v>56</v>
      </c>
      <c r="AF14" s="335">
        <f t="shared" si="11"/>
        <v>56</v>
      </c>
      <c r="AG14" s="335">
        <f t="shared" si="12"/>
        <v>11</v>
      </c>
      <c r="AH14" s="195">
        <f t="shared" si="13"/>
        <v>58.683185307179585</v>
      </c>
      <c r="AI14" s="336">
        <f t="shared" si="14"/>
        <v>0.99858246775896453</v>
      </c>
    </row>
    <row r="15" spans="1:35" ht="15" customHeight="1" x14ac:dyDescent="0.2">
      <c r="A15" s="72" t="str">
        <f t="shared" si="15"/>
        <v>C140x2,5</v>
      </c>
      <c r="B15" s="3" t="str">
        <f t="shared" si="16"/>
        <v>140</v>
      </c>
      <c r="C15" s="3">
        <f t="shared" si="17"/>
        <v>68</v>
      </c>
      <c r="D15" s="3">
        <f t="shared" si="18"/>
        <v>68</v>
      </c>
      <c r="E15" s="3">
        <f t="shared" si="19"/>
        <v>18.5</v>
      </c>
      <c r="F15" s="4" t="str">
        <f t="shared" si="20"/>
        <v>C140</v>
      </c>
      <c r="G15" s="81" t="s">
        <v>128</v>
      </c>
      <c r="H15" s="117">
        <v>2.5</v>
      </c>
      <c r="I15" s="112">
        <v>7.34</v>
      </c>
      <c r="J15" s="112">
        <v>229.51</v>
      </c>
      <c r="K15" s="112">
        <v>32.78</v>
      </c>
      <c r="L15" s="112">
        <v>45.65</v>
      </c>
      <c r="M15" s="112">
        <v>10.039999999999999</v>
      </c>
      <c r="N15" s="112">
        <v>5.58</v>
      </c>
      <c r="O15" s="112">
        <v>2.4900000000000002</v>
      </c>
      <c r="P15" s="96">
        <v>2.25</v>
      </c>
      <c r="Q15" s="96"/>
      <c r="R15" s="96">
        <v>7</v>
      </c>
      <c r="S15" s="96"/>
      <c r="T15" s="112">
        <v>5.77</v>
      </c>
      <c r="U15" s="269"/>
      <c r="V15" s="271">
        <v>0.153</v>
      </c>
      <c r="W15" s="266">
        <v>0.30599999999999999</v>
      </c>
      <c r="X15" s="272">
        <v>179.184</v>
      </c>
      <c r="Y15" s="16"/>
      <c r="Z15" s="263"/>
      <c r="AA15" s="197"/>
      <c r="AB15" s="244">
        <f t="shared" si="7"/>
        <v>25.132741228718345</v>
      </c>
      <c r="AC15" s="244">
        <f t="shared" si="8"/>
        <v>40.840704496667314</v>
      </c>
      <c r="AD15" s="335">
        <f t="shared" si="9"/>
        <v>127</v>
      </c>
      <c r="AE15" s="335">
        <f t="shared" si="10"/>
        <v>55</v>
      </c>
      <c r="AF15" s="335">
        <f t="shared" si="11"/>
        <v>55</v>
      </c>
      <c r="AG15" s="335">
        <f t="shared" si="12"/>
        <v>12</v>
      </c>
      <c r="AH15" s="195">
        <f t="shared" si="13"/>
        <v>58.797344572538563</v>
      </c>
      <c r="AI15" s="336">
        <f t="shared" si="14"/>
        <v>1.2483556958842941</v>
      </c>
    </row>
    <row r="16" spans="1:35" ht="15" customHeight="1" thickBot="1" x14ac:dyDescent="0.25">
      <c r="A16" s="73" t="str">
        <f t="shared" si="15"/>
        <v>C140x3,0</v>
      </c>
      <c r="B16" s="5" t="str">
        <f t="shared" si="16"/>
        <v>140</v>
      </c>
      <c r="C16" s="5">
        <f t="shared" si="17"/>
        <v>68</v>
      </c>
      <c r="D16" s="5">
        <f t="shared" si="18"/>
        <v>68</v>
      </c>
      <c r="E16" s="5">
        <f t="shared" si="19"/>
        <v>20</v>
      </c>
      <c r="F16" s="6" t="str">
        <f t="shared" si="20"/>
        <v>C140</v>
      </c>
      <c r="G16" s="82" t="s">
        <v>129</v>
      </c>
      <c r="H16" s="118">
        <v>3</v>
      </c>
      <c r="I16" s="113">
        <v>8.83</v>
      </c>
      <c r="J16" s="113">
        <v>273.07</v>
      </c>
      <c r="K16" s="113">
        <v>39.01</v>
      </c>
      <c r="L16" s="113">
        <v>55.03</v>
      </c>
      <c r="M16" s="113">
        <v>12.22</v>
      </c>
      <c r="N16" s="113">
        <v>5.55</v>
      </c>
      <c r="O16" s="113">
        <v>2.4900000000000002</v>
      </c>
      <c r="P16" s="98">
        <v>2.2999999999999998</v>
      </c>
      <c r="Q16" s="98"/>
      <c r="R16" s="98">
        <v>7</v>
      </c>
      <c r="S16" s="98"/>
      <c r="T16" s="113">
        <v>6.94</v>
      </c>
      <c r="U16" s="270"/>
      <c r="V16" s="273">
        <v>0.26500000000000001</v>
      </c>
      <c r="W16" s="274">
        <v>0.52900000000000003</v>
      </c>
      <c r="X16" s="275">
        <v>219.52099999999999</v>
      </c>
      <c r="Y16" s="16"/>
      <c r="Z16" s="263"/>
      <c r="AA16" s="197"/>
      <c r="AB16" s="244">
        <f t="shared" si="7"/>
        <v>25.132741228718345</v>
      </c>
      <c r="AC16" s="244">
        <f t="shared" si="8"/>
        <v>43.982297150257104</v>
      </c>
      <c r="AD16" s="335">
        <f t="shared" si="9"/>
        <v>126</v>
      </c>
      <c r="AE16" s="335">
        <f t="shared" si="10"/>
        <v>54</v>
      </c>
      <c r="AF16" s="335">
        <f t="shared" si="11"/>
        <v>54</v>
      </c>
      <c r="AG16" s="335">
        <f t="shared" si="12"/>
        <v>13</v>
      </c>
      <c r="AH16" s="195">
        <f t="shared" si="13"/>
        <v>58.911503837897541</v>
      </c>
      <c r="AI16" s="336">
        <f t="shared" si="14"/>
        <v>1.4988583595314189</v>
      </c>
    </row>
    <row r="17" spans="1:35" ht="15" customHeight="1" x14ac:dyDescent="0.25">
      <c r="A17" s="71" t="str">
        <f t="shared" si="15"/>
        <v>C160x1,0</v>
      </c>
      <c r="B17" s="1" t="str">
        <f t="shared" si="16"/>
        <v>160</v>
      </c>
      <c r="C17" s="1">
        <f t="shared" si="17"/>
        <v>68</v>
      </c>
      <c r="D17" s="1">
        <f t="shared" si="18"/>
        <v>68</v>
      </c>
      <c r="E17" s="1">
        <f t="shared" si="19"/>
        <v>15.5</v>
      </c>
      <c r="F17" s="2" t="str">
        <f t="shared" si="20"/>
        <v>C160</v>
      </c>
      <c r="G17" s="80" t="s">
        <v>130</v>
      </c>
      <c r="H17" s="116">
        <v>1</v>
      </c>
      <c r="I17" s="111">
        <v>3.15</v>
      </c>
      <c r="J17" s="111">
        <v>128.66</v>
      </c>
      <c r="K17" s="111">
        <v>16.079999999999998</v>
      </c>
      <c r="L17" s="111">
        <v>20.54</v>
      </c>
      <c r="M17" s="111">
        <v>4.3099999999999996</v>
      </c>
      <c r="N17" s="111">
        <v>6.38</v>
      </c>
      <c r="O17" s="111">
        <v>2.5499999999999998</v>
      </c>
      <c r="P17" s="94">
        <v>2.04</v>
      </c>
      <c r="Q17" s="94"/>
      <c r="R17" s="94">
        <v>8</v>
      </c>
      <c r="S17" s="94"/>
      <c r="T17" s="111">
        <v>2.57</v>
      </c>
      <c r="U17" s="276"/>
      <c r="V17" s="190"/>
      <c r="W17" s="191"/>
      <c r="X17" s="85"/>
      <c r="Y17" s="16"/>
      <c r="Z17" s="263"/>
      <c r="AA17" s="197"/>
      <c r="AB17" s="244">
        <f t="shared" si="7"/>
        <v>25.132741228718345</v>
      </c>
      <c r="AC17" s="244">
        <f t="shared" si="8"/>
        <v>31.415926535897931</v>
      </c>
      <c r="AD17" s="335">
        <f t="shared" si="9"/>
        <v>150</v>
      </c>
      <c r="AE17" s="335">
        <f t="shared" si="10"/>
        <v>58</v>
      </c>
      <c r="AF17" s="335">
        <f t="shared" si="11"/>
        <v>58</v>
      </c>
      <c r="AG17" s="335">
        <f t="shared" si="12"/>
        <v>10.5</v>
      </c>
      <c r="AH17" s="195">
        <f t="shared" si="13"/>
        <v>63.05486677646163</v>
      </c>
      <c r="AI17" s="336">
        <f t="shared" si="14"/>
        <v>0.49956492829763527</v>
      </c>
    </row>
    <row r="18" spans="1:35" ht="15" customHeight="1" x14ac:dyDescent="0.25">
      <c r="A18" s="72" t="str">
        <f t="shared" si="15"/>
        <v>C160x1,2</v>
      </c>
      <c r="B18" s="3" t="str">
        <f t="shared" si="16"/>
        <v>160</v>
      </c>
      <c r="C18" s="3">
        <f t="shared" si="17"/>
        <v>68</v>
      </c>
      <c r="D18" s="3">
        <f t="shared" si="18"/>
        <v>68</v>
      </c>
      <c r="E18" s="3">
        <f t="shared" si="19"/>
        <v>15.5</v>
      </c>
      <c r="F18" s="4" t="str">
        <f t="shared" si="20"/>
        <v>C160</v>
      </c>
      <c r="G18" s="81" t="s">
        <v>130</v>
      </c>
      <c r="H18" s="117">
        <v>1.2</v>
      </c>
      <c r="I18" s="112">
        <v>3.77</v>
      </c>
      <c r="J18" s="112">
        <v>153.38</v>
      </c>
      <c r="K18" s="112">
        <v>19.170000000000002</v>
      </c>
      <c r="L18" s="112">
        <v>24.55</v>
      </c>
      <c r="M18" s="112">
        <v>5.15</v>
      </c>
      <c r="N18" s="112">
        <v>6.37</v>
      </c>
      <c r="O18" s="112">
        <v>2.5499999999999998</v>
      </c>
      <c r="P18" s="96">
        <v>2.04</v>
      </c>
      <c r="Q18" s="96"/>
      <c r="R18" s="96">
        <v>8</v>
      </c>
      <c r="S18" s="96"/>
      <c r="T18" s="112">
        <v>3.05</v>
      </c>
      <c r="U18" s="269"/>
      <c r="V18" s="192"/>
      <c r="W18" s="193"/>
      <c r="X18" s="86"/>
      <c r="Y18" s="16"/>
      <c r="Z18" s="263"/>
      <c r="AA18" s="197"/>
      <c r="AB18" s="244">
        <f t="shared" si="7"/>
        <v>25.132741228718345</v>
      </c>
      <c r="AC18" s="244">
        <f t="shared" si="8"/>
        <v>32.672563597333848</v>
      </c>
      <c r="AD18" s="335">
        <f t="shared" si="9"/>
        <v>149.6</v>
      </c>
      <c r="AE18" s="335">
        <f t="shared" si="10"/>
        <v>57.6</v>
      </c>
      <c r="AF18" s="335">
        <f t="shared" si="11"/>
        <v>57.6</v>
      </c>
      <c r="AG18" s="335">
        <f t="shared" si="12"/>
        <v>10.3</v>
      </c>
      <c r="AH18" s="195">
        <f t="shared" si="13"/>
        <v>62.860530482605228</v>
      </c>
      <c r="AI18" s="336">
        <f t="shared" si="14"/>
        <v>0.59974040483849156</v>
      </c>
    </row>
    <row r="19" spans="1:35" ht="15" customHeight="1" x14ac:dyDescent="0.2">
      <c r="A19" s="72" t="str">
        <f t="shared" si="15"/>
        <v>C160x1,5</v>
      </c>
      <c r="B19" s="3" t="str">
        <f t="shared" si="16"/>
        <v>160</v>
      </c>
      <c r="C19" s="3">
        <f t="shared" si="17"/>
        <v>68</v>
      </c>
      <c r="D19" s="3">
        <f t="shared" si="18"/>
        <v>68</v>
      </c>
      <c r="E19" s="3">
        <f t="shared" si="19"/>
        <v>15.5</v>
      </c>
      <c r="F19" s="4" t="str">
        <f t="shared" si="20"/>
        <v>C160</v>
      </c>
      <c r="G19" s="81" t="s">
        <v>130</v>
      </c>
      <c r="H19" s="117">
        <v>1.5</v>
      </c>
      <c r="I19" s="112">
        <v>4.6900000000000004</v>
      </c>
      <c r="J19" s="112">
        <v>190.19</v>
      </c>
      <c r="K19" s="112">
        <v>23.77</v>
      </c>
      <c r="L19" s="112">
        <v>28.3</v>
      </c>
      <c r="M19" s="112">
        <v>5.93</v>
      </c>
      <c r="N19" s="112">
        <v>6.36</v>
      </c>
      <c r="O19" s="112">
        <v>2.4500000000000002</v>
      </c>
      <c r="P19" s="96">
        <v>2.0299999999999998</v>
      </c>
      <c r="Q19" s="96"/>
      <c r="R19" s="96">
        <v>8</v>
      </c>
      <c r="S19" s="96"/>
      <c r="T19" s="112">
        <v>3.68</v>
      </c>
      <c r="U19" s="269"/>
      <c r="V19" s="271">
        <v>3.5000000000000003E-2</v>
      </c>
      <c r="W19" s="266">
        <v>7.0000000000000007E-2</v>
      </c>
      <c r="X19" s="272">
        <v>102.952</v>
      </c>
      <c r="Y19" s="16"/>
      <c r="Z19" s="263"/>
      <c r="AA19" s="197"/>
      <c r="AB19" s="244">
        <f t="shared" si="7"/>
        <v>25.132741228718345</v>
      </c>
      <c r="AC19" s="244">
        <f t="shared" si="8"/>
        <v>34.557519189487721</v>
      </c>
      <c r="AD19" s="335">
        <f t="shared" si="9"/>
        <v>149</v>
      </c>
      <c r="AE19" s="335">
        <f t="shared" si="10"/>
        <v>57</v>
      </c>
      <c r="AF19" s="335">
        <f t="shared" si="11"/>
        <v>57</v>
      </c>
      <c r="AG19" s="335">
        <f t="shared" si="12"/>
        <v>10</v>
      </c>
      <c r="AH19" s="195">
        <f t="shared" si="13"/>
        <v>62.569026041820607</v>
      </c>
      <c r="AI19" s="336">
        <f t="shared" si="14"/>
        <v>0.74957216001176752</v>
      </c>
    </row>
    <row r="20" spans="1:35" ht="15" customHeight="1" x14ac:dyDescent="0.2">
      <c r="A20" s="72" t="str">
        <f t="shared" si="15"/>
        <v>C160x2,0</v>
      </c>
      <c r="B20" s="3" t="str">
        <f t="shared" si="16"/>
        <v>160</v>
      </c>
      <c r="C20" s="3">
        <f t="shared" si="17"/>
        <v>68</v>
      </c>
      <c r="D20" s="3">
        <f t="shared" si="18"/>
        <v>68</v>
      </c>
      <c r="E20" s="3">
        <f t="shared" si="19"/>
        <v>17</v>
      </c>
      <c r="F20" s="4" t="str">
        <f t="shared" si="20"/>
        <v>C160</v>
      </c>
      <c r="G20" s="81" t="s">
        <v>131</v>
      </c>
      <c r="H20" s="117">
        <v>2</v>
      </c>
      <c r="I20" s="112">
        <v>6.26</v>
      </c>
      <c r="J20" s="112">
        <v>252.01</v>
      </c>
      <c r="K20" s="112">
        <v>31.5</v>
      </c>
      <c r="L20" s="112">
        <v>37.99</v>
      </c>
      <c r="M20" s="112">
        <v>8.0299999999999994</v>
      </c>
      <c r="N20" s="112">
        <v>6.34</v>
      </c>
      <c r="O20" s="112">
        <v>2.46</v>
      </c>
      <c r="P20" s="96">
        <v>2.0699999999999998</v>
      </c>
      <c r="Q20" s="96"/>
      <c r="R20" s="96">
        <v>8</v>
      </c>
      <c r="S20" s="96"/>
      <c r="T20" s="112">
        <v>4.92</v>
      </c>
      <c r="U20" s="269"/>
      <c r="V20" s="271">
        <v>8.3000000000000004E-2</v>
      </c>
      <c r="W20" s="266">
        <v>0.16700000000000001</v>
      </c>
      <c r="X20" s="272">
        <v>140.375</v>
      </c>
      <c r="Y20" s="16"/>
      <c r="Z20" s="263"/>
      <c r="AA20" s="197"/>
      <c r="AB20" s="244">
        <f t="shared" si="7"/>
        <v>25.132741228718345</v>
      </c>
      <c r="AC20" s="244">
        <f t="shared" si="8"/>
        <v>37.699111843077517</v>
      </c>
      <c r="AD20" s="335">
        <f t="shared" si="9"/>
        <v>148</v>
      </c>
      <c r="AE20" s="335">
        <f t="shared" si="10"/>
        <v>56</v>
      </c>
      <c r="AF20" s="335">
        <f t="shared" si="11"/>
        <v>56</v>
      </c>
      <c r="AG20" s="335">
        <f t="shared" si="12"/>
        <v>11</v>
      </c>
      <c r="AH20" s="195">
        <f t="shared" si="13"/>
        <v>62.683185307179585</v>
      </c>
      <c r="AI20" s="336">
        <f t="shared" si="14"/>
        <v>0.99867292469628122</v>
      </c>
    </row>
    <row r="21" spans="1:35" ht="15" customHeight="1" x14ac:dyDescent="0.2">
      <c r="A21" s="72" t="str">
        <f t="shared" si="15"/>
        <v>C160x2,5</v>
      </c>
      <c r="B21" s="3" t="str">
        <f t="shared" si="16"/>
        <v>160</v>
      </c>
      <c r="C21" s="3">
        <f t="shared" si="17"/>
        <v>68</v>
      </c>
      <c r="D21" s="3">
        <f t="shared" si="18"/>
        <v>68</v>
      </c>
      <c r="E21" s="3">
        <f t="shared" si="19"/>
        <v>18.5</v>
      </c>
      <c r="F21" s="4" t="str">
        <f t="shared" si="20"/>
        <v>C160</v>
      </c>
      <c r="G21" s="81" t="s">
        <v>132</v>
      </c>
      <c r="H21" s="117">
        <v>2.5</v>
      </c>
      <c r="I21" s="112">
        <v>7.84</v>
      </c>
      <c r="J21" s="112">
        <v>312.94</v>
      </c>
      <c r="K21" s="112">
        <v>39.11</v>
      </c>
      <c r="L21" s="112">
        <v>47.77</v>
      </c>
      <c r="M21" s="112">
        <v>10.199999999999999</v>
      </c>
      <c r="N21" s="112">
        <v>6.31</v>
      </c>
      <c r="O21" s="112">
        <v>2.46</v>
      </c>
      <c r="P21" s="96">
        <v>2.12</v>
      </c>
      <c r="Q21" s="96"/>
      <c r="R21" s="96">
        <v>8</v>
      </c>
      <c r="S21" s="96"/>
      <c r="T21" s="112">
        <v>6.16</v>
      </c>
      <c r="U21" s="269"/>
      <c r="V21" s="271">
        <v>0.16300000000000001</v>
      </c>
      <c r="W21" s="266">
        <v>0.32700000000000001</v>
      </c>
      <c r="X21" s="272">
        <v>179.29499999999999</v>
      </c>
      <c r="Y21" s="16"/>
      <c r="Z21" s="263"/>
      <c r="AA21" s="197"/>
      <c r="AB21" s="244">
        <f t="shared" si="7"/>
        <v>25.132741228718345</v>
      </c>
      <c r="AC21" s="244">
        <f t="shared" si="8"/>
        <v>40.840704496667314</v>
      </c>
      <c r="AD21" s="335">
        <f t="shared" si="9"/>
        <v>147</v>
      </c>
      <c r="AE21" s="335">
        <f t="shared" si="10"/>
        <v>55</v>
      </c>
      <c r="AF21" s="335">
        <f t="shared" si="11"/>
        <v>55</v>
      </c>
      <c r="AG21" s="335">
        <f t="shared" si="12"/>
        <v>12</v>
      </c>
      <c r="AH21" s="195">
        <f t="shared" si="13"/>
        <v>62.797344572538563</v>
      </c>
      <c r="AI21" s="336">
        <f t="shared" si="14"/>
        <v>1.2484604330592111</v>
      </c>
    </row>
    <row r="22" spans="1:35" ht="15" customHeight="1" thickBot="1" x14ac:dyDescent="0.25">
      <c r="A22" s="73" t="str">
        <f t="shared" si="15"/>
        <v>C160x3,0</v>
      </c>
      <c r="B22" s="5" t="str">
        <f t="shared" si="16"/>
        <v>160</v>
      </c>
      <c r="C22" s="5">
        <f t="shared" si="17"/>
        <v>68</v>
      </c>
      <c r="D22" s="5">
        <f t="shared" si="18"/>
        <v>68</v>
      </c>
      <c r="E22" s="5">
        <f t="shared" si="19"/>
        <v>20</v>
      </c>
      <c r="F22" s="6" t="str">
        <f t="shared" si="20"/>
        <v>C160</v>
      </c>
      <c r="G22" s="82" t="s">
        <v>133</v>
      </c>
      <c r="H22" s="118">
        <v>3</v>
      </c>
      <c r="I22" s="113">
        <v>9.43</v>
      </c>
      <c r="J22" s="113">
        <v>372.93</v>
      </c>
      <c r="K22" s="113">
        <v>46.61</v>
      </c>
      <c r="L22" s="113">
        <v>57.62</v>
      </c>
      <c r="M22" s="113">
        <v>12.42</v>
      </c>
      <c r="N22" s="113">
        <v>6.28</v>
      </c>
      <c r="O22" s="113">
        <v>2.4700000000000002</v>
      </c>
      <c r="P22" s="98">
        <v>2.16</v>
      </c>
      <c r="Q22" s="98"/>
      <c r="R22" s="98">
        <v>8</v>
      </c>
      <c r="S22" s="98"/>
      <c r="T22" s="113">
        <v>7.41</v>
      </c>
      <c r="U22" s="270"/>
      <c r="V22" s="279">
        <v>0.28299999999999997</v>
      </c>
      <c r="W22" s="280">
        <v>0.56499999999999995</v>
      </c>
      <c r="X22" s="281">
        <v>219.67699999999999</v>
      </c>
      <c r="Y22" s="16"/>
      <c r="Z22" s="263"/>
      <c r="AA22" s="197"/>
      <c r="AB22" s="244">
        <f t="shared" si="7"/>
        <v>25.132741228718345</v>
      </c>
      <c r="AC22" s="244">
        <f t="shared" si="8"/>
        <v>43.982297150257104</v>
      </c>
      <c r="AD22" s="335">
        <f t="shared" si="9"/>
        <v>146</v>
      </c>
      <c r="AE22" s="335">
        <f t="shared" si="10"/>
        <v>54</v>
      </c>
      <c r="AF22" s="335">
        <f t="shared" si="11"/>
        <v>54</v>
      </c>
      <c r="AG22" s="335">
        <f t="shared" si="12"/>
        <v>13</v>
      </c>
      <c r="AH22" s="195">
        <f t="shared" si="13"/>
        <v>62.911503837897541</v>
      </c>
      <c r="AI22" s="336">
        <f t="shared" si="14"/>
        <v>1.4989309466036671</v>
      </c>
    </row>
    <row r="23" spans="1:35" ht="15" customHeight="1" x14ac:dyDescent="0.2">
      <c r="A23" s="71" t="str">
        <f t="shared" si="15"/>
        <v>C170x1,5</v>
      </c>
      <c r="B23" s="1" t="str">
        <f t="shared" si="16"/>
        <v>170</v>
      </c>
      <c r="C23" s="1">
        <f t="shared" si="17"/>
        <v>68</v>
      </c>
      <c r="D23" s="1">
        <f t="shared" si="18"/>
        <v>68</v>
      </c>
      <c r="E23" s="1">
        <f t="shared" si="19"/>
        <v>15.5</v>
      </c>
      <c r="F23" s="2" t="str">
        <f t="shared" si="20"/>
        <v>C170</v>
      </c>
      <c r="G23" s="80" t="s">
        <v>171</v>
      </c>
      <c r="H23" s="116">
        <v>1.5</v>
      </c>
      <c r="I23" s="111">
        <v>4.84</v>
      </c>
      <c r="J23" s="111">
        <v>218.81</v>
      </c>
      <c r="K23" s="111">
        <v>25.74</v>
      </c>
      <c r="L23" s="111">
        <v>28.85</v>
      </c>
      <c r="M23" s="111">
        <v>5.97</v>
      </c>
      <c r="N23" s="111">
        <v>6.72</v>
      </c>
      <c r="O23" s="111">
        <v>2.44</v>
      </c>
      <c r="P23" s="94">
        <v>1.97</v>
      </c>
      <c r="Q23" s="94"/>
      <c r="R23" s="94">
        <v>8.5</v>
      </c>
      <c r="S23" s="94"/>
      <c r="T23" s="111">
        <v>3.8</v>
      </c>
      <c r="U23" s="276"/>
      <c r="V23" s="285">
        <v>3.5999999999999997E-2</v>
      </c>
      <c r="W23" s="286">
        <v>7.2999999999999995E-2</v>
      </c>
      <c r="X23" s="287">
        <v>102.97499999999999</v>
      </c>
      <c r="Y23" s="16"/>
      <c r="Z23" s="263"/>
      <c r="AA23" s="197"/>
      <c r="AB23" s="244">
        <f t="shared" si="7"/>
        <v>25.132741228718345</v>
      </c>
      <c r="AC23" s="244">
        <f t="shared" si="8"/>
        <v>34.557519189487721</v>
      </c>
      <c r="AD23" s="335">
        <f t="shared" si="9"/>
        <v>159</v>
      </c>
      <c r="AE23" s="335">
        <f t="shared" si="10"/>
        <v>57</v>
      </c>
      <c r="AF23" s="335">
        <f t="shared" si="11"/>
        <v>57</v>
      </c>
      <c r="AG23" s="335">
        <f t="shared" si="12"/>
        <v>10</v>
      </c>
      <c r="AH23" s="195">
        <f t="shared" si="13"/>
        <v>64.569026041820607</v>
      </c>
      <c r="AI23" s="336">
        <f t="shared" si="14"/>
        <v>0.7495854121858968</v>
      </c>
    </row>
    <row r="24" spans="1:35" ht="15" customHeight="1" x14ac:dyDescent="0.2">
      <c r="A24" s="72" t="str">
        <f t="shared" si="15"/>
        <v>C170x2,0</v>
      </c>
      <c r="B24" s="3" t="str">
        <f t="shared" si="16"/>
        <v>170</v>
      </c>
      <c r="C24" s="3">
        <f t="shared" si="17"/>
        <v>68</v>
      </c>
      <c r="D24" s="3">
        <f t="shared" si="18"/>
        <v>68</v>
      </c>
      <c r="E24" s="3">
        <f t="shared" si="19"/>
        <v>17</v>
      </c>
      <c r="F24" s="4" t="str">
        <f t="shared" si="20"/>
        <v>C170</v>
      </c>
      <c r="G24" s="81" t="s">
        <v>134</v>
      </c>
      <c r="H24" s="117">
        <v>2</v>
      </c>
      <c r="I24" s="112">
        <v>6.46</v>
      </c>
      <c r="J24" s="112">
        <v>290.11</v>
      </c>
      <c r="K24" s="112">
        <v>34.130000000000003</v>
      </c>
      <c r="L24" s="112">
        <v>38.75</v>
      </c>
      <c r="M24" s="112">
        <v>8.09</v>
      </c>
      <c r="N24" s="112">
        <v>6.69</v>
      </c>
      <c r="O24" s="112">
        <v>2.44</v>
      </c>
      <c r="P24" s="96">
        <v>2.0099999999999998</v>
      </c>
      <c r="Q24" s="96"/>
      <c r="R24" s="96">
        <v>8.5</v>
      </c>
      <c r="S24" s="96"/>
      <c r="T24" s="112">
        <v>5.08</v>
      </c>
      <c r="U24" s="269"/>
      <c r="V24" s="271">
        <v>8.5999999999999993E-2</v>
      </c>
      <c r="W24" s="266">
        <v>0.17199999999999999</v>
      </c>
      <c r="X24" s="272">
        <v>140.41300000000001</v>
      </c>
      <c r="Y24" s="16"/>
      <c r="Z24" s="263"/>
      <c r="AA24" s="197"/>
      <c r="AB24" s="244">
        <f t="shared" si="7"/>
        <v>25.132741228718345</v>
      </c>
      <c r="AC24" s="244">
        <f t="shared" si="8"/>
        <v>37.699111843077517</v>
      </c>
      <c r="AD24" s="335">
        <f t="shared" si="9"/>
        <v>158</v>
      </c>
      <c r="AE24" s="335">
        <f t="shared" si="10"/>
        <v>56</v>
      </c>
      <c r="AF24" s="335">
        <f t="shared" si="11"/>
        <v>56</v>
      </c>
      <c r="AG24" s="335">
        <f t="shared" si="12"/>
        <v>11</v>
      </c>
      <c r="AH24" s="195">
        <f t="shared" si="13"/>
        <v>64.683185307179585</v>
      </c>
      <c r="AI24" s="336">
        <f t="shared" si="14"/>
        <v>0.99871395778076577</v>
      </c>
    </row>
    <row r="25" spans="1:35" ht="15" customHeight="1" x14ac:dyDescent="0.2">
      <c r="A25" s="72" t="str">
        <f t="shared" si="15"/>
        <v>C170x2,5</v>
      </c>
      <c r="B25" s="3" t="str">
        <f t="shared" si="16"/>
        <v>170</v>
      </c>
      <c r="C25" s="3">
        <f t="shared" si="17"/>
        <v>68</v>
      </c>
      <c r="D25" s="3">
        <f t="shared" si="18"/>
        <v>68</v>
      </c>
      <c r="E25" s="3">
        <f t="shared" si="19"/>
        <v>18.5</v>
      </c>
      <c r="F25" s="4" t="str">
        <f t="shared" si="20"/>
        <v>C170</v>
      </c>
      <c r="G25" s="81" t="s">
        <v>135</v>
      </c>
      <c r="H25" s="117">
        <v>2.5</v>
      </c>
      <c r="I25" s="112">
        <v>8.09</v>
      </c>
      <c r="J25" s="112">
        <v>360.48</v>
      </c>
      <c r="K25" s="112">
        <v>42.4</v>
      </c>
      <c r="L25" s="112">
        <v>48.74</v>
      </c>
      <c r="M25" s="112">
        <v>10.27</v>
      </c>
      <c r="N25" s="112">
        <v>6.67</v>
      </c>
      <c r="O25" s="112">
        <v>2.4500000000000002</v>
      </c>
      <c r="P25" s="96">
        <v>2.06</v>
      </c>
      <c r="Q25" s="96"/>
      <c r="R25" s="96">
        <v>8.5</v>
      </c>
      <c r="S25" s="96"/>
      <c r="T25" s="112">
        <v>6.36</v>
      </c>
      <c r="U25" s="269"/>
      <c r="V25" s="271">
        <v>0.16900000000000001</v>
      </c>
      <c r="W25" s="266">
        <v>0.33700000000000002</v>
      </c>
      <c r="X25" s="272">
        <v>179.35</v>
      </c>
      <c r="Y25" s="16"/>
      <c r="Z25" s="263"/>
      <c r="AA25" s="197"/>
      <c r="AB25" s="244">
        <f t="shared" si="7"/>
        <v>25.132741228718345</v>
      </c>
      <c r="AC25" s="244">
        <f t="shared" si="8"/>
        <v>40.840704496667314</v>
      </c>
      <c r="AD25" s="335">
        <f t="shared" si="9"/>
        <v>157</v>
      </c>
      <c r="AE25" s="335">
        <f t="shared" si="10"/>
        <v>55</v>
      </c>
      <c r="AF25" s="335">
        <f t="shared" si="11"/>
        <v>55</v>
      </c>
      <c r="AG25" s="335">
        <f t="shared" si="12"/>
        <v>12</v>
      </c>
      <c r="AH25" s="195">
        <f t="shared" si="13"/>
        <v>64.797344572538563</v>
      </c>
      <c r="AI25" s="336">
        <f t="shared" si="14"/>
        <v>1.2485079525046743</v>
      </c>
    </row>
    <row r="26" spans="1:35" ht="15" customHeight="1" thickBot="1" x14ac:dyDescent="0.25">
      <c r="A26" s="73" t="str">
        <f t="shared" si="15"/>
        <v>C170x3,0</v>
      </c>
      <c r="B26" s="14" t="str">
        <f t="shared" si="16"/>
        <v>170</v>
      </c>
      <c r="C26" s="5">
        <f t="shared" si="17"/>
        <v>68</v>
      </c>
      <c r="D26" s="5">
        <f t="shared" si="18"/>
        <v>68</v>
      </c>
      <c r="E26" s="5">
        <f t="shared" si="19"/>
        <v>20</v>
      </c>
      <c r="F26" s="6" t="str">
        <f t="shared" si="20"/>
        <v>C170</v>
      </c>
      <c r="G26" s="82" t="s">
        <v>136</v>
      </c>
      <c r="H26" s="118">
        <v>3</v>
      </c>
      <c r="I26" s="113">
        <v>9.73</v>
      </c>
      <c r="J26" s="113">
        <v>429.86</v>
      </c>
      <c r="K26" s="113">
        <v>50.57</v>
      </c>
      <c r="L26" s="113">
        <v>58.8</v>
      </c>
      <c r="M26" s="113">
        <v>12.5</v>
      </c>
      <c r="N26" s="113">
        <v>6.64</v>
      </c>
      <c r="O26" s="113">
        <v>2.4500000000000002</v>
      </c>
      <c r="P26" s="98">
        <v>2.1</v>
      </c>
      <c r="Q26" s="98"/>
      <c r="R26" s="98">
        <v>8.5</v>
      </c>
      <c r="S26" s="98"/>
      <c r="T26" s="113">
        <v>7.64</v>
      </c>
      <c r="U26" s="270"/>
      <c r="V26" s="273">
        <v>0.29199999999999998</v>
      </c>
      <c r="W26" s="274">
        <v>0.58299999999999996</v>
      </c>
      <c r="X26" s="275">
        <v>219.755</v>
      </c>
      <c r="Y26" s="16"/>
      <c r="Z26" s="263"/>
      <c r="AA26" s="197"/>
      <c r="AB26" s="244">
        <f t="shared" si="7"/>
        <v>25.132741228718345</v>
      </c>
      <c r="AC26" s="244">
        <f t="shared" si="8"/>
        <v>43.982297150257104</v>
      </c>
      <c r="AD26" s="335">
        <f t="shared" si="9"/>
        <v>156</v>
      </c>
      <c r="AE26" s="335">
        <f t="shared" si="10"/>
        <v>54</v>
      </c>
      <c r="AF26" s="335">
        <f t="shared" si="11"/>
        <v>54</v>
      </c>
      <c r="AG26" s="335">
        <f t="shared" si="12"/>
        <v>13</v>
      </c>
      <c r="AH26" s="195">
        <f t="shared" si="13"/>
        <v>64.911503837897541</v>
      </c>
      <c r="AI26" s="336">
        <f t="shared" si="14"/>
        <v>1.4989638853998166</v>
      </c>
    </row>
    <row r="27" spans="1:35" ht="15" customHeight="1" x14ac:dyDescent="0.2">
      <c r="A27" s="71" t="str">
        <f t="shared" si="15"/>
        <v>C180x1,5</v>
      </c>
      <c r="B27" s="1" t="str">
        <f t="shared" si="16"/>
        <v>180</v>
      </c>
      <c r="C27" s="1">
        <f t="shared" si="17"/>
        <v>68</v>
      </c>
      <c r="D27" s="1">
        <f t="shared" si="18"/>
        <v>68</v>
      </c>
      <c r="E27" s="1">
        <f t="shared" si="19"/>
        <v>15.5</v>
      </c>
      <c r="F27" s="2" t="str">
        <f t="shared" si="20"/>
        <v>C180</v>
      </c>
      <c r="G27" s="80" t="s">
        <v>137</v>
      </c>
      <c r="H27" s="116">
        <v>1.5</v>
      </c>
      <c r="I27" s="111">
        <v>4.99</v>
      </c>
      <c r="J27" s="111">
        <v>249.85</v>
      </c>
      <c r="K27" s="111">
        <v>27.76</v>
      </c>
      <c r="L27" s="111">
        <v>29.38</v>
      </c>
      <c r="M27" s="111">
        <v>6.01</v>
      </c>
      <c r="N27" s="111">
        <v>7.07</v>
      </c>
      <c r="O27" s="111">
        <v>2.42</v>
      </c>
      <c r="P27" s="94">
        <v>1.91</v>
      </c>
      <c r="Q27" s="94"/>
      <c r="R27" s="94">
        <v>9</v>
      </c>
      <c r="S27" s="94"/>
      <c r="T27" s="111">
        <v>3.92</v>
      </c>
      <c r="U27" s="276"/>
      <c r="V27" s="282">
        <v>3.6999999999999998E-2</v>
      </c>
      <c r="W27" s="283">
        <v>7.4999999999999997E-2</v>
      </c>
      <c r="X27" s="284">
        <v>102.999</v>
      </c>
      <c r="Y27" s="16"/>
      <c r="Z27" s="263"/>
      <c r="AA27" s="197"/>
      <c r="AB27" s="244">
        <f t="shared" si="7"/>
        <v>25.132741228718345</v>
      </c>
      <c r="AC27" s="244">
        <f t="shared" si="8"/>
        <v>34.557519189487721</v>
      </c>
      <c r="AD27" s="335">
        <f t="shared" si="9"/>
        <v>169</v>
      </c>
      <c r="AE27" s="335">
        <f t="shared" si="10"/>
        <v>57</v>
      </c>
      <c r="AF27" s="335">
        <f t="shared" si="11"/>
        <v>57</v>
      </c>
      <c r="AG27" s="335">
        <f t="shared" si="12"/>
        <v>10</v>
      </c>
      <c r="AH27" s="195">
        <f t="shared" si="13"/>
        <v>66.569026041820607</v>
      </c>
      <c r="AI27" s="336">
        <f t="shared" si="14"/>
        <v>0.74959786806331474</v>
      </c>
    </row>
    <row r="28" spans="1:35" ht="15" customHeight="1" x14ac:dyDescent="0.2">
      <c r="A28" s="72" t="str">
        <f t="shared" si="15"/>
        <v>C180x2,0</v>
      </c>
      <c r="B28" s="3" t="str">
        <f t="shared" si="16"/>
        <v>180</v>
      </c>
      <c r="C28" s="3">
        <f t="shared" si="17"/>
        <v>68</v>
      </c>
      <c r="D28" s="3">
        <f t="shared" si="18"/>
        <v>68</v>
      </c>
      <c r="E28" s="3">
        <f t="shared" si="19"/>
        <v>17</v>
      </c>
      <c r="F28" s="4" t="str">
        <f t="shared" si="20"/>
        <v>C180</v>
      </c>
      <c r="G28" s="81" t="s">
        <v>138</v>
      </c>
      <c r="H28" s="117">
        <v>2</v>
      </c>
      <c r="I28" s="112">
        <v>6.66</v>
      </c>
      <c r="J28" s="112">
        <v>331.44</v>
      </c>
      <c r="K28" s="112">
        <v>36.82</v>
      </c>
      <c r="L28" s="112">
        <v>39.46</v>
      </c>
      <c r="M28" s="112">
        <v>8.14</v>
      </c>
      <c r="N28" s="112">
        <v>7.05</v>
      </c>
      <c r="O28" s="112">
        <v>2.4300000000000002</v>
      </c>
      <c r="P28" s="96">
        <v>1.95</v>
      </c>
      <c r="Q28" s="96"/>
      <c r="R28" s="96">
        <v>9</v>
      </c>
      <c r="S28" s="96"/>
      <c r="T28" s="112">
        <v>5.23</v>
      </c>
      <c r="U28" s="269"/>
      <c r="V28" s="271">
        <v>8.8999999999999996E-2</v>
      </c>
      <c r="W28" s="266">
        <v>0.17799999999999999</v>
      </c>
      <c r="X28" s="272">
        <v>134.846</v>
      </c>
      <c r="Y28" s="16"/>
      <c r="Z28" s="263"/>
      <c r="AA28" s="197"/>
      <c r="AB28" s="244">
        <f t="shared" si="7"/>
        <v>25.132741228718345</v>
      </c>
      <c r="AC28" s="244">
        <f t="shared" si="8"/>
        <v>37.699111843077517</v>
      </c>
      <c r="AD28" s="335">
        <f t="shared" si="9"/>
        <v>168</v>
      </c>
      <c r="AE28" s="335">
        <f t="shared" si="10"/>
        <v>56</v>
      </c>
      <c r="AF28" s="335">
        <f t="shared" si="11"/>
        <v>56</v>
      </c>
      <c r="AG28" s="335">
        <f t="shared" si="12"/>
        <v>11</v>
      </c>
      <c r="AH28" s="195">
        <f t="shared" si="13"/>
        <v>66.683185307179585</v>
      </c>
      <c r="AI28" s="336">
        <f t="shared" si="14"/>
        <v>0.99875252949005988</v>
      </c>
    </row>
    <row r="29" spans="1:35" ht="15" customHeight="1" x14ac:dyDescent="0.2">
      <c r="A29" s="72" t="str">
        <f t="shared" si="15"/>
        <v>C180x2,5</v>
      </c>
      <c r="B29" s="3" t="str">
        <f t="shared" si="16"/>
        <v>180</v>
      </c>
      <c r="C29" s="3">
        <f t="shared" si="17"/>
        <v>68</v>
      </c>
      <c r="D29" s="3">
        <f t="shared" si="18"/>
        <v>68</v>
      </c>
      <c r="E29" s="3">
        <f t="shared" si="19"/>
        <v>18.5</v>
      </c>
      <c r="F29" s="4" t="str">
        <f t="shared" si="20"/>
        <v>C180</v>
      </c>
      <c r="G29" s="81" t="s">
        <v>139</v>
      </c>
      <c r="H29" s="117">
        <v>2.5</v>
      </c>
      <c r="I29" s="112">
        <v>8.34</v>
      </c>
      <c r="J29" s="112">
        <v>412.06</v>
      </c>
      <c r="K29" s="112">
        <v>45.78</v>
      </c>
      <c r="L29" s="112">
        <v>49.64</v>
      </c>
      <c r="M29" s="112">
        <v>10.33</v>
      </c>
      <c r="N29" s="112">
        <v>7.02</v>
      </c>
      <c r="O29" s="112">
        <v>2.4300000000000002</v>
      </c>
      <c r="P29" s="96">
        <v>2</v>
      </c>
      <c r="Q29" s="96"/>
      <c r="R29" s="96">
        <v>9</v>
      </c>
      <c r="S29" s="96"/>
      <c r="T29" s="112">
        <v>6.55</v>
      </c>
      <c r="U29" s="269"/>
      <c r="V29" s="271">
        <v>0.17399999999999999</v>
      </c>
      <c r="W29" s="266">
        <v>0.34799999999999998</v>
      </c>
      <c r="X29" s="272">
        <v>179.40600000000001</v>
      </c>
      <c r="Y29" s="16"/>
      <c r="Z29" s="263"/>
      <c r="AA29" s="197"/>
      <c r="AB29" s="244">
        <f t="shared" si="7"/>
        <v>25.132741228718345</v>
      </c>
      <c r="AC29" s="244">
        <f t="shared" si="8"/>
        <v>40.840704496667314</v>
      </c>
      <c r="AD29" s="335">
        <f t="shared" si="9"/>
        <v>167</v>
      </c>
      <c r="AE29" s="335">
        <f t="shared" si="10"/>
        <v>55</v>
      </c>
      <c r="AF29" s="335">
        <f t="shared" si="11"/>
        <v>55</v>
      </c>
      <c r="AG29" s="335">
        <f t="shared" si="12"/>
        <v>12</v>
      </c>
      <c r="AH29" s="195">
        <f t="shared" si="13"/>
        <v>66.797344572538563</v>
      </c>
      <c r="AI29" s="336">
        <f t="shared" si="14"/>
        <v>1.2485526263612439</v>
      </c>
    </row>
    <row r="30" spans="1:35" ht="15" customHeight="1" thickBot="1" x14ac:dyDescent="0.25">
      <c r="A30" s="126" t="str">
        <f t="shared" si="15"/>
        <v>C180x3,0</v>
      </c>
      <c r="B30" s="14" t="str">
        <f t="shared" si="16"/>
        <v>180</v>
      </c>
      <c r="C30" s="14">
        <f t="shared" si="17"/>
        <v>68</v>
      </c>
      <c r="D30" s="14">
        <f t="shared" si="18"/>
        <v>68</v>
      </c>
      <c r="E30" s="14">
        <f t="shared" si="19"/>
        <v>20</v>
      </c>
      <c r="F30" s="7" t="str">
        <f t="shared" si="20"/>
        <v>C180</v>
      </c>
      <c r="G30" s="151" t="s">
        <v>140</v>
      </c>
      <c r="H30" s="152">
        <v>3</v>
      </c>
      <c r="I30" s="199">
        <v>10.029999999999999</v>
      </c>
      <c r="J30" s="199">
        <v>491.66</v>
      </c>
      <c r="K30" s="199">
        <v>54.62</v>
      </c>
      <c r="L30" s="199">
        <v>59.9</v>
      </c>
      <c r="M30" s="199">
        <v>12.58</v>
      </c>
      <c r="N30" s="199">
        <v>6.99</v>
      </c>
      <c r="O30" s="199">
        <v>2.44</v>
      </c>
      <c r="P30" s="108">
        <v>2.04</v>
      </c>
      <c r="Q30" s="108"/>
      <c r="R30" s="108">
        <v>9</v>
      </c>
      <c r="S30" s="108"/>
      <c r="T30" s="199">
        <v>7.88</v>
      </c>
      <c r="U30" s="277"/>
      <c r="V30" s="279">
        <v>0.30099999999999999</v>
      </c>
      <c r="W30" s="280">
        <v>0.60099999999999998</v>
      </c>
      <c r="X30" s="281">
        <v>219.833</v>
      </c>
      <c r="Y30" s="16"/>
      <c r="Z30" s="263"/>
      <c r="AA30" s="197"/>
      <c r="AB30" s="244">
        <f t="shared" si="7"/>
        <v>25.132741228718345</v>
      </c>
      <c r="AC30" s="244">
        <f t="shared" si="8"/>
        <v>43.982297150257104</v>
      </c>
      <c r="AD30" s="335">
        <f t="shared" si="9"/>
        <v>166</v>
      </c>
      <c r="AE30" s="335">
        <f t="shared" si="10"/>
        <v>54</v>
      </c>
      <c r="AF30" s="335">
        <f t="shared" si="11"/>
        <v>54</v>
      </c>
      <c r="AG30" s="335">
        <f t="shared" si="12"/>
        <v>13</v>
      </c>
      <c r="AH30" s="195">
        <f t="shared" si="13"/>
        <v>66.911503837897541</v>
      </c>
      <c r="AI30" s="336">
        <f t="shared" si="14"/>
        <v>1.4989948550998158</v>
      </c>
    </row>
    <row r="31" spans="1:35" ht="15" customHeight="1" x14ac:dyDescent="0.25">
      <c r="A31" s="71" t="str">
        <f t="shared" si="15"/>
        <v>C200x1,0</v>
      </c>
      <c r="B31" s="1" t="str">
        <f t="shared" si="16"/>
        <v>200</v>
      </c>
      <c r="C31" s="1">
        <f t="shared" si="17"/>
        <v>68</v>
      </c>
      <c r="D31" s="1">
        <f t="shared" si="18"/>
        <v>68</v>
      </c>
      <c r="E31" s="1">
        <f t="shared" si="19"/>
        <v>15.5</v>
      </c>
      <c r="F31" s="2" t="str">
        <f t="shared" si="20"/>
        <v>C200</v>
      </c>
      <c r="G31" s="80" t="s">
        <v>141</v>
      </c>
      <c r="H31" s="116">
        <v>1</v>
      </c>
      <c r="I31" s="111">
        <v>3.55</v>
      </c>
      <c r="J31" s="111">
        <v>216</v>
      </c>
      <c r="K31" s="111">
        <v>21.6</v>
      </c>
      <c r="L31" s="111">
        <v>21.1</v>
      </c>
      <c r="M31" s="111">
        <v>4.22</v>
      </c>
      <c r="N31" s="111">
        <v>7.79</v>
      </c>
      <c r="O31" s="111">
        <v>2.4300000000000002</v>
      </c>
      <c r="P31" s="94">
        <v>1.81</v>
      </c>
      <c r="Q31" s="94"/>
      <c r="R31" s="94">
        <v>10</v>
      </c>
      <c r="S31" s="94"/>
      <c r="T31" s="111">
        <v>2.89</v>
      </c>
      <c r="U31" s="276"/>
      <c r="V31" s="190"/>
      <c r="W31" s="191"/>
      <c r="X31" s="85"/>
      <c r="Y31" s="16"/>
      <c r="Z31" s="263"/>
      <c r="AA31" s="197"/>
      <c r="AB31" s="244">
        <f t="shared" si="7"/>
        <v>25.132741228718345</v>
      </c>
      <c r="AC31" s="244">
        <f t="shared" si="8"/>
        <v>31.415926535897931</v>
      </c>
      <c r="AD31" s="335">
        <f t="shared" si="9"/>
        <v>190</v>
      </c>
      <c r="AE31" s="335">
        <f t="shared" si="10"/>
        <v>58</v>
      </c>
      <c r="AF31" s="335">
        <f t="shared" si="11"/>
        <v>58</v>
      </c>
      <c r="AG31" s="335">
        <f t="shared" si="12"/>
        <v>10.5</v>
      </c>
      <c r="AH31" s="195">
        <f t="shared" si="13"/>
        <v>71.054866776461637</v>
      </c>
      <c r="AI31" s="336">
        <f t="shared" si="14"/>
        <v>0.49961391260760329</v>
      </c>
    </row>
    <row r="32" spans="1:35" ht="15" customHeight="1" x14ac:dyDescent="0.25">
      <c r="A32" s="72" t="str">
        <f t="shared" si="15"/>
        <v>C200x1,2</v>
      </c>
      <c r="B32" s="3" t="str">
        <f t="shared" si="16"/>
        <v>200</v>
      </c>
      <c r="C32" s="3">
        <f t="shared" si="17"/>
        <v>68</v>
      </c>
      <c r="D32" s="3">
        <f t="shared" si="18"/>
        <v>68</v>
      </c>
      <c r="E32" s="3">
        <f t="shared" si="19"/>
        <v>15.5</v>
      </c>
      <c r="F32" s="4" t="str">
        <f t="shared" si="20"/>
        <v>C200</v>
      </c>
      <c r="G32" s="81" t="s">
        <v>141</v>
      </c>
      <c r="H32" s="117">
        <v>1.2</v>
      </c>
      <c r="I32" s="112">
        <v>4.25</v>
      </c>
      <c r="J32" s="112">
        <v>257.73</v>
      </c>
      <c r="K32" s="112">
        <v>25.77</v>
      </c>
      <c r="L32" s="112">
        <v>25.24</v>
      </c>
      <c r="M32" s="112">
        <v>5.05</v>
      </c>
      <c r="N32" s="112">
        <v>7.78</v>
      </c>
      <c r="O32" s="112">
        <v>2.4300000000000002</v>
      </c>
      <c r="P32" s="96">
        <v>1.81</v>
      </c>
      <c r="Q32" s="96"/>
      <c r="R32" s="96">
        <v>10</v>
      </c>
      <c r="S32" s="96"/>
      <c r="T32" s="112">
        <v>3.44</v>
      </c>
      <c r="U32" s="269"/>
      <c r="V32" s="192"/>
      <c r="W32" s="193"/>
      <c r="X32" s="86"/>
      <c r="Y32" s="16"/>
      <c r="Z32" s="263"/>
      <c r="AA32" s="197"/>
      <c r="AB32" s="244">
        <f t="shared" si="7"/>
        <v>25.132741228718345</v>
      </c>
      <c r="AC32" s="244">
        <f t="shared" si="8"/>
        <v>32.672563597333848</v>
      </c>
      <c r="AD32" s="335">
        <f t="shared" si="9"/>
        <v>189.6</v>
      </c>
      <c r="AE32" s="335">
        <f t="shared" si="10"/>
        <v>57.6</v>
      </c>
      <c r="AF32" s="335">
        <f t="shared" si="11"/>
        <v>57.6</v>
      </c>
      <c r="AG32" s="335">
        <f t="shared" si="12"/>
        <v>10.3</v>
      </c>
      <c r="AH32" s="195">
        <f t="shared" si="13"/>
        <v>70.860530482605228</v>
      </c>
      <c r="AI32" s="336">
        <f t="shared" si="14"/>
        <v>0.59976971256844958</v>
      </c>
    </row>
    <row r="33" spans="1:35" ht="15" customHeight="1" x14ac:dyDescent="0.2">
      <c r="A33" s="72" t="str">
        <f t="shared" si="15"/>
        <v>C200x1,5</v>
      </c>
      <c r="B33" s="3" t="str">
        <f t="shared" si="16"/>
        <v>200</v>
      </c>
      <c r="C33" s="3">
        <f t="shared" si="17"/>
        <v>68</v>
      </c>
      <c r="D33" s="3">
        <f t="shared" si="18"/>
        <v>68</v>
      </c>
      <c r="E33" s="3">
        <f t="shared" si="19"/>
        <v>15.5</v>
      </c>
      <c r="F33" s="4" t="str">
        <f t="shared" si="20"/>
        <v>C200</v>
      </c>
      <c r="G33" s="81" t="s">
        <v>141</v>
      </c>
      <c r="H33" s="117">
        <v>1.5</v>
      </c>
      <c r="I33" s="112">
        <v>5.29</v>
      </c>
      <c r="J33" s="112">
        <v>319.5</v>
      </c>
      <c r="K33" s="112">
        <v>31.95</v>
      </c>
      <c r="L33" s="112">
        <v>30.33</v>
      </c>
      <c r="M33" s="112">
        <v>6.07</v>
      </c>
      <c r="N33" s="112">
        <v>7.76</v>
      </c>
      <c r="O33" s="112">
        <v>2.39</v>
      </c>
      <c r="P33" s="96">
        <v>1.81</v>
      </c>
      <c r="Q33" s="96"/>
      <c r="R33" s="96">
        <v>10</v>
      </c>
      <c r="S33" s="96"/>
      <c r="T33" s="112">
        <v>4.1500000000000004</v>
      </c>
      <c r="U33" s="269"/>
      <c r="V33" s="271">
        <v>0.04</v>
      </c>
      <c r="W33" s="266">
        <v>7.9000000000000001E-2</v>
      </c>
      <c r="X33" s="272">
        <v>105.193</v>
      </c>
      <c r="Y33" s="16"/>
      <c r="Z33" s="263"/>
      <c r="AA33" s="197"/>
      <c r="AB33" s="244">
        <f t="shared" si="7"/>
        <v>25.132741228718345</v>
      </c>
      <c r="AC33" s="244">
        <f t="shared" si="8"/>
        <v>34.557519189487721</v>
      </c>
      <c r="AD33" s="335">
        <f t="shared" si="9"/>
        <v>189</v>
      </c>
      <c r="AE33" s="335">
        <f t="shared" si="10"/>
        <v>57</v>
      </c>
      <c r="AF33" s="335">
        <f t="shared" si="11"/>
        <v>57</v>
      </c>
      <c r="AG33" s="335">
        <f t="shared" si="12"/>
        <v>10</v>
      </c>
      <c r="AH33" s="195">
        <f t="shared" si="13"/>
        <v>70.569026041820607</v>
      </c>
      <c r="AI33" s="336">
        <f t="shared" si="14"/>
        <v>0.74962066174259534</v>
      </c>
    </row>
    <row r="34" spans="1:35" ht="15" customHeight="1" x14ac:dyDescent="0.2">
      <c r="A34" s="72" t="str">
        <f t="shared" si="15"/>
        <v>C200x2,0</v>
      </c>
      <c r="B34" s="3" t="str">
        <f t="shared" si="16"/>
        <v>200</v>
      </c>
      <c r="C34" s="3">
        <f t="shared" si="17"/>
        <v>68</v>
      </c>
      <c r="D34" s="3">
        <f t="shared" si="18"/>
        <v>68</v>
      </c>
      <c r="E34" s="3">
        <f t="shared" si="19"/>
        <v>17</v>
      </c>
      <c r="F34" s="4" t="str">
        <f t="shared" si="20"/>
        <v>C200</v>
      </c>
      <c r="G34" s="81" t="s">
        <v>142</v>
      </c>
      <c r="H34" s="117">
        <v>2</v>
      </c>
      <c r="I34" s="112">
        <v>7.06</v>
      </c>
      <c r="J34" s="112">
        <v>424.21</v>
      </c>
      <c r="K34" s="112">
        <v>42.42</v>
      </c>
      <c r="L34" s="112">
        <v>40.76</v>
      </c>
      <c r="M34" s="112">
        <v>8.23</v>
      </c>
      <c r="N34" s="112">
        <v>7.74</v>
      </c>
      <c r="O34" s="112">
        <v>2.4</v>
      </c>
      <c r="P34" s="96">
        <v>1.85</v>
      </c>
      <c r="Q34" s="96"/>
      <c r="R34" s="96">
        <v>10</v>
      </c>
      <c r="S34" s="96"/>
      <c r="T34" s="112">
        <v>5.55</v>
      </c>
      <c r="U34" s="269"/>
      <c r="V34" s="271">
        <v>9.4E-2</v>
      </c>
      <c r="W34" s="266">
        <v>0.188</v>
      </c>
      <c r="X34" s="272">
        <v>140.52500000000001</v>
      </c>
      <c r="Y34" s="16"/>
      <c r="Z34" s="263"/>
      <c r="AA34" s="197"/>
      <c r="AB34" s="244">
        <f t="shared" si="7"/>
        <v>25.132741228718345</v>
      </c>
      <c r="AC34" s="244">
        <f t="shared" si="8"/>
        <v>37.699111843077517</v>
      </c>
      <c r="AD34" s="335">
        <f t="shared" si="9"/>
        <v>188</v>
      </c>
      <c r="AE34" s="335">
        <f t="shared" si="10"/>
        <v>56</v>
      </c>
      <c r="AF34" s="335">
        <f t="shared" si="11"/>
        <v>56</v>
      </c>
      <c r="AG34" s="335">
        <f t="shared" si="12"/>
        <v>11</v>
      </c>
      <c r="AH34" s="195">
        <f t="shared" si="13"/>
        <v>70.683185307179585</v>
      </c>
      <c r="AI34" s="336">
        <f t="shared" si="14"/>
        <v>0.9988231245264616</v>
      </c>
    </row>
    <row r="35" spans="1:35" ht="15" customHeight="1" x14ac:dyDescent="0.2">
      <c r="A35" s="72" t="str">
        <f t="shared" si="15"/>
        <v>C200x2,5</v>
      </c>
      <c r="B35" s="3" t="str">
        <f t="shared" si="16"/>
        <v>200</v>
      </c>
      <c r="C35" s="3">
        <f t="shared" si="17"/>
        <v>68</v>
      </c>
      <c r="D35" s="3">
        <f t="shared" si="18"/>
        <v>68</v>
      </c>
      <c r="E35" s="3">
        <f>VALUE(MID(G35,(SEARCH("/",G35,SEARCH("/",G35,(SEARCH("/",G35,1)+1))+1)+1),4))</f>
        <v>18.5</v>
      </c>
      <c r="F35" s="4" t="str">
        <f t="shared" si="20"/>
        <v>C200</v>
      </c>
      <c r="G35" s="81" t="s">
        <v>170</v>
      </c>
      <c r="H35" s="117">
        <v>2.5</v>
      </c>
      <c r="I35" s="112">
        <v>8.84</v>
      </c>
      <c r="J35" s="112">
        <v>527.89</v>
      </c>
      <c r="K35" s="112">
        <v>52.78</v>
      </c>
      <c r="L35" s="112">
        <v>51.3</v>
      </c>
      <c r="M35" s="112">
        <v>10.45</v>
      </c>
      <c r="N35" s="112">
        <v>7.72</v>
      </c>
      <c r="O35" s="112">
        <v>2.4</v>
      </c>
      <c r="P35" s="96">
        <v>1.89</v>
      </c>
      <c r="Q35" s="96"/>
      <c r="R35" s="96">
        <v>10</v>
      </c>
      <c r="S35" s="96"/>
      <c r="T35" s="112">
        <v>6.95</v>
      </c>
      <c r="U35" s="269"/>
      <c r="V35" s="271">
        <v>0.184</v>
      </c>
      <c r="W35" s="266">
        <v>0.36799999999999999</v>
      </c>
      <c r="X35" s="272">
        <v>179.517</v>
      </c>
      <c r="Y35" s="16"/>
      <c r="Z35" s="263"/>
      <c r="AA35" s="197"/>
      <c r="AB35" s="244">
        <f t="shared" si="7"/>
        <v>25.132741228718345</v>
      </c>
      <c r="AC35" s="244">
        <f t="shared" si="8"/>
        <v>40.840704496667314</v>
      </c>
      <c r="AD35" s="335">
        <f t="shared" si="9"/>
        <v>187</v>
      </c>
      <c r="AE35" s="335">
        <f t="shared" si="10"/>
        <v>55</v>
      </c>
      <c r="AF35" s="335">
        <f t="shared" si="11"/>
        <v>55</v>
      </c>
      <c r="AG35" s="335">
        <f t="shared" si="12"/>
        <v>12</v>
      </c>
      <c r="AH35" s="195">
        <f t="shared" si="13"/>
        <v>70.797344572538563</v>
      </c>
      <c r="AI35" s="336">
        <f t="shared" si="14"/>
        <v>1.2486344019502857</v>
      </c>
    </row>
    <row r="36" spans="1:35" ht="15" customHeight="1" thickBot="1" x14ac:dyDescent="0.25">
      <c r="A36" s="73" t="str">
        <f t="shared" si="15"/>
        <v>C200x3,0</v>
      </c>
      <c r="B36" s="5" t="str">
        <f t="shared" si="16"/>
        <v>200</v>
      </c>
      <c r="C36" s="5">
        <f t="shared" si="17"/>
        <v>68</v>
      </c>
      <c r="D36" s="5">
        <f t="shared" si="18"/>
        <v>68</v>
      </c>
      <c r="E36" s="5">
        <f t="shared" si="19"/>
        <v>20</v>
      </c>
      <c r="F36" s="6" t="str">
        <f t="shared" si="20"/>
        <v>C200</v>
      </c>
      <c r="G36" s="82" t="s">
        <v>143</v>
      </c>
      <c r="H36" s="118">
        <v>3</v>
      </c>
      <c r="I36" s="113">
        <v>10.63</v>
      </c>
      <c r="J36" s="113">
        <v>630.47</v>
      </c>
      <c r="K36" s="113">
        <v>63.04</v>
      </c>
      <c r="L36" s="113">
        <v>61.93</v>
      </c>
      <c r="M36" s="113">
        <v>12.72</v>
      </c>
      <c r="N36" s="113">
        <v>7.69</v>
      </c>
      <c r="O36" s="113">
        <v>2.41</v>
      </c>
      <c r="P36" s="98">
        <v>1.93</v>
      </c>
      <c r="Q36" s="98"/>
      <c r="R36" s="98">
        <v>10</v>
      </c>
      <c r="S36" s="98"/>
      <c r="T36" s="113">
        <v>8.35</v>
      </c>
      <c r="U36" s="270"/>
      <c r="V36" s="273">
        <v>0.31900000000000001</v>
      </c>
      <c r="W36" s="274">
        <v>0.63700000000000001</v>
      </c>
      <c r="X36" s="275">
        <v>219.989</v>
      </c>
      <c r="Y36" s="16"/>
      <c r="Z36" s="263"/>
      <c r="AA36" s="197"/>
      <c r="AB36" s="244">
        <f t="shared" si="7"/>
        <v>25.132741228718345</v>
      </c>
      <c r="AC36" s="244">
        <f t="shared" si="8"/>
        <v>43.982297150257104</v>
      </c>
      <c r="AD36" s="335">
        <f t="shared" si="9"/>
        <v>186</v>
      </c>
      <c r="AE36" s="335">
        <f t="shared" si="10"/>
        <v>54</v>
      </c>
      <c r="AF36" s="335">
        <f t="shared" si="11"/>
        <v>54</v>
      </c>
      <c r="AG36" s="335">
        <f t="shared" si="12"/>
        <v>13</v>
      </c>
      <c r="AH36" s="195">
        <f t="shared" si="13"/>
        <v>70.911503837897541</v>
      </c>
      <c r="AI36" s="336">
        <f t="shared" si="14"/>
        <v>1.499051553651999</v>
      </c>
    </row>
    <row r="37" spans="1:35" ht="15" customHeight="1" x14ac:dyDescent="0.2">
      <c r="A37" s="71" t="str">
        <f t="shared" si="15"/>
        <v>C230x2,0</v>
      </c>
      <c r="B37" s="1" t="str">
        <f t="shared" si="16"/>
        <v>230</v>
      </c>
      <c r="C37" s="1">
        <f t="shared" si="17"/>
        <v>80</v>
      </c>
      <c r="D37" s="1">
        <f t="shared" si="18"/>
        <v>80</v>
      </c>
      <c r="E37" s="1">
        <f t="shared" si="19"/>
        <v>22</v>
      </c>
      <c r="F37" s="2" t="str">
        <f t="shared" si="20"/>
        <v>C230</v>
      </c>
      <c r="G37" s="80" t="s">
        <v>144</v>
      </c>
      <c r="H37" s="116">
        <v>2</v>
      </c>
      <c r="I37" s="111">
        <v>8.34</v>
      </c>
      <c r="J37" s="111">
        <v>670.74</v>
      </c>
      <c r="K37" s="111">
        <v>58.32</v>
      </c>
      <c r="L37" s="111">
        <v>70.05</v>
      </c>
      <c r="M37" s="111">
        <v>12.2</v>
      </c>
      <c r="N37" s="111">
        <v>8.9600000000000009</v>
      </c>
      <c r="O37" s="111">
        <v>2.89</v>
      </c>
      <c r="P37" s="94">
        <v>2.2599999999999998</v>
      </c>
      <c r="Q37" s="94"/>
      <c r="R37" s="94">
        <v>11.5</v>
      </c>
      <c r="S37" s="94"/>
      <c r="T37" s="111">
        <v>6.55</v>
      </c>
      <c r="U37" s="276"/>
      <c r="V37" s="282">
        <v>0.111</v>
      </c>
      <c r="W37" s="283">
        <v>0.222</v>
      </c>
      <c r="X37" s="284">
        <v>249.15299999999999</v>
      </c>
      <c r="Y37" s="16"/>
      <c r="Z37" s="263"/>
      <c r="AA37" s="197"/>
      <c r="AB37" s="244">
        <f t="shared" si="7"/>
        <v>25.132741228718345</v>
      </c>
      <c r="AC37" s="244">
        <f t="shared" si="8"/>
        <v>37.699111843077517</v>
      </c>
      <c r="AD37" s="335">
        <f t="shared" si="9"/>
        <v>218</v>
      </c>
      <c r="AE37" s="335">
        <f t="shared" si="10"/>
        <v>68</v>
      </c>
      <c r="AF37" s="335">
        <f t="shared" si="11"/>
        <v>68</v>
      </c>
      <c r="AG37" s="335">
        <f t="shared" si="12"/>
        <v>16</v>
      </c>
      <c r="AH37" s="195">
        <f t="shared" si="13"/>
        <v>83.483185307179582</v>
      </c>
      <c r="AI37" s="336">
        <f t="shared" si="14"/>
        <v>0.99900356812125102</v>
      </c>
    </row>
    <row r="38" spans="1:35" ht="15" customHeight="1" x14ac:dyDescent="0.2">
      <c r="A38" s="72" t="str">
        <f t="shared" si="15"/>
        <v>C230x2,5</v>
      </c>
      <c r="B38" s="3" t="str">
        <f t="shared" si="16"/>
        <v>230</v>
      </c>
      <c r="C38" s="3">
        <f t="shared" si="17"/>
        <v>81</v>
      </c>
      <c r="D38" s="3">
        <f t="shared" si="18"/>
        <v>81</v>
      </c>
      <c r="E38" s="3">
        <f t="shared" si="19"/>
        <v>23</v>
      </c>
      <c r="F38" s="4" t="str">
        <f t="shared" si="20"/>
        <v>C230</v>
      </c>
      <c r="G38" s="81" t="s">
        <v>145</v>
      </c>
      <c r="H38" s="117">
        <v>2.5</v>
      </c>
      <c r="I38" s="112">
        <v>10.47</v>
      </c>
      <c r="J38" s="112">
        <v>839.22</v>
      </c>
      <c r="K38" s="112">
        <v>72.97</v>
      </c>
      <c r="L38" s="112">
        <v>89.84</v>
      </c>
      <c r="M38" s="112">
        <v>15.56</v>
      </c>
      <c r="N38" s="112">
        <v>8.9499999999999993</v>
      </c>
      <c r="O38" s="112">
        <v>2.92</v>
      </c>
      <c r="P38" s="96">
        <v>2.33</v>
      </c>
      <c r="Q38" s="96"/>
      <c r="R38" s="96">
        <v>11.5</v>
      </c>
      <c r="S38" s="96"/>
      <c r="T38" s="112">
        <v>8.2200000000000006</v>
      </c>
      <c r="U38" s="269"/>
      <c r="V38" s="271">
        <v>0.218</v>
      </c>
      <c r="W38" s="266">
        <v>0.436</v>
      </c>
      <c r="X38" s="272">
        <v>323.42899999999997</v>
      </c>
      <c r="Y38" s="16"/>
      <c r="Z38" s="263"/>
      <c r="AA38" s="197"/>
      <c r="AB38" s="244">
        <f t="shared" si="7"/>
        <v>25.132741228718345</v>
      </c>
      <c r="AC38" s="244">
        <f t="shared" si="8"/>
        <v>40.840704496667314</v>
      </c>
      <c r="AD38" s="335">
        <f t="shared" si="9"/>
        <v>217</v>
      </c>
      <c r="AE38" s="335">
        <f t="shared" si="10"/>
        <v>68</v>
      </c>
      <c r="AF38" s="335">
        <f t="shared" si="11"/>
        <v>68</v>
      </c>
      <c r="AG38" s="335">
        <f t="shared" si="12"/>
        <v>16.5</v>
      </c>
      <c r="AH38" s="195">
        <f t="shared" si="13"/>
        <v>83.797344572538563</v>
      </c>
      <c r="AI38" s="336">
        <f t="shared" si="14"/>
        <v>1.249442933234802</v>
      </c>
    </row>
    <row r="39" spans="1:35" ht="15" customHeight="1" thickBot="1" x14ac:dyDescent="0.25">
      <c r="A39" s="73" t="str">
        <f t="shared" si="15"/>
        <v>C230x3,0</v>
      </c>
      <c r="B39" s="5" t="str">
        <f t="shared" si="16"/>
        <v>230</v>
      </c>
      <c r="C39" s="5">
        <f t="shared" si="17"/>
        <v>82</v>
      </c>
      <c r="D39" s="5">
        <f t="shared" si="18"/>
        <v>82</v>
      </c>
      <c r="E39" s="5">
        <f t="shared" si="19"/>
        <v>24</v>
      </c>
      <c r="F39" s="6" t="str">
        <f t="shared" si="20"/>
        <v>C230</v>
      </c>
      <c r="G39" s="82" t="s">
        <v>146</v>
      </c>
      <c r="H39" s="118">
        <v>3</v>
      </c>
      <c r="I39" s="113">
        <v>12.61</v>
      </c>
      <c r="J39" s="113">
        <v>1007.92</v>
      </c>
      <c r="K39" s="113">
        <v>87.64</v>
      </c>
      <c r="L39" s="113">
        <v>110.58</v>
      </c>
      <c r="M39" s="113">
        <v>19.03</v>
      </c>
      <c r="N39" s="113">
        <v>8.93</v>
      </c>
      <c r="O39" s="113">
        <v>2.96</v>
      </c>
      <c r="P39" s="98">
        <v>2.39</v>
      </c>
      <c r="Q39" s="98"/>
      <c r="R39" s="98">
        <v>11.5</v>
      </c>
      <c r="S39" s="98"/>
      <c r="T39" s="113">
        <v>9.9</v>
      </c>
      <c r="U39" s="270"/>
      <c r="V39" s="279">
        <v>0.378</v>
      </c>
      <c r="W39" s="280">
        <v>0.75600000000000001</v>
      </c>
      <c r="X39" s="281">
        <v>402.84500000000003</v>
      </c>
      <c r="Y39" s="16"/>
      <c r="Z39" s="263"/>
      <c r="AA39" s="197"/>
      <c r="AB39" s="244">
        <f t="shared" si="7"/>
        <v>25.132741228718345</v>
      </c>
      <c r="AC39" s="244">
        <f t="shared" si="8"/>
        <v>43.982297150257104</v>
      </c>
      <c r="AD39" s="335">
        <f t="shared" si="9"/>
        <v>216</v>
      </c>
      <c r="AE39" s="335">
        <f t="shared" si="10"/>
        <v>68</v>
      </c>
      <c r="AF39" s="335">
        <f t="shared" si="11"/>
        <v>68</v>
      </c>
      <c r="AG39" s="335">
        <f t="shared" si="12"/>
        <v>17</v>
      </c>
      <c r="AH39" s="195">
        <f t="shared" si="13"/>
        <v>84.111503837897544</v>
      </c>
      <c r="AI39" s="336">
        <f t="shared" si="14"/>
        <v>1.4992003976414934</v>
      </c>
    </row>
    <row r="40" spans="1:35" ht="15" customHeight="1" x14ac:dyDescent="0.25">
      <c r="A40" s="71" t="str">
        <f t="shared" si="15"/>
        <v>C250x1,0</v>
      </c>
      <c r="B40" s="1" t="str">
        <f t="shared" si="16"/>
        <v>250</v>
      </c>
      <c r="C40" s="1">
        <f t="shared" si="17"/>
        <v>71</v>
      </c>
      <c r="D40" s="1">
        <f t="shared" si="18"/>
        <v>71</v>
      </c>
      <c r="E40" s="1">
        <f t="shared" si="19"/>
        <v>21</v>
      </c>
      <c r="F40" s="2" t="str">
        <f t="shared" si="20"/>
        <v>C250</v>
      </c>
      <c r="G40" s="80" t="s">
        <v>147</v>
      </c>
      <c r="H40" s="116">
        <v>1</v>
      </c>
      <c r="I40" s="111">
        <v>4.22</v>
      </c>
      <c r="J40" s="111">
        <v>387.04</v>
      </c>
      <c r="K40" s="111">
        <v>30.96</v>
      </c>
      <c r="L40" s="111">
        <v>28.92</v>
      </c>
      <c r="M40" s="111">
        <v>5.48</v>
      </c>
      <c r="N40" s="111">
        <v>9.57</v>
      </c>
      <c r="O40" s="111">
        <v>2.61</v>
      </c>
      <c r="P40" s="94">
        <v>1.83</v>
      </c>
      <c r="Q40" s="94"/>
      <c r="R40" s="94">
        <v>12.5</v>
      </c>
      <c r="S40" s="94"/>
      <c r="T40" s="111">
        <v>3.44</v>
      </c>
      <c r="U40" s="276"/>
      <c r="V40" s="190"/>
      <c r="W40" s="191"/>
      <c r="X40" s="85"/>
      <c r="Y40" s="16"/>
      <c r="Z40" s="263"/>
      <c r="AA40" s="197"/>
      <c r="AB40" s="244">
        <f t="shared" si="7"/>
        <v>25.132741228718345</v>
      </c>
      <c r="AC40" s="244">
        <f t="shared" si="8"/>
        <v>31.415926535897931</v>
      </c>
      <c r="AD40" s="335">
        <f t="shared" si="9"/>
        <v>240</v>
      </c>
      <c r="AE40" s="335">
        <f t="shared" si="10"/>
        <v>61</v>
      </c>
      <c r="AF40" s="335">
        <f t="shared" si="11"/>
        <v>61</v>
      </c>
      <c r="AG40" s="335">
        <f t="shared" si="12"/>
        <v>16</v>
      </c>
      <c r="AH40" s="195">
        <f t="shared" si="13"/>
        <v>84.454866776461628</v>
      </c>
      <c r="AI40" s="336">
        <f t="shared" si="14"/>
        <v>0.49967517102000258</v>
      </c>
    </row>
    <row r="41" spans="1:35" ht="15" customHeight="1" x14ac:dyDescent="0.25">
      <c r="A41" s="72" t="str">
        <f t="shared" si="15"/>
        <v>C250x1,2</v>
      </c>
      <c r="B41" s="3" t="str">
        <f t="shared" si="16"/>
        <v>250</v>
      </c>
      <c r="C41" s="3">
        <f t="shared" si="17"/>
        <v>71</v>
      </c>
      <c r="D41" s="3">
        <f t="shared" si="18"/>
        <v>71</v>
      </c>
      <c r="E41" s="3">
        <f t="shared" si="19"/>
        <v>21</v>
      </c>
      <c r="F41" s="4" t="str">
        <f t="shared" si="20"/>
        <v>C250</v>
      </c>
      <c r="G41" s="81" t="s">
        <v>147</v>
      </c>
      <c r="H41" s="117">
        <v>1.2</v>
      </c>
      <c r="I41" s="112">
        <v>5.05</v>
      </c>
      <c r="J41" s="112">
        <v>462.21</v>
      </c>
      <c r="K41" s="112">
        <v>36.97</v>
      </c>
      <c r="L41" s="112">
        <v>34.54</v>
      </c>
      <c r="M41" s="112">
        <v>6.55</v>
      </c>
      <c r="N41" s="112">
        <v>9.56</v>
      </c>
      <c r="O41" s="112">
        <v>2.61</v>
      </c>
      <c r="P41" s="96">
        <v>1.83</v>
      </c>
      <c r="Q41" s="96"/>
      <c r="R41" s="96">
        <v>12.5</v>
      </c>
      <c r="S41" s="96"/>
      <c r="T41" s="112">
        <v>4.09</v>
      </c>
      <c r="U41" s="269"/>
      <c r="V41" s="192"/>
      <c r="W41" s="193"/>
      <c r="X41" s="86"/>
      <c r="Y41" s="16"/>
      <c r="Z41" s="263"/>
      <c r="AA41" s="197"/>
      <c r="AB41" s="244">
        <f t="shared" si="7"/>
        <v>25.132741228718345</v>
      </c>
      <c r="AC41" s="244">
        <f t="shared" si="8"/>
        <v>32.672563597333848</v>
      </c>
      <c r="AD41" s="335">
        <f t="shared" si="9"/>
        <v>239.6</v>
      </c>
      <c r="AE41" s="335">
        <f t="shared" si="10"/>
        <v>60.6</v>
      </c>
      <c r="AF41" s="335">
        <f t="shared" si="11"/>
        <v>60.6</v>
      </c>
      <c r="AG41" s="335">
        <f t="shared" si="12"/>
        <v>15.8</v>
      </c>
      <c r="AH41" s="195">
        <f t="shared" si="13"/>
        <v>84.260530482605219</v>
      </c>
      <c r="AI41" s="336">
        <f t="shared" si="14"/>
        <v>0.59933161719679939</v>
      </c>
    </row>
    <row r="42" spans="1:35" ht="15" customHeight="1" x14ac:dyDescent="0.2">
      <c r="A42" s="72" t="str">
        <f t="shared" si="15"/>
        <v>C250x2,0</v>
      </c>
      <c r="B42" s="3" t="str">
        <f t="shared" si="16"/>
        <v>250</v>
      </c>
      <c r="C42" s="3">
        <f t="shared" si="17"/>
        <v>71</v>
      </c>
      <c r="D42" s="3">
        <f t="shared" si="18"/>
        <v>71</v>
      </c>
      <c r="E42" s="3">
        <f t="shared" si="19"/>
        <v>21</v>
      </c>
      <c r="F42" s="4" t="str">
        <f t="shared" si="20"/>
        <v>C250</v>
      </c>
      <c r="G42" s="81" t="s">
        <v>147</v>
      </c>
      <c r="H42" s="117">
        <v>2</v>
      </c>
      <c r="I42" s="112">
        <v>8.34</v>
      </c>
      <c r="J42" s="112">
        <v>756.15</v>
      </c>
      <c r="K42" s="112">
        <v>60.49</v>
      </c>
      <c r="L42" s="112">
        <v>52.72</v>
      </c>
      <c r="M42" s="112">
        <v>10</v>
      </c>
      <c r="N42" s="112">
        <v>9.51</v>
      </c>
      <c r="O42" s="112">
        <v>2.5099999999999998</v>
      </c>
      <c r="P42" s="96">
        <v>1.83</v>
      </c>
      <c r="Q42" s="96"/>
      <c r="R42" s="96">
        <v>12.5</v>
      </c>
      <c r="S42" s="96"/>
      <c r="T42" s="112">
        <v>6.55</v>
      </c>
      <c r="U42" s="269"/>
      <c r="V42" s="271">
        <v>0.111</v>
      </c>
      <c r="W42" s="266">
        <v>0.222</v>
      </c>
      <c r="X42" s="272">
        <v>180.81700000000001</v>
      </c>
      <c r="Y42" s="16"/>
      <c r="Z42" s="263"/>
      <c r="AA42" s="197"/>
      <c r="AB42" s="244">
        <f t="shared" si="7"/>
        <v>25.132741228718345</v>
      </c>
      <c r="AC42" s="244">
        <f t="shared" si="8"/>
        <v>37.699111843077517</v>
      </c>
      <c r="AD42" s="335">
        <f t="shared" si="9"/>
        <v>238</v>
      </c>
      <c r="AE42" s="335">
        <f t="shared" si="10"/>
        <v>59</v>
      </c>
      <c r="AF42" s="335">
        <f t="shared" si="11"/>
        <v>59</v>
      </c>
      <c r="AG42" s="335">
        <f t="shared" si="12"/>
        <v>15</v>
      </c>
      <c r="AH42" s="195">
        <f t="shared" si="13"/>
        <v>83.483185307179582</v>
      </c>
      <c r="AI42" s="336">
        <f t="shared" si="14"/>
        <v>0.99900356812125102</v>
      </c>
    </row>
    <row r="43" spans="1:35" ht="15" customHeight="1" x14ac:dyDescent="0.2">
      <c r="A43" s="72" t="str">
        <f t="shared" si="15"/>
        <v>C250x2,5</v>
      </c>
      <c r="B43" s="3" t="str">
        <f t="shared" si="16"/>
        <v>250</v>
      </c>
      <c r="C43" s="3">
        <f t="shared" si="17"/>
        <v>72</v>
      </c>
      <c r="D43" s="3">
        <f t="shared" si="18"/>
        <v>72</v>
      </c>
      <c r="E43" s="3">
        <f t="shared" si="19"/>
        <v>22</v>
      </c>
      <c r="F43" s="4" t="str">
        <f t="shared" si="20"/>
        <v>C250</v>
      </c>
      <c r="G43" s="81" t="s">
        <v>148</v>
      </c>
      <c r="H43" s="117">
        <v>2.5</v>
      </c>
      <c r="I43" s="112">
        <v>10.47</v>
      </c>
      <c r="J43" s="112">
        <v>946.9</v>
      </c>
      <c r="K43" s="112">
        <v>75.75</v>
      </c>
      <c r="L43" s="112">
        <v>67.86</v>
      </c>
      <c r="M43" s="112">
        <v>12.78</v>
      </c>
      <c r="N43" s="112">
        <v>9.5</v>
      </c>
      <c r="O43" s="112">
        <v>2.54</v>
      </c>
      <c r="P43" s="96">
        <v>1.89</v>
      </c>
      <c r="Q43" s="96"/>
      <c r="R43" s="96">
        <v>12.5</v>
      </c>
      <c r="S43" s="96"/>
      <c r="T43" s="112">
        <v>8.2200000000000006</v>
      </c>
      <c r="U43" s="269"/>
      <c r="V43" s="271">
        <v>0.218</v>
      </c>
      <c r="W43" s="266">
        <v>0.436</v>
      </c>
      <c r="X43" s="272">
        <v>235.721</v>
      </c>
      <c r="Y43" s="16"/>
      <c r="Z43" s="263"/>
      <c r="AA43" s="197"/>
      <c r="AB43" s="244">
        <f t="shared" si="7"/>
        <v>25.132741228718345</v>
      </c>
      <c r="AC43" s="244">
        <f t="shared" si="8"/>
        <v>40.840704496667314</v>
      </c>
      <c r="AD43" s="335">
        <f t="shared" si="9"/>
        <v>237</v>
      </c>
      <c r="AE43" s="335">
        <f t="shared" si="10"/>
        <v>59</v>
      </c>
      <c r="AF43" s="335">
        <f t="shared" si="11"/>
        <v>59</v>
      </c>
      <c r="AG43" s="335">
        <f t="shared" si="12"/>
        <v>15.5</v>
      </c>
      <c r="AH43" s="195">
        <f t="shared" si="13"/>
        <v>83.797344572538563</v>
      </c>
      <c r="AI43" s="336">
        <f t="shared" si="14"/>
        <v>1.249442933234802</v>
      </c>
    </row>
    <row r="44" spans="1:35" ht="15" customHeight="1" x14ac:dyDescent="0.2">
      <c r="A44" s="72" t="str">
        <f t="shared" si="15"/>
        <v>C250x3,0</v>
      </c>
      <c r="B44" s="3" t="str">
        <f t="shared" si="16"/>
        <v>250</v>
      </c>
      <c r="C44" s="3">
        <f t="shared" si="17"/>
        <v>73</v>
      </c>
      <c r="D44" s="3">
        <f t="shared" si="18"/>
        <v>73</v>
      </c>
      <c r="E44" s="3">
        <f t="shared" si="19"/>
        <v>23</v>
      </c>
      <c r="F44" s="4" t="str">
        <f t="shared" si="20"/>
        <v>C250</v>
      </c>
      <c r="G44" s="81" t="s">
        <v>149</v>
      </c>
      <c r="H44" s="117">
        <v>3</v>
      </c>
      <c r="I44" s="112">
        <v>12.61</v>
      </c>
      <c r="J44" s="112">
        <v>1138.22</v>
      </c>
      <c r="K44" s="112">
        <v>91.05</v>
      </c>
      <c r="L44" s="112">
        <v>83.81</v>
      </c>
      <c r="M44" s="112">
        <v>15.67</v>
      </c>
      <c r="N44" s="112">
        <v>9.49</v>
      </c>
      <c r="O44" s="112">
        <v>2.57</v>
      </c>
      <c r="P44" s="96">
        <v>1.95</v>
      </c>
      <c r="Q44" s="96"/>
      <c r="R44" s="96">
        <v>12.5</v>
      </c>
      <c r="S44" s="96"/>
      <c r="T44" s="112">
        <v>9.9</v>
      </c>
      <c r="U44" s="269"/>
      <c r="V44" s="271">
        <v>0.378</v>
      </c>
      <c r="W44" s="266">
        <v>0.75600000000000001</v>
      </c>
      <c r="X44" s="272">
        <v>294.81900000000002</v>
      </c>
      <c r="Y44" s="16"/>
      <c r="Z44" s="263"/>
      <c r="AA44" s="197"/>
      <c r="AB44" s="244">
        <f t="shared" si="7"/>
        <v>25.132741228718345</v>
      </c>
      <c r="AC44" s="244">
        <f t="shared" si="8"/>
        <v>43.982297150257104</v>
      </c>
      <c r="AD44" s="335">
        <f t="shared" si="9"/>
        <v>236</v>
      </c>
      <c r="AE44" s="335">
        <f t="shared" si="10"/>
        <v>59</v>
      </c>
      <c r="AF44" s="335">
        <f t="shared" si="11"/>
        <v>59</v>
      </c>
      <c r="AG44" s="335">
        <f t="shared" si="12"/>
        <v>16</v>
      </c>
      <c r="AH44" s="195">
        <f t="shared" si="13"/>
        <v>84.111503837897544</v>
      </c>
      <c r="AI44" s="336">
        <f t="shared" si="14"/>
        <v>1.4992003976414934</v>
      </c>
    </row>
    <row r="45" spans="1:35" ht="15" customHeight="1" thickBot="1" x14ac:dyDescent="0.25">
      <c r="A45" s="73" t="str">
        <f t="shared" si="15"/>
        <v>C250x3,5</v>
      </c>
      <c r="B45" s="5" t="str">
        <f t="shared" si="16"/>
        <v>250</v>
      </c>
      <c r="C45" s="5">
        <f t="shared" si="17"/>
        <v>74</v>
      </c>
      <c r="D45" s="5">
        <f t="shared" si="18"/>
        <v>74</v>
      </c>
      <c r="E45" s="5">
        <f t="shared" si="19"/>
        <v>24</v>
      </c>
      <c r="F45" s="6" t="str">
        <f t="shared" si="20"/>
        <v>C250</v>
      </c>
      <c r="G45" s="82" t="s">
        <v>150</v>
      </c>
      <c r="H45" s="118">
        <v>3.5</v>
      </c>
      <c r="I45" s="113">
        <v>14.77</v>
      </c>
      <c r="J45" s="113">
        <v>1330.07</v>
      </c>
      <c r="K45" s="113">
        <v>106.4</v>
      </c>
      <c r="L45" s="113">
        <v>100.59</v>
      </c>
      <c r="M45" s="113">
        <v>18.670000000000002</v>
      </c>
      <c r="N45" s="113">
        <v>9.48</v>
      </c>
      <c r="O45" s="113">
        <v>2.6</v>
      </c>
      <c r="P45" s="98">
        <v>2.0099999999999998</v>
      </c>
      <c r="Q45" s="98"/>
      <c r="R45" s="98">
        <v>12.5</v>
      </c>
      <c r="S45" s="98"/>
      <c r="T45" s="113">
        <v>11.6</v>
      </c>
      <c r="U45" s="270"/>
      <c r="V45" s="273">
        <v>0.60299999999999998</v>
      </c>
      <c r="W45" s="274">
        <v>1.2050000000000001</v>
      </c>
      <c r="X45" s="275">
        <v>358.274</v>
      </c>
      <c r="Y45" s="16"/>
      <c r="Z45" s="263"/>
      <c r="AA45" s="197"/>
      <c r="AB45" s="244">
        <f t="shared" si="7"/>
        <v>25.132741228718345</v>
      </c>
      <c r="AC45" s="244">
        <f t="shared" si="8"/>
        <v>47.123889803846893</v>
      </c>
      <c r="AD45" s="335">
        <f t="shared" si="9"/>
        <v>235</v>
      </c>
      <c r="AE45" s="335">
        <f t="shared" si="10"/>
        <v>59</v>
      </c>
      <c r="AF45" s="335">
        <f t="shared" si="11"/>
        <v>59</v>
      </c>
      <c r="AG45" s="335">
        <f t="shared" si="12"/>
        <v>16.5</v>
      </c>
      <c r="AH45" s="195">
        <f t="shared" si="13"/>
        <v>84.425663103256525</v>
      </c>
      <c r="AI45" s="336">
        <f t="shared" si="14"/>
        <v>1.7494680476403959</v>
      </c>
    </row>
    <row r="46" spans="1:35" ht="15" customHeight="1" x14ac:dyDescent="0.2">
      <c r="A46" s="74" t="str">
        <f t="shared" si="15"/>
        <v>C300x2,0</v>
      </c>
      <c r="B46" s="1" t="str">
        <f t="shared" si="16"/>
        <v>300</v>
      </c>
      <c r="C46" s="15">
        <f t="shared" si="17"/>
        <v>88</v>
      </c>
      <c r="D46" s="15">
        <f t="shared" si="18"/>
        <v>88</v>
      </c>
      <c r="E46" s="15">
        <f t="shared" si="19"/>
        <v>29</v>
      </c>
      <c r="F46" s="8" t="str">
        <f t="shared" si="20"/>
        <v>C300</v>
      </c>
      <c r="G46" s="83" t="s">
        <v>151</v>
      </c>
      <c r="H46" s="120">
        <v>2</v>
      </c>
      <c r="I46" s="114">
        <v>10.34</v>
      </c>
      <c r="J46" s="114">
        <v>1371.18</v>
      </c>
      <c r="K46" s="114">
        <v>91.41</v>
      </c>
      <c r="L46" s="114">
        <v>106.99</v>
      </c>
      <c r="M46" s="114">
        <v>16.68</v>
      </c>
      <c r="N46" s="114">
        <v>11.51</v>
      </c>
      <c r="O46" s="114">
        <v>3.21</v>
      </c>
      <c r="P46" s="100">
        <v>2.39</v>
      </c>
      <c r="Q46" s="100"/>
      <c r="R46" s="100">
        <v>15</v>
      </c>
      <c r="S46" s="100"/>
      <c r="T46" s="114">
        <v>8.1199999999999992</v>
      </c>
      <c r="U46" s="278"/>
      <c r="V46" s="282">
        <v>0.13800000000000001</v>
      </c>
      <c r="W46" s="283">
        <v>0.27600000000000002</v>
      </c>
      <c r="X46" s="284">
        <v>362.96899999999999</v>
      </c>
      <c r="Y46" s="16"/>
      <c r="Z46" s="263"/>
      <c r="AA46" s="197"/>
      <c r="AB46" s="244">
        <f t="shared" si="7"/>
        <v>25.132741228718345</v>
      </c>
      <c r="AC46" s="244">
        <f t="shared" si="8"/>
        <v>37.699111843077517</v>
      </c>
      <c r="AD46" s="335">
        <f t="shared" si="9"/>
        <v>288</v>
      </c>
      <c r="AE46" s="335">
        <f t="shared" si="10"/>
        <v>76</v>
      </c>
      <c r="AF46" s="335">
        <f t="shared" si="11"/>
        <v>76</v>
      </c>
      <c r="AG46" s="335">
        <f t="shared" si="12"/>
        <v>23</v>
      </c>
      <c r="AH46" s="195">
        <f t="shared" si="13"/>
        <v>103.48318530717958</v>
      </c>
      <c r="AI46" s="336">
        <f t="shared" si="14"/>
        <v>0.99919614663065648</v>
      </c>
    </row>
    <row r="47" spans="1:35" ht="15" customHeight="1" x14ac:dyDescent="0.2">
      <c r="A47" s="72" t="str">
        <f t="shared" si="15"/>
        <v>C300x2,5</v>
      </c>
      <c r="B47" s="3" t="str">
        <f t="shared" si="16"/>
        <v>300</v>
      </c>
      <c r="C47" s="3">
        <f t="shared" si="17"/>
        <v>89</v>
      </c>
      <c r="D47" s="3">
        <f t="shared" si="18"/>
        <v>89</v>
      </c>
      <c r="E47" s="3">
        <f t="shared" si="19"/>
        <v>30</v>
      </c>
      <c r="F47" s="4" t="str">
        <f t="shared" si="20"/>
        <v>C300</v>
      </c>
      <c r="G47" s="81" t="s">
        <v>152</v>
      </c>
      <c r="H47" s="117">
        <v>2.5</v>
      </c>
      <c r="I47" s="112">
        <v>12.97</v>
      </c>
      <c r="J47" s="112">
        <v>1715.82</v>
      </c>
      <c r="K47" s="112">
        <v>114.38</v>
      </c>
      <c r="L47" s="112">
        <v>136.76</v>
      </c>
      <c r="M47" s="112">
        <v>21.2</v>
      </c>
      <c r="N47" s="112">
        <v>11.49</v>
      </c>
      <c r="O47" s="112">
        <v>3.24</v>
      </c>
      <c r="P47" s="96">
        <v>2.4500000000000002</v>
      </c>
      <c r="Q47" s="96"/>
      <c r="R47" s="96">
        <v>15</v>
      </c>
      <c r="S47" s="96"/>
      <c r="T47" s="112">
        <v>10.19</v>
      </c>
      <c r="U47" s="269"/>
      <c r="V47" s="271">
        <v>0.27</v>
      </c>
      <c r="W47" s="266">
        <v>0.54</v>
      </c>
      <c r="X47" s="272">
        <v>468.87099999999998</v>
      </c>
      <c r="Y47" s="16"/>
      <c r="Z47" s="263"/>
      <c r="AA47" s="197"/>
      <c r="AB47" s="244">
        <f t="shared" si="7"/>
        <v>25.132741228718345</v>
      </c>
      <c r="AC47" s="244">
        <f t="shared" si="8"/>
        <v>40.840704496667314</v>
      </c>
      <c r="AD47" s="335">
        <f t="shared" si="9"/>
        <v>287</v>
      </c>
      <c r="AE47" s="335">
        <f t="shared" si="10"/>
        <v>76</v>
      </c>
      <c r="AF47" s="335">
        <f t="shared" si="11"/>
        <v>76</v>
      </c>
      <c r="AG47" s="335">
        <f t="shared" si="12"/>
        <v>23.5</v>
      </c>
      <c r="AH47" s="195">
        <f t="shared" si="13"/>
        <v>103.79734457253858</v>
      </c>
      <c r="AI47" s="336">
        <f t="shared" si="14"/>
        <v>1.249550270617563</v>
      </c>
    </row>
    <row r="48" spans="1:35" ht="15" customHeight="1" x14ac:dyDescent="0.2">
      <c r="A48" s="72" t="str">
        <f t="shared" si="15"/>
        <v>C300x3,0</v>
      </c>
      <c r="B48" s="3" t="str">
        <f t="shared" si="16"/>
        <v>300</v>
      </c>
      <c r="C48" s="3">
        <f t="shared" si="17"/>
        <v>91</v>
      </c>
      <c r="D48" s="3">
        <f t="shared" si="18"/>
        <v>91</v>
      </c>
      <c r="E48" s="3">
        <f t="shared" si="19"/>
        <v>30</v>
      </c>
      <c r="F48" s="4" t="str">
        <f t="shared" si="20"/>
        <v>C300</v>
      </c>
      <c r="G48" s="81" t="s">
        <v>153</v>
      </c>
      <c r="H48" s="117">
        <v>3</v>
      </c>
      <c r="I48" s="112">
        <v>15.61</v>
      </c>
      <c r="J48" s="112">
        <v>2065.73</v>
      </c>
      <c r="K48" s="112">
        <v>137.71</v>
      </c>
      <c r="L48" s="112">
        <v>169.82</v>
      </c>
      <c r="M48" s="112">
        <v>25.81</v>
      </c>
      <c r="N48" s="112">
        <v>11.5</v>
      </c>
      <c r="O48" s="112">
        <v>3.29</v>
      </c>
      <c r="P48" s="96">
        <v>2.52</v>
      </c>
      <c r="Q48" s="96"/>
      <c r="R48" s="96">
        <v>15</v>
      </c>
      <c r="S48" s="96"/>
      <c r="T48" s="112">
        <v>12.26</v>
      </c>
      <c r="U48" s="269"/>
      <c r="V48" s="271">
        <v>0.46800000000000003</v>
      </c>
      <c r="W48" s="266">
        <v>0.93600000000000005</v>
      </c>
      <c r="X48" s="272">
        <v>587.08299999999997</v>
      </c>
      <c r="Y48" s="16"/>
      <c r="Z48" s="263"/>
      <c r="AA48" s="197"/>
      <c r="AB48" s="244">
        <f t="shared" si="7"/>
        <v>25.132741228718345</v>
      </c>
      <c r="AC48" s="244">
        <f t="shared" si="8"/>
        <v>43.982297150257104</v>
      </c>
      <c r="AD48" s="335">
        <f t="shared" si="9"/>
        <v>286</v>
      </c>
      <c r="AE48" s="335">
        <f t="shared" si="10"/>
        <v>77</v>
      </c>
      <c r="AF48" s="335">
        <f t="shared" si="11"/>
        <v>77</v>
      </c>
      <c r="AG48" s="335">
        <f t="shared" si="12"/>
        <v>23</v>
      </c>
      <c r="AH48" s="195">
        <f t="shared" si="13"/>
        <v>104.11150383789754</v>
      </c>
      <c r="AI48" s="336">
        <f t="shared" si="14"/>
        <v>1.4993540026378733</v>
      </c>
    </row>
    <row r="49" spans="1:35" ht="15" customHeight="1" thickBot="1" x14ac:dyDescent="0.25">
      <c r="A49" s="73" t="str">
        <f t="shared" si="15"/>
        <v>C300x3,5</v>
      </c>
      <c r="B49" s="5" t="str">
        <f t="shared" si="16"/>
        <v>300</v>
      </c>
      <c r="C49" s="5">
        <f t="shared" si="17"/>
        <v>92</v>
      </c>
      <c r="D49" s="5">
        <f t="shared" si="18"/>
        <v>92</v>
      </c>
      <c r="E49" s="5">
        <f t="shared" si="19"/>
        <v>30</v>
      </c>
      <c r="F49" s="6" t="str">
        <f t="shared" si="20"/>
        <v>C300</v>
      </c>
      <c r="G49" s="82" t="s">
        <v>154</v>
      </c>
      <c r="H49" s="118">
        <v>3.5</v>
      </c>
      <c r="I49" s="113">
        <v>18.2</v>
      </c>
      <c r="J49" s="113">
        <v>2402.4299999999998</v>
      </c>
      <c r="K49" s="113">
        <v>160.16</v>
      </c>
      <c r="L49" s="113">
        <v>199.6</v>
      </c>
      <c r="M49" s="113">
        <v>30.05</v>
      </c>
      <c r="N49" s="113">
        <v>11.48</v>
      </c>
      <c r="O49" s="113">
        <v>3.31</v>
      </c>
      <c r="P49" s="98">
        <v>2.56</v>
      </c>
      <c r="Q49" s="98"/>
      <c r="R49" s="98">
        <v>15</v>
      </c>
      <c r="S49" s="98"/>
      <c r="T49" s="113">
        <v>14.29</v>
      </c>
      <c r="U49" s="270"/>
      <c r="V49" s="273">
        <v>0.74299999999999999</v>
      </c>
      <c r="W49" s="274">
        <v>1.486</v>
      </c>
      <c r="X49" s="275">
        <v>695.11900000000003</v>
      </c>
      <c r="Y49" s="16"/>
      <c r="Z49" s="16"/>
      <c r="AB49" s="244">
        <f t="shared" si="7"/>
        <v>25.132741228718345</v>
      </c>
      <c r="AC49" s="244">
        <f t="shared" si="8"/>
        <v>47.123889803846893</v>
      </c>
      <c r="AD49" s="335">
        <f t="shared" si="9"/>
        <v>285</v>
      </c>
      <c r="AE49" s="335">
        <f t="shared" si="10"/>
        <v>77</v>
      </c>
      <c r="AF49" s="335">
        <f t="shared" si="11"/>
        <v>77</v>
      </c>
      <c r="AG49" s="335">
        <f t="shared" si="12"/>
        <v>22.5</v>
      </c>
      <c r="AH49" s="195">
        <f t="shared" si="13"/>
        <v>104.02566310325653</v>
      </c>
      <c r="AI49" s="336">
        <f t="shared" si="14"/>
        <v>1.7495682754681952</v>
      </c>
    </row>
    <row r="50" spans="1:35" ht="15" customHeight="1" x14ac:dyDescent="0.25">
      <c r="F50" s="244"/>
    </row>
  </sheetData>
  <mergeCells count="32">
    <mergeCell ref="AG6:AG10"/>
    <mergeCell ref="AH6:AH10"/>
    <mergeCell ref="AI6:AI10"/>
    <mergeCell ref="AB6:AB10"/>
    <mergeCell ref="AC6:AC10"/>
    <mergeCell ref="AD6:AD10"/>
    <mergeCell ref="AE6:AE10"/>
    <mergeCell ref="AF6:AF10"/>
    <mergeCell ref="A6:A10"/>
    <mergeCell ref="B6:B10"/>
    <mergeCell ref="C6:C10"/>
    <mergeCell ref="D6:D10"/>
    <mergeCell ref="E6:E10"/>
    <mergeCell ref="W6:W10"/>
    <mergeCell ref="N7:O8"/>
    <mergeCell ref="P7:S8"/>
    <mergeCell ref="Y6:Y10"/>
    <mergeCell ref="Z6:Z10"/>
    <mergeCell ref="U6:U10"/>
    <mergeCell ref="X6:X10"/>
    <mergeCell ref="F6:G6"/>
    <mergeCell ref="H6:H10"/>
    <mergeCell ref="I6:S6"/>
    <mergeCell ref="T6:T10"/>
    <mergeCell ref="V6:V10"/>
    <mergeCell ref="F7:F10"/>
    <mergeCell ref="G7:G10"/>
    <mergeCell ref="I7:I8"/>
    <mergeCell ref="J7:J8"/>
    <mergeCell ref="K7:K8"/>
    <mergeCell ref="L7:L8"/>
    <mergeCell ref="M7:M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2"/>
  <sheetViews>
    <sheetView zoomScale="70" zoomScaleNormal="70" workbookViewId="0">
      <selection activeCell="AN38" sqref="AN38"/>
    </sheetView>
  </sheetViews>
  <sheetFormatPr defaultColWidth="8.85546875" defaultRowHeight="15" customHeight="1" x14ac:dyDescent="0.25"/>
  <cols>
    <col min="1" max="1" width="12.7109375" style="195" customWidth="1"/>
    <col min="2" max="5" width="6.7109375" style="195" customWidth="1"/>
    <col min="6" max="6" width="8.7109375" style="195" customWidth="1"/>
    <col min="7" max="7" width="15.7109375" style="195" customWidth="1"/>
    <col min="8" max="24" width="8.7109375" style="195" customWidth="1"/>
    <col min="25" max="16384" width="8.85546875" style="195"/>
  </cols>
  <sheetData>
    <row r="1" spans="1:38" ht="15" customHeight="1" thickBot="1" x14ac:dyDescent="0.3"/>
    <row r="2" spans="1:38" ht="15" customHeight="1" thickBot="1" x14ac:dyDescent="0.3">
      <c r="A2" s="79" t="str">
        <f>Сводная!A7</f>
        <v>ZR300x3,5</v>
      </c>
      <c r="B2" s="93" t="str">
        <f>INDEX(B11:B51,MATCH($A$2,$A$11:$A$51))</f>
        <v>300</v>
      </c>
      <c r="C2" s="105">
        <f t="shared" ref="C2:X2" si="0">INDEX(C11:C51,MATCH($A$2,$A$11:$A$51))</f>
        <v>88</v>
      </c>
      <c r="D2" s="105">
        <f t="shared" si="0"/>
        <v>96</v>
      </c>
      <c r="E2" s="105">
        <f t="shared" si="0"/>
        <v>23.5</v>
      </c>
      <c r="F2" s="93" t="str">
        <f t="shared" si="0"/>
        <v>ZR300</v>
      </c>
      <c r="G2" s="93" t="str">
        <f t="shared" si="0"/>
        <v>300/88/96/23,5</v>
      </c>
      <c r="H2" s="105">
        <f t="shared" si="0"/>
        <v>3.5</v>
      </c>
      <c r="I2" s="103">
        <f t="shared" si="0"/>
        <v>18.239999999999998</v>
      </c>
      <c r="J2" s="103">
        <f t="shared" si="0"/>
        <v>2335.85</v>
      </c>
      <c r="K2" s="103">
        <f t="shared" si="0"/>
        <v>153.38999999999999</v>
      </c>
      <c r="L2" s="103">
        <f t="shared" si="0"/>
        <v>274.94</v>
      </c>
      <c r="M2" s="103">
        <f t="shared" si="0"/>
        <v>27.97</v>
      </c>
      <c r="N2" s="103">
        <f t="shared" si="0"/>
        <v>11.31</v>
      </c>
      <c r="O2" s="103">
        <f t="shared" si="0"/>
        <v>3.88</v>
      </c>
      <c r="P2" s="103">
        <f t="shared" si="0"/>
        <v>8.57</v>
      </c>
      <c r="Q2" s="103">
        <f t="shared" si="0"/>
        <v>8.57</v>
      </c>
      <c r="R2" s="103">
        <f t="shared" si="0"/>
        <v>14.77</v>
      </c>
      <c r="S2" s="103">
        <f t="shared" si="0"/>
        <v>14.77</v>
      </c>
      <c r="T2" s="103">
        <f t="shared" si="0"/>
        <v>14.41</v>
      </c>
      <c r="U2" s="103">
        <f t="shared" si="0"/>
        <v>0</v>
      </c>
      <c r="V2" s="103">
        <f t="shared" si="0"/>
        <v>0.74780000000000002</v>
      </c>
      <c r="W2" s="103">
        <f t="shared" si="0"/>
        <v>1.4956</v>
      </c>
      <c r="X2" s="104">
        <f t="shared" si="0"/>
        <v>3871.9645</v>
      </c>
    </row>
    <row r="5" spans="1:38" ht="15" customHeight="1" thickBot="1" x14ac:dyDescent="0.3"/>
    <row r="6" spans="1:38" ht="15" customHeight="1" x14ac:dyDescent="0.25">
      <c r="A6" s="361" t="s">
        <v>166</v>
      </c>
      <c r="B6" s="344" t="s">
        <v>11</v>
      </c>
      <c r="C6" s="344" t="s">
        <v>10</v>
      </c>
      <c r="D6" s="344" t="s">
        <v>12</v>
      </c>
      <c r="E6" s="367" t="s">
        <v>59</v>
      </c>
      <c r="F6" s="359" t="s">
        <v>165</v>
      </c>
      <c r="G6" s="360"/>
      <c r="H6" s="372" t="s">
        <v>167</v>
      </c>
      <c r="I6" s="377" t="s">
        <v>1</v>
      </c>
      <c r="J6" s="378"/>
      <c r="K6" s="378"/>
      <c r="L6" s="378"/>
      <c r="M6" s="378"/>
      <c r="N6" s="378"/>
      <c r="O6" s="378"/>
      <c r="P6" s="378"/>
      <c r="Q6" s="378"/>
      <c r="R6" s="378"/>
      <c r="S6" s="379"/>
      <c r="T6" s="343" t="s">
        <v>25</v>
      </c>
      <c r="U6" s="387" t="s">
        <v>26</v>
      </c>
      <c r="V6" s="375" t="s">
        <v>7</v>
      </c>
      <c r="W6" s="351" t="s">
        <v>8</v>
      </c>
      <c r="X6" s="354" t="s">
        <v>9</v>
      </c>
      <c r="Z6" s="390" t="s">
        <v>214</v>
      </c>
      <c r="AA6" s="390" t="s">
        <v>215</v>
      </c>
      <c r="AB6" s="390" t="s">
        <v>212</v>
      </c>
      <c r="AC6" s="390" t="s">
        <v>218</v>
      </c>
      <c r="AD6" s="390" t="s">
        <v>10</v>
      </c>
      <c r="AE6" s="390" t="s">
        <v>12</v>
      </c>
      <c r="AF6" s="390" t="s">
        <v>213</v>
      </c>
      <c r="AG6" s="390" t="s">
        <v>216</v>
      </c>
      <c r="AH6" s="391" t="s">
        <v>217</v>
      </c>
    </row>
    <row r="7" spans="1:38" ht="15" customHeight="1" x14ac:dyDescent="0.25">
      <c r="A7" s="348"/>
      <c r="B7" s="345"/>
      <c r="C7" s="345"/>
      <c r="D7" s="345"/>
      <c r="E7" s="368"/>
      <c r="F7" s="341" t="s">
        <v>57</v>
      </c>
      <c r="G7" s="365" t="s">
        <v>164</v>
      </c>
      <c r="H7" s="373"/>
      <c r="I7" s="364" t="s">
        <v>21</v>
      </c>
      <c r="J7" s="364" t="s">
        <v>3</v>
      </c>
      <c r="K7" s="381" t="s">
        <v>156</v>
      </c>
      <c r="L7" s="364" t="s">
        <v>3</v>
      </c>
      <c r="M7" s="381" t="s">
        <v>156</v>
      </c>
      <c r="N7" s="382" t="s">
        <v>22</v>
      </c>
      <c r="O7" s="374"/>
      <c r="P7" s="382" t="s">
        <v>5</v>
      </c>
      <c r="Q7" s="385"/>
      <c r="R7" s="385"/>
      <c r="S7" s="374"/>
      <c r="T7" s="341"/>
      <c r="U7" s="388"/>
      <c r="V7" s="376"/>
      <c r="W7" s="352"/>
      <c r="X7" s="355"/>
      <c r="Z7" s="390"/>
      <c r="AA7" s="390"/>
      <c r="AB7" s="390"/>
      <c r="AC7" s="390"/>
      <c r="AD7" s="390"/>
      <c r="AE7" s="390"/>
      <c r="AF7" s="390"/>
      <c r="AG7" s="390"/>
      <c r="AH7" s="391"/>
    </row>
    <row r="8" spans="1:38" ht="15" customHeight="1" x14ac:dyDescent="0.25">
      <c r="A8" s="348"/>
      <c r="B8" s="345"/>
      <c r="C8" s="345"/>
      <c r="D8" s="345"/>
      <c r="E8" s="368"/>
      <c r="F8" s="341"/>
      <c r="G8" s="358"/>
      <c r="H8" s="373"/>
      <c r="I8" s="380"/>
      <c r="J8" s="380"/>
      <c r="K8" s="380"/>
      <c r="L8" s="380"/>
      <c r="M8" s="380"/>
      <c r="N8" s="383"/>
      <c r="O8" s="384"/>
      <c r="P8" s="383"/>
      <c r="Q8" s="386"/>
      <c r="R8" s="386"/>
      <c r="S8" s="384"/>
      <c r="T8" s="341"/>
      <c r="U8" s="388"/>
      <c r="V8" s="376"/>
      <c r="W8" s="352"/>
      <c r="X8" s="355"/>
      <c r="Z8" s="390"/>
      <c r="AA8" s="390"/>
      <c r="AB8" s="390"/>
      <c r="AC8" s="390"/>
      <c r="AD8" s="390"/>
      <c r="AE8" s="390"/>
      <c r="AF8" s="390"/>
      <c r="AG8" s="390"/>
      <c r="AH8" s="391"/>
    </row>
    <row r="9" spans="1:38" ht="15" customHeight="1" x14ac:dyDescent="0.25">
      <c r="A9" s="348"/>
      <c r="B9" s="345"/>
      <c r="C9" s="345"/>
      <c r="D9" s="345"/>
      <c r="E9" s="368"/>
      <c r="F9" s="341"/>
      <c r="G9" s="358"/>
      <c r="H9" s="373"/>
      <c r="I9" s="169" t="s">
        <v>172</v>
      </c>
      <c r="J9" s="169" t="s">
        <v>174</v>
      </c>
      <c r="K9" s="169" t="s">
        <v>175</v>
      </c>
      <c r="L9" s="169" t="s">
        <v>178</v>
      </c>
      <c r="M9" s="169" t="s">
        <v>179</v>
      </c>
      <c r="N9" s="169" t="s">
        <v>176</v>
      </c>
      <c r="O9" s="169" t="s">
        <v>180</v>
      </c>
      <c r="P9" s="169" t="s">
        <v>181</v>
      </c>
      <c r="Q9" s="169" t="s">
        <v>185</v>
      </c>
      <c r="R9" s="169" t="s">
        <v>177</v>
      </c>
      <c r="S9" s="169" t="s">
        <v>186</v>
      </c>
      <c r="T9" s="341"/>
      <c r="U9" s="388"/>
      <c r="V9" s="376"/>
      <c r="W9" s="352"/>
      <c r="X9" s="355"/>
      <c r="Z9" s="390"/>
      <c r="AA9" s="390"/>
      <c r="AB9" s="390"/>
      <c r="AC9" s="390"/>
      <c r="AD9" s="390"/>
      <c r="AE9" s="390"/>
      <c r="AF9" s="390"/>
      <c r="AG9" s="390"/>
      <c r="AH9" s="391"/>
    </row>
    <row r="10" spans="1:38" ht="15" customHeight="1" thickBot="1" x14ac:dyDescent="0.3">
      <c r="A10" s="362"/>
      <c r="B10" s="363"/>
      <c r="C10" s="363"/>
      <c r="D10" s="363"/>
      <c r="E10" s="368"/>
      <c r="F10" s="364"/>
      <c r="G10" s="366"/>
      <c r="H10" s="374"/>
      <c r="I10" s="174" t="s">
        <v>182</v>
      </c>
      <c r="J10" s="174" t="s">
        <v>183</v>
      </c>
      <c r="K10" s="174" t="s">
        <v>184</v>
      </c>
      <c r="L10" s="174" t="s">
        <v>183</v>
      </c>
      <c r="M10" s="174" t="s">
        <v>184</v>
      </c>
      <c r="N10" s="174" t="s">
        <v>6</v>
      </c>
      <c r="O10" s="174" t="s">
        <v>6</v>
      </c>
      <c r="P10" s="174" t="s">
        <v>6</v>
      </c>
      <c r="Q10" s="174" t="s">
        <v>6</v>
      </c>
      <c r="R10" s="174" t="s">
        <v>6</v>
      </c>
      <c r="S10" s="174" t="s">
        <v>6</v>
      </c>
      <c r="T10" s="364"/>
      <c r="U10" s="389"/>
      <c r="V10" s="376"/>
      <c r="W10" s="399"/>
      <c r="X10" s="371"/>
      <c r="Z10" s="390"/>
      <c r="AA10" s="390"/>
      <c r="AB10" s="390"/>
      <c r="AC10" s="390"/>
      <c r="AD10" s="390"/>
      <c r="AE10" s="390"/>
      <c r="AF10" s="390"/>
      <c r="AG10" s="390"/>
      <c r="AH10" s="391"/>
    </row>
    <row r="11" spans="1:38" ht="15" customHeight="1" x14ac:dyDescent="0.25">
      <c r="A11" s="144" t="str">
        <f t="shared" ref="A11:A14" si="1">CONCATENATE(F11,"x",(IF(H11=INT(H11),CONCATENATE(H11,",",0),H11)))</f>
        <v>ZR140x1,0</v>
      </c>
      <c r="B11" s="146" t="str">
        <f t="shared" ref="B11:B14" si="2">LEFT(G11,3)</f>
        <v>140</v>
      </c>
      <c r="C11" s="146">
        <f t="shared" ref="C11:C14" si="3">VALUE(MID(G11,(SEARCH("/",G11,1)+1),(SEARCH("/",G11,(SEARCH("/",G11,1)+1))-SEARCH("/",G11,1)-1)))</f>
        <v>49</v>
      </c>
      <c r="D11" s="146">
        <f t="shared" ref="D11:D14" si="4">VALUE(MID(G11,(SEARCH("/",G11,(SEARCH("/",G11,1)+1))+1),(SEARCH("/",G11,SEARCH("/",G11,(SEARCH("/",G11,1)+1))+1))-(SEARCH("/",G11,(SEARCH("/",G11,1)+1))+1)))</f>
        <v>57</v>
      </c>
      <c r="E11" s="146">
        <f t="shared" ref="E11:E14" si="5">VALUE(MID(G11,(SEARCH("/",G11,SEARCH("/",G11,(SEARCH("/",G11,1)+1))+1)+1),4))</f>
        <v>20</v>
      </c>
      <c r="F11" s="158" t="str">
        <f t="shared" ref="F11:F14" si="6">CONCATENATE("ZR",LEFT(G11,3))</f>
        <v>ZR140</v>
      </c>
      <c r="G11" s="159" t="s">
        <v>188</v>
      </c>
      <c r="H11" s="160">
        <v>1</v>
      </c>
      <c r="I11" s="175">
        <v>2.88</v>
      </c>
      <c r="J11" s="175">
        <v>83.73</v>
      </c>
      <c r="K11" s="175">
        <v>11.64</v>
      </c>
      <c r="L11" s="175">
        <v>20.74</v>
      </c>
      <c r="M11" s="175">
        <v>3.55</v>
      </c>
      <c r="N11" s="175">
        <v>5.38</v>
      </c>
      <c r="O11" s="175">
        <v>2.68</v>
      </c>
      <c r="P11" s="175">
        <v>4.66</v>
      </c>
      <c r="Q11" s="256">
        <f>P11</f>
        <v>4.66</v>
      </c>
      <c r="R11" s="175">
        <v>6.81</v>
      </c>
      <c r="S11" s="256">
        <f>R11</f>
        <v>6.81</v>
      </c>
      <c r="T11" s="161">
        <v>2.36</v>
      </c>
      <c r="U11" s="232"/>
      <c r="V11" s="176"/>
      <c r="W11" s="177"/>
      <c r="X11" s="178"/>
      <c r="Z11" s="244">
        <f>2*PI()*4</f>
        <v>25.132741228718345</v>
      </c>
      <c r="AA11" s="244">
        <f>2*PI()*(4+H11)</f>
        <v>31.415926535897931</v>
      </c>
      <c r="AB11" s="335">
        <f>B11-2*(4+$H11)-72</f>
        <v>58</v>
      </c>
      <c r="AC11" s="335">
        <f>INDEX($AL$11:$AL$18,MATCH(H11,$AK$11:$AK$18))</f>
        <v>88.046400000000006</v>
      </c>
      <c r="AD11" s="335">
        <f t="shared" ref="AD11:AD51" si="7">C11-2*(4+$H11)</f>
        <v>39</v>
      </c>
      <c r="AE11" s="335">
        <f t="shared" ref="AE11:AE51" si="8">D11-2*(4+$H11)</f>
        <v>47</v>
      </c>
      <c r="AF11" s="335">
        <f t="shared" ref="AF11:AF51" si="9">E11-(4+$H11)</f>
        <v>15</v>
      </c>
      <c r="AG11" s="195">
        <f>(Z11+AA11+2*(AB11+AC11+AD11+AE11+2*AF11))/10</f>
        <v>58.064146776461634</v>
      </c>
      <c r="AH11" s="336">
        <f t="shared" ref="AH11:AH51" si="10">I11/AG11*10</f>
        <v>0.49600315511180654</v>
      </c>
      <c r="AI11" s="195">
        <f>H11/2</f>
        <v>0.5</v>
      </c>
      <c r="AJ11" s="195">
        <f>ABS(AH11-AI11)</f>
        <v>3.9968448881934626E-3</v>
      </c>
      <c r="AK11" s="337">
        <v>1</v>
      </c>
      <c r="AL11" s="337">
        <v>88.046400000000006</v>
      </c>
    </row>
    <row r="12" spans="1:38" ht="15" customHeight="1" thickBot="1" x14ac:dyDescent="0.3">
      <c r="A12" s="205" t="str">
        <f t="shared" si="1"/>
        <v>ZR140x1,2</v>
      </c>
      <c r="B12" s="206" t="str">
        <f t="shared" si="2"/>
        <v>140</v>
      </c>
      <c r="C12" s="206">
        <f t="shared" si="3"/>
        <v>49</v>
      </c>
      <c r="D12" s="206">
        <f t="shared" si="4"/>
        <v>57</v>
      </c>
      <c r="E12" s="206">
        <f t="shared" si="5"/>
        <v>20</v>
      </c>
      <c r="F12" s="156" t="str">
        <f t="shared" si="6"/>
        <v>ZR140</v>
      </c>
      <c r="G12" s="157" t="s">
        <v>188</v>
      </c>
      <c r="H12" s="202">
        <v>1.2</v>
      </c>
      <c r="I12" s="203">
        <v>3.47</v>
      </c>
      <c r="J12" s="203">
        <v>100.34</v>
      </c>
      <c r="K12" s="203">
        <v>13.95</v>
      </c>
      <c r="L12" s="203">
        <v>25.23</v>
      </c>
      <c r="M12" s="203">
        <v>4.32</v>
      </c>
      <c r="N12" s="203">
        <v>5.37</v>
      </c>
      <c r="O12" s="203">
        <v>2.69</v>
      </c>
      <c r="P12" s="203">
        <v>4.6500000000000004</v>
      </c>
      <c r="Q12" s="257">
        <f t="shared" ref="Q12:Q51" si="11">P12</f>
        <v>4.6500000000000004</v>
      </c>
      <c r="R12" s="203">
        <v>6.81</v>
      </c>
      <c r="S12" s="257">
        <f t="shared" ref="S12:S51" si="12">R12</f>
        <v>6.81</v>
      </c>
      <c r="T12" s="204">
        <v>2.82</v>
      </c>
      <c r="U12" s="237"/>
      <c r="V12" s="207"/>
      <c r="W12" s="208"/>
      <c r="X12" s="209"/>
      <c r="Z12" s="244">
        <f t="shared" ref="Z12:Z51" si="13">2*PI()*4</f>
        <v>25.132741228718345</v>
      </c>
      <c r="AA12" s="244">
        <f t="shared" ref="AA12:AA51" si="14">2*PI()*(4+H12)</f>
        <v>32.672563597333848</v>
      </c>
      <c r="AB12" s="335">
        <f t="shared" ref="AB12:AB51" si="15">B12-2*(4+$H12)-72</f>
        <v>57.599999999999994</v>
      </c>
      <c r="AC12" s="335">
        <f t="shared" ref="AC12:AC51" si="16">INDEX($AL$11:$AL$18,MATCH(H12,$AK$11:$AK$18))</f>
        <v>88.084900000000005</v>
      </c>
      <c r="AD12" s="335">
        <f t="shared" si="7"/>
        <v>38.6</v>
      </c>
      <c r="AE12" s="335">
        <f t="shared" si="8"/>
        <v>46.6</v>
      </c>
      <c r="AF12" s="335">
        <f t="shared" si="9"/>
        <v>14.8</v>
      </c>
      <c r="AG12" s="195">
        <f t="shared" ref="AG12:AG51" si="17">(Z12+AA12+2*(AB12+AC12+AD12+AE12+2*AF12))/10</f>
        <v>57.877510482605217</v>
      </c>
      <c r="AH12" s="336">
        <f t="shared" si="10"/>
        <v>0.59954202782147836</v>
      </c>
      <c r="AI12" s="195">
        <f t="shared" ref="AI12:AI51" si="18">H12/2</f>
        <v>0.6</v>
      </c>
      <c r="AJ12" s="195">
        <f t="shared" ref="AJ12:AJ51" si="19">ABS(AH12-AI12)</f>
        <v>4.5797217852161509E-4</v>
      </c>
      <c r="AK12" s="337">
        <v>1.2</v>
      </c>
      <c r="AL12" s="337">
        <v>88.084900000000005</v>
      </c>
    </row>
    <row r="13" spans="1:38" ht="15" customHeight="1" x14ac:dyDescent="0.25">
      <c r="A13" s="144" t="str">
        <f t="shared" si="1"/>
        <v>ZR160x1,0</v>
      </c>
      <c r="B13" s="146" t="str">
        <f t="shared" si="2"/>
        <v>160</v>
      </c>
      <c r="C13" s="146">
        <f t="shared" si="3"/>
        <v>49</v>
      </c>
      <c r="D13" s="146">
        <f t="shared" si="4"/>
        <v>57</v>
      </c>
      <c r="E13" s="146">
        <f t="shared" si="5"/>
        <v>20</v>
      </c>
      <c r="F13" s="158" t="str">
        <f t="shared" si="6"/>
        <v>ZR160</v>
      </c>
      <c r="G13" s="159" t="s">
        <v>60</v>
      </c>
      <c r="H13" s="160">
        <v>1</v>
      </c>
      <c r="I13" s="175">
        <v>3.12</v>
      </c>
      <c r="J13" s="175">
        <v>115.6</v>
      </c>
      <c r="K13" s="175">
        <v>14.09</v>
      </c>
      <c r="L13" s="175">
        <v>21.84</v>
      </c>
      <c r="M13" s="175">
        <v>3.75</v>
      </c>
      <c r="N13" s="175">
        <v>6.08</v>
      </c>
      <c r="O13" s="175">
        <v>2.64</v>
      </c>
      <c r="P13" s="175">
        <v>4.68</v>
      </c>
      <c r="Q13" s="256">
        <f t="shared" si="11"/>
        <v>4.68</v>
      </c>
      <c r="R13" s="175">
        <v>7.8</v>
      </c>
      <c r="S13" s="256">
        <f t="shared" si="12"/>
        <v>7.8</v>
      </c>
      <c r="T13" s="161">
        <v>2.54</v>
      </c>
      <c r="U13" s="232"/>
      <c r="V13" s="176"/>
      <c r="W13" s="177"/>
      <c r="X13" s="178"/>
      <c r="Z13" s="244">
        <f t="shared" si="13"/>
        <v>25.132741228718345</v>
      </c>
      <c r="AA13" s="244">
        <f t="shared" si="14"/>
        <v>31.415926535897931</v>
      </c>
      <c r="AB13" s="335">
        <f t="shared" si="15"/>
        <v>78</v>
      </c>
      <c r="AC13" s="335">
        <f t="shared" si="16"/>
        <v>88.046400000000006</v>
      </c>
      <c r="AD13" s="335">
        <f t="shared" si="7"/>
        <v>39</v>
      </c>
      <c r="AE13" s="335">
        <f t="shared" si="8"/>
        <v>47</v>
      </c>
      <c r="AF13" s="335">
        <f t="shared" si="9"/>
        <v>15</v>
      </c>
      <c r="AG13" s="195">
        <f t="shared" si="17"/>
        <v>62.064146776461634</v>
      </c>
      <c r="AH13" s="336">
        <f t="shared" si="10"/>
        <v>0.5027056943580327</v>
      </c>
      <c r="AI13" s="195">
        <f t="shared" si="18"/>
        <v>0.5</v>
      </c>
      <c r="AJ13" s="195">
        <f t="shared" si="19"/>
        <v>2.7056943580326953E-3</v>
      </c>
      <c r="AK13" s="337">
        <v>1.5</v>
      </c>
      <c r="AL13" s="337">
        <v>88.143600000000006</v>
      </c>
    </row>
    <row r="14" spans="1:38" ht="15" customHeight="1" x14ac:dyDescent="0.25">
      <c r="A14" s="147" t="str">
        <f t="shared" si="1"/>
        <v>ZR160x1,2</v>
      </c>
      <c r="B14" s="149" t="str">
        <f t="shared" si="2"/>
        <v>160</v>
      </c>
      <c r="C14" s="149">
        <f t="shared" si="3"/>
        <v>49</v>
      </c>
      <c r="D14" s="149">
        <f t="shared" si="4"/>
        <v>57</v>
      </c>
      <c r="E14" s="149">
        <f t="shared" si="5"/>
        <v>20</v>
      </c>
      <c r="F14" s="154" t="str">
        <f t="shared" si="6"/>
        <v>ZR160</v>
      </c>
      <c r="G14" s="155" t="s">
        <v>60</v>
      </c>
      <c r="H14" s="164">
        <v>1.2</v>
      </c>
      <c r="I14" s="179">
        <v>3.76</v>
      </c>
      <c r="J14" s="179">
        <v>138.6</v>
      </c>
      <c r="K14" s="179">
        <v>16.899999999999999</v>
      </c>
      <c r="L14" s="179">
        <v>26.55</v>
      </c>
      <c r="M14" s="179">
        <v>4.5599999999999996</v>
      </c>
      <c r="N14" s="179">
        <v>6.06</v>
      </c>
      <c r="O14" s="179">
        <v>2.65</v>
      </c>
      <c r="P14" s="179">
        <v>4.67</v>
      </c>
      <c r="Q14" s="258">
        <f t="shared" si="11"/>
        <v>4.67</v>
      </c>
      <c r="R14" s="179">
        <v>7.8</v>
      </c>
      <c r="S14" s="258">
        <f t="shared" si="12"/>
        <v>7.8</v>
      </c>
      <c r="T14" s="165">
        <v>3.04</v>
      </c>
      <c r="U14" s="233"/>
      <c r="V14" s="180"/>
      <c r="W14" s="181"/>
      <c r="X14" s="182"/>
      <c r="Z14" s="244">
        <f t="shared" si="13"/>
        <v>25.132741228718345</v>
      </c>
      <c r="AA14" s="244">
        <f t="shared" si="14"/>
        <v>32.672563597333848</v>
      </c>
      <c r="AB14" s="335">
        <f t="shared" si="15"/>
        <v>77.599999999999994</v>
      </c>
      <c r="AC14" s="335">
        <f t="shared" si="16"/>
        <v>88.084900000000005</v>
      </c>
      <c r="AD14" s="335">
        <f t="shared" si="7"/>
        <v>38.6</v>
      </c>
      <c r="AE14" s="335">
        <f t="shared" si="8"/>
        <v>46.6</v>
      </c>
      <c r="AF14" s="335">
        <f t="shared" si="9"/>
        <v>14.8</v>
      </c>
      <c r="AG14" s="195">
        <f t="shared" si="17"/>
        <v>61.877510482605217</v>
      </c>
      <c r="AH14" s="336">
        <f t="shared" si="10"/>
        <v>0.60765211313034273</v>
      </c>
      <c r="AI14" s="195">
        <f t="shared" si="18"/>
        <v>0.6</v>
      </c>
      <c r="AJ14" s="195">
        <f t="shared" si="19"/>
        <v>7.6521131303427525E-3</v>
      </c>
      <c r="AK14" s="337">
        <v>2</v>
      </c>
      <c r="AL14" s="337">
        <v>88.243600000000001</v>
      </c>
    </row>
    <row r="15" spans="1:38" ht="15" customHeight="1" x14ac:dyDescent="0.25">
      <c r="A15" s="72" t="str">
        <f>CONCATENATE(F15,"x",(IF(H15=INT(H15),CONCATENATE(H15,",",0),H15)))</f>
        <v>ZR160x1,5</v>
      </c>
      <c r="B15" s="3" t="str">
        <f>LEFT(G15,3)</f>
        <v>160</v>
      </c>
      <c r="C15" s="3">
        <f>VALUE(MID(G15,(SEARCH("/",G15,1)+1),(SEARCH("/",G15,(SEARCH("/",G15,1)+1))-SEARCH("/",G15,1)-1)))</f>
        <v>49</v>
      </c>
      <c r="D15" s="3">
        <f>VALUE(MID(G15,(SEARCH("/",G15,(SEARCH("/",G15,1)+1))+1),(SEARCH("/",G15,SEARCH("/",G15,(SEARCH("/",G15,1)+1))+1))-(SEARCH("/",G15,(SEARCH("/",G15,1)+1))+1)))</f>
        <v>57</v>
      </c>
      <c r="E15" s="3">
        <f>VALUE(MID(G15,(SEARCH("/",G15,SEARCH("/",G15,(SEARCH("/",G15,1)+1))+1)+1),4))</f>
        <v>20</v>
      </c>
      <c r="F15" s="4" t="str">
        <f>CONCATENATE("ZR",LEFT(G15,3))</f>
        <v>ZR160</v>
      </c>
      <c r="G15" s="81" t="s">
        <v>60</v>
      </c>
      <c r="H15" s="117">
        <v>1.5</v>
      </c>
      <c r="I15" s="112">
        <v>4.59</v>
      </c>
      <c r="J15" s="112">
        <v>168.45</v>
      </c>
      <c r="K15" s="112">
        <v>20.52</v>
      </c>
      <c r="L15" s="112">
        <v>30.17</v>
      </c>
      <c r="M15" s="112">
        <v>5.0599999999999996</v>
      </c>
      <c r="N15" s="112">
        <v>6.05</v>
      </c>
      <c r="O15" s="112">
        <v>2.56</v>
      </c>
      <c r="P15" s="96">
        <v>4.6399999999999997</v>
      </c>
      <c r="Q15" s="259">
        <f t="shared" si="11"/>
        <v>4.6399999999999997</v>
      </c>
      <c r="R15" s="96">
        <v>7.79</v>
      </c>
      <c r="S15" s="259">
        <f t="shared" si="12"/>
        <v>7.79</v>
      </c>
      <c r="T15" s="112">
        <v>3.62</v>
      </c>
      <c r="U15" s="234"/>
      <c r="V15" s="253">
        <v>3.4599999999999999E-2</v>
      </c>
      <c r="W15" s="139"/>
      <c r="X15" s="86"/>
      <c r="Z15" s="244">
        <f t="shared" si="13"/>
        <v>25.132741228718345</v>
      </c>
      <c r="AA15" s="244">
        <f t="shared" si="14"/>
        <v>34.557519189487721</v>
      </c>
      <c r="AB15" s="335">
        <f t="shared" si="15"/>
        <v>77</v>
      </c>
      <c r="AC15" s="335">
        <f t="shared" si="16"/>
        <v>88.143600000000006</v>
      </c>
      <c r="AD15" s="335">
        <f t="shared" si="7"/>
        <v>38</v>
      </c>
      <c r="AE15" s="335">
        <f t="shared" si="8"/>
        <v>46</v>
      </c>
      <c r="AF15" s="335">
        <f t="shared" si="9"/>
        <v>14.5</v>
      </c>
      <c r="AG15" s="195">
        <f t="shared" si="17"/>
        <v>61.597746041820606</v>
      </c>
      <c r="AH15" s="336">
        <f t="shared" si="10"/>
        <v>0.74515713560098573</v>
      </c>
      <c r="AI15" s="195">
        <f t="shared" si="18"/>
        <v>0.75</v>
      </c>
      <c r="AJ15" s="195">
        <f t="shared" si="19"/>
        <v>4.8428643990142684E-3</v>
      </c>
      <c r="AK15" s="337">
        <v>2.5</v>
      </c>
      <c r="AL15" s="337">
        <v>88.346599999999995</v>
      </c>
    </row>
    <row r="16" spans="1:38" ht="15" customHeight="1" x14ac:dyDescent="0.25">
      <c r="A16" s="72" t="str">
        <f t="shared" ref="A16:A51" si="20">CONCATENATE(F16,"x",(IF(H16=INT(H16),CONCATENATE(H16,",",0),H16)))</f>
        <v>ZR160x2,0</v>
      </c>
      <c r="B16" s="3" t="str">
        <f t="shared" ref="B16:B51" si="21">LEFT(G16,3)</f>
        <v>160</v>
      </c>
      <c r="C16" s="3">
        <f t="shared" ref="C16:C51" si="22">VALUE(MID(G16,(SEARCH("/",G16,1)+1),(SEARCH("/",G16,(SEARCH("/",G16,1)+1))-SEARCH("/",G16,1)-1)))</f>
        <v>50</v>
      </c>
      <c r="D16" s="3">
        <f t="shared" ref="D16:D51" si="23">VALUE(MID(G16,(SEARCH("/",G16,(SEARCH("/",G16,1)+1))+1),(SEARCH("/",G16,SEARCH("/",G16,(SEARCH("/",G16,1)+1))+1))-(SEARCH("/",G16,(SEARCH("/",G16,1)+1))+1)))</f>
        <v>58</v>
      </c>
      <c r="E16" s="3">
        <f t="shared" ref="E16:E51" si="24">VALUE(MID(G16,(SEARCH("/",G16,SEARCH("/",G16,(SEARCH("/",G16,1)+1))+1)+1),4))</f>
        <v>21</v>
      </c>
      <c r="F16" s="4" t="str">
        <f t="shared" ref="F16:F51" si="25">CONCATENATE("ZR",LEFT(G16,3))</f>
        <v>ZR160</v>
      </c>
      <c r="G16" s="81" t="s">
        <v>61</v>
      </c>
      <c r="H16" s="117">
        <v>2</v>
      </c>
      <c r="I16" s="112">
        <v>6.15</v>
      </c>
      <c r="J16" s="112">
        <v>224.73</v>
      </c>
      <c r="K16" s="112">
        <v>27.38</v>
      </c>
      <c r="L16" s="112">
        <v>41.84</v>
      </c>
      <c r="M16" s="112">
        <v>6.87</v>
      </c>
      <c r="N16" s="112">
        <v>6.04</v>
      </c>
      <c r="O16" s="112">
        <v>2.6</v>
      </c>
      <c r="P16" s="96">
        <v>4.72</v>
      </c>
      <c r="Q16" s="259">
        <f t="shared" si="11"/>
        <v>4.72</v>
      </c>
      <c r="R16" s="96">
        <v>7.79</v>
      </c>
      <c r="S16" s="259">
        <f t="shared" si="12"/>
        <v>7.79</v>
      </c>
      <c r="T16" s="112">
        <v>4.8600000000000003</v>
      </c>
      <c r="U16" s="234"/>
      <c r="V16" s="253">
        <v>8.2500000000000004E-2</v>
      </c>
      <c r="W16" s="139"/>
      <c r="X16" s="86"/>
      <c r="Z16" s="244">
        <f t="shared" si="13"/>
        <v>25.132741228718345</v>
      </c>
      <c r="AA16" s="244">
        <f t="shared" si="14"/>
        <v>37.699111843077517</v>
      </c>
      <c r="AB16" s="335">
        <f t="shared" si="15"/>
        <v>76</v>
      </c>
      <c r="AC16" s="335">
        <f t="shared" si="16"/>
        <v>88.243600000000001</v>
      </c>
      <c r="AD16" s="335">
        <f t="shared" si="7"/>
        <v>38</v>
      </c>
      <c r="AE16" s="335">
        <f t="shared" si="8"/>
        <v>46</v>
      </c>
      <c r="AF16" s="335">
        <f t="shared" si="9"/>
        <v>15</v>
      </c>
      <c r="AG16" s="195">
        <f t="shared" si="17"/>
        <v>61.931905307179591</v>
      </c>
      <c r="AH16" s="336">
        <f t="shared" si="10"/>
        <v>0.99302612595176343</v>
      </c>
      <c r="AI16" s="195">
        <f t="shared" si="18"/>
        <v>1</v>
      </c>
      <c r="AJ16" s="195">
        <f t="shared" si="19"/>
        <v>6.9738740482365724E-3</v>
      </c>
      <c r="AK16" s="337">
        <v>3</v>
      </c>
      <c r="AL16" s="337">
        <v>88.452600000000004</v>
      </c>
    </row>
    <row r="17" spans="1:38" ht="15" customHeight="1" x14ac:dyDescent="0.25">
      <c r="A17" s="72" t="str">
        <f t="shared" si="20"/>
        <v>ZR160x2,5</v>
      </c>
      <c r="B17" s="3" t="str">
        <f t="shared" si="21"/>
        <v>160</v>
      </c>
      <c r="C17" s="3">
        <f t="shared" si="22"/>
        <v>51</v>
      </c>
      <c r="D17" s="3">
        <f t="shared" si="23"/>
        <v>59</v>
      </c>
      <c r="E17" s="3">
        <f t="shared" si="24"/>
        <v>22</v>
      </c>
      <c r="F17" s="4" t="str">
        <f t="shared" si="25"/>
        <v>ZR160</v>
      </c>
      <c r="G17" s="81" t="s">
        <v>62</v>
      </c>
      <c r="H17" s="117">
        <v>2.5</v>
      </c>
      <c r="I17" s="112">
        <v>7.73</v>
      </c>
      <c r="J17" s="112">
        <v>281.04000000000002</v>
      </c>
      <c r="K17" s="112">
        <v>34.25</v>
      </c>
      <c r="L17" s="112">
        <v>54.38</v>
      </c>
      <c r="M17" s="112">
        <v>8.76</v>
      </c>
      <c r="N17" s="112">
        <v>6.02</v>
      </c>
      <c r="O17" s="112">
        <v>2.65</v>
      </c>
      <c r="P17" s="96">
        <v>4.79</v>
      </c>
      <c r="Q17" s="259">
        <f t="shared" si="11"/>
        <v>4.79</v>
      </c>
      <c r="R17" s="96">
        <v>7.8</v>
      </c>
      <c r="S17" s="259">
        <f t="shared" si="12"/>
        <v>7.8</v>
      </c>
      <c r="T17" s="112">
        <v>6.11</v>
      </c>
      <c r="U17" s="234"/>
      <c r="V17" s="253">
        <v>0.16189999999999999</v>
      </c>
      <c r="W17" s="139"/>
      <c r="X17" s="86"/>
      <c r="Z17" s="244">
        <f t="shared" si="13"/>
        <v>25.132741228718345</v>
      </c>
      <c r="AA17" s="244">
        <f t="shared" si="14"/>
        <v>40.840704496667314</v>
      </c>
      <c r="AB17" s="335">
        <f t="shared" si="15"/>
        <v>75</v>
      </c>
      <c r="AC17" s="335">
        <f t="shared" si="16"/>
        <v>88.346599999999995</v>
      </c>
      <c r="AD17" s="335">
        <f t="shared" si="7"/>
        <v>38</v>
      </c>
      <c r="AE17" s="335">
        <f t="shared" si="8"/>
        <v>46</v>
      </c>
      <c r="AF17" s="335">
        <f t="shared" si="9"/>
        <v>15.5</v>
      </c>
      <c r="AG17" s="195">
        <f t="shared" si="17"/>
        <v>62.266664572538559</v>
      </c>
      <c r="AH17" s="336">
        <f t="shared" si="10"/>
        <v>1.2414347312589407</v>
      </c>
      <c r="AI17" s="195">
        <f t="shared" si="18"/>
        <v>1.25</v>
      </c>
      <c r="AJ17" s="195">
        <f t="shared" si="19"/>
        <v>8.5652687410593398E-3</v>
      </c>
      <c r="AK17" s="337">
        <v>3.5</v>
      </c>
      <c r="AL17" s="337">
        <v>88.561899999999994</v>
      </c>
    </row>
    <row r="18" spans="1:38" ht="15" customHeight="1" thickBot="1" x14ac:dyDescent="0.3">
      <c r="A18" s="73" t="str">
        <f t="shared" si="20"/>
        <v>ZR160x3,0</v>
      </c>
      <c r="B18" s="5" t="str">
        <f t="shared" si="21"/>
        <v>160</v>
      </c>
      <c r="C18" s="5">
        <f t="shared" si="22"/>
        <v>52</v>
      </c>
      <c r="D18" s="5">
        <f t="shared" si="23"/>
        <v>60</v>
      </c>
      <c r="E18" s="5">
        <f t="shared" si="24"/>
        <v>23</v>
      </c>
      <c r="F18" s="6" t="str">
        <f t="shared" si="25"/>
        <v>ZR160</v>
      </c>
      <c r="G18" s="82" t="s">
        <v>63</v>
      </c>
      <c r="H18" s="118">
        <v>3</v>
      </c>
      <c r="I18" s="113">
        <v>9.32</v>
      </c>
      <c r="J18" s="113">
        <v>337.32</v>
      </c>
      <c r="K18" s="113">
        <v>41.12</v>
      </c>
      <c r="L18" s="113">
        <v>67.819999999999993</v>
      </c>
      <c r="M18" s="113">
        <v>10.71</v>
      </c>
      <c r="N18" s="113">
        <v>6.01</v>
      </c>
      <c r="O18" s="113">
        <v>2.69</v>
      </c>
      <c r="P18" s="98">
        <v>4.87</v>
      </c>
      <c r="Q18" s="260">
        <f t="shared" si="11"/>
        <v>4.87</v>
      </c>
      <c r="R18" s="98">
        <v>7.8</v>
      </c>
      <c r="S18" s="260">
        <f t="shared" si="12"/>
        <v>7.8</v>
      </c>
      <c r="T18" s="113">
        <v>7.38</v>
      </c>
      <c r="U18" s="235"/>
      <c r="V18" s="255">
        <v>0.28129999999999999</v>
      </c>
      <c r="W18" s="141"/>
      <c r="X18" s="87"/>
      <c r="Z18" s="244">
        <f t="shared" si="13"/>
        <v>25.132741228718345</v>
      </c>
      <c r="AA18" s="244">
        <f t="shared" si="14"/>
        <v>43.982297150257104</v>
      </c>
      <c r="AB18" s="335">
        <f t="shared" si="15"/>
        <v>74</v>
      </c>
      <c r="AC18" s="335">
        <f t="shared" si="16"/>
        <v>88.452600000000004</v>
      </c>
      <c r="AD18" s="335">
        <f t="shared" si="7"/>
        <v>38</v>
      </c>
      <c r="AE18" s="335">
        <f t="shared" si="8"/>
        <v>46</v>
      </c>
      <c r="AF18" s="335">
        <f t="shared" si="9"/>
        <v>16</v>
      </c>
      <c r="AG18" s="195">
        <f t="shared" si="17"/>
        <v>62.602023837897548</v>
      </c>
      <c r="AH18" s="336">
        <f t="shared" si="10"/>
        <v>1.4887697599255454</v>
      </c>
      <c r="AI18" s="195">
        <f t="shared" si="18"/>
        <v>1.5</v>
      </c>
      <c r="AJ18" s="195">
        <f t="shared" si="19"/>
        <v>1.1230240074454612E-2</v>
      </c>
      <c r="AK18" s="337">
        <v>4</v>
      </c>
      <c r="AL18" s="337">
        <v>88.674700000000001</v>
      </c>
    </row>
    <row r="19" spans="1:38" ht="15" customHeight="1" x14ac:dyDescent="0.25">
      <c r="A19" s="72" t="str">
        <f t="shared" si="20"/>
        <v>ZR180x1,5</v>
      </c>
      <c r="B19" s="3" t="str">
        <f t="shared" si="21"/>
        <v>180</v>
      </c>
      <c r="C19" s="3">
        <f t="shared" si="22"/>
        <v>49</v>
      </c>
      <c r="D19" s="3">
        <f t="shared" si="23"/>
        <v>57</v>
      </c>
      <c r="E19" s="3">
        <f t="shared" si="24"/>
        <v>20</v>
      </c>
      <c r="F19" s="4" t="str">
        <f t="shared" si="25"/>
        <v>ZR180</v>
      </c>
      <c r="G19" s="81" t="s">
        <v>64</v>
      </c>
      <c r="H19" s="117">
        <v>1.5</v>
      </c>
      <c r="I19" s="112">
        <v>4.8899999999999997</v>
      </c>
      <c r="J19" s="112">
        <v>222.3</v>
      </c>
      <c r="K19" s="112">
        <v>24.11</v>
      </c>
      <c r="L19" s="112">
        <v>30.18</v>
      </c>
      <c r="M19" s="112">
        <v>5.07</v>
      </c>
      <c r="N19" s="112">
        <v>6.74</v>
      </c>
      <c r="O19" s="112">
        <v>2.48</v>
      </c>
      <c r="P19" s="96">
        <v>4.6500000000000004</v>
      </c>
      <c r="Q19" s="259">
        <f t="shared" si="11"/>
        <v>4.6500000000000004</v>
      </c>
      <c r="R19" s="96">
        <v>8.7799999999999994</v>
      </c>
      <c r="S19" s="259">
        <f t="shared" si="12"/>
        <v>8.7799999999999994</v>
      </c>
      <c r="T19" s="112">
        <v>3.85</v>
      </c>
      <c r="U19" s="234"/>
      <c r="V19" s="253">
        <v>3.6900000000000002E-2</v>
      </c>
      <c r="W19" s="139"/>
      <c r="X19" s="86"/>
      <c r="Z19" s="244">
        <f t="shared" si="13"/>
        <v>25.132741228718345</v>
      </c>
      <c r="AA19" s="244">
        <f t="shared" si="14"/>
        <v>34.557519189487721</v>
      </c>
      <c r="AB19" s="335">
        <f t="shared" si="15"/>
        <v>97</v>
      </c>
      <c r="AC19" s="335">
        <f t="shared" si="16"/>
        <v>88.143600000000006</v>
      </c>
      <c r="AD19" s="335">
        <f t="shared" si="7"/>
        <v>38</v>
      </c>
      <c r="AE19" s="335">
        <f t="shared" si="8"/>
        <v>46</v>
      </c>
      <c r="AF19" s="335">
        <f t="shared" si="9"/>
        <v>14.5</v>
      </c>
      <c r="AG19" s="195">
        <f t="shared" si="17"/>
        <v>65.597746041820614</v>
      </c>
      <c r="AH19" s="336">
        <f t="shared" si="10"/>
        <v>0.74545244235716157</v>
      </c>
      <c r="AI19" s="195">
        <f t="shared" si="18"/>
        <v>0.75</v>
      </c>
      <c r="AJ19" s="195">
        <f t="shared" si="19"/>
        <v>4.547557642838429E-3</v>
      </c>
    </row>
    <row r="20" spans="1:38" ht="15" customHeight="1" x14ac:dyDescent="0.25">
      <c r="A20" s="72" t="str">
        <f t="shared" si="20"/>
        <v>ZR180x2,0</v>
      </c>
      <c r="B20" s="3" t="str">
        <f t="shared" si="21"/>
        <v>180</v>
      </c>
      <c r="C20" s="3">
        <f t="shared" si="22"/>
        <v>50</v>
      </c>
      <c r="D20" s="3">
        <f t="shared" si="23"/>
        <v>58</v>
      </c>
      <c r="E20" s="3">
        <f t="shared" si="24"/>
        <v>21</v>
      </c>
      <c r="F20" s="4" t="str">
        <f t="shared" si="25"/>
        <v>ZR180</v>
      </c>
      <c r="G20" s="81" t="s">
        <v>65</v>
      </c>
      <c r="H20" s="117">
        <v>2</v>
      </c>
      <c r="I20" s="112">
        <v>6.55</v>
      </c>
      <c r="J20" s="112">
        <v>296.82</v>
      </c>
      <c r="K20" s="112">
        <v>32.200000000000003</v>
      </c>
      <c r="L20" s="112">
        <v>41.86</v>
      </c>
      <c r="M20" s="112">
        <v>6.89</v>
      </c>
      <c r="N20" s="112">
        <v>6.72</v>
      </c>
      <c r="O20" s="112">
        <v>2.52</v>
      </c>
      <c r="P20" s="96">
        <v>4.7300000000000004</v>
      </c>
      <c r="Q20" s="259">
        <f t="shared" si="11"/>
        <v>4.7300000000000004</v>
      </c>
      <c r="R20" s="96">
        <v>8.7799999999999994</v>
      </c>
      <c r="S20" s="259">
        <f t="shared" si="12"/>
        <v>8.7799999999999994</v>
      </c>
      <c r="T20" s="112">
        <v>5.17</v>
      </c>
      <c r="U20" s="234"/>
      <c r="V20" s="253">
        <v>8.7800000000000003E-2</v>
      </c>
      <c r="W20" s="139"/>
      <c r="X20" s="86"/>
      <c r="Z20" s="244">
        <f t="shared" si="13"/>
        <v>25.132741228718345</v>
      </c>
      <c r="AA20" s="244">
        <f t="shared" si="14"/>
        <v>37.699111843077517</v>
      </c>
      <c r="AB20" s="335">
        <f t="shared" si="15"/>
        <v>96</v>
      </c>
      <c r="AC20" s="335">
        <f t="shared" si="16"/>
        <v>88.243600000000001</v>
      </c>
      <c r="AD20" s="335">
        <f t="shared" si="7"/>
        <v>38</v>
      </c>
      <c r="AE20" s="335">
        <f t="shared" si="8"/>
        <v>46</v>
      </c>
      <c r="AF20" s="335">
        <f t="shared" si="9"/>
        <v>15</v>
      </c>
      <c r="AG20" s="195">
        <f t="shared" si="17"/>
        <v>65.931905307179591</v>
      </c>
      <c r="AH20" s="336">
        <f t="shared" si="10"/>
        <v>0.99344922150865611</v>
      </c>
      <c r="AI20" s="195">
        <f t="shared" si="18"/>
        <v>1</v>
      </c>
      <c r="AJ20" s="195">
        <f t="shared" si="19"/>
        <v>6.5507784913438893E-3</v>
      </c>
    </row>
    <row r="21" spans="1:38" ht="15" customHeight="1" x14ac:dyDescent="0.25">
      <c r="A21" s="72" t="str">
        <f t="shared" si="20"/>
        <v>ZR180x2,5</v>
      </c>
      <c r="B21" s="3" t="str">
        <f t="shared" si="21"/>
        <v>180</v>
      </c>
      <c r="C21" s="3">
        <f t="shared" si="22"/>
        <v>51</v>
      </c>
      <c r="D21" s="3">
        <f t="shared" si="23"/>
        <v>59</v>
      </c>
      <c r="E21" s="3">
        <f t="shared" si="24"/>
        <v>22</v>
      </c>
      <c r="F21" s="4" t="str">
        <f t="shared" si="25"/>
        <v>ZR180</v>
      </c>
      <c r="G21" s="81" t="s">
        <v>66</v>
      </c>
      <c r="H21" s="117">
        <v>2.5</v>
      </c>
      <c r="I21" s="112">
        <v>8.23</v>
      </c>
      <c r="J21" s="112">
        <v>371.48</v>
      </c>
      <c r="K21" s="112">
        <v>40.31</v>
      </c>
      <c r="L21" s="112">
        <v>54.4</v>
      </c>
      <c r="M21" s="112">
        <v>8.7799999999999994</v>
      </c>
      <c r="N21" s="112">
        <v>6.71</v>
      </c>
      <c r="O21" s="112">
        <v>2.57</v>
      </c>
      <c r="P21" s="96">
        <v>4.8099999999999996</v>
      </c>
      <c r="Q21" s="259">
        <f t="shared" si="11"/>
        <v>4.8099999999999996</v>
      </c>
      <c r="R21" s="96">
        <v>8.7799999999999994</v>
      </c>
      <c r="S21" s="259">
        <f t="shared" si="12"/>
        <v>8.7799999999999994</v>
      </c>
      <c r="T21" s="112">
        <v>6.5</v>
      </c>
      <c r="U21" s="234"/>
      <c r="V21" s="253">
        <v>0.1724</v>
      </c>
      <c r="W21" s="139"/>
      <c r="X21" s="86"/>
      <c r="Z21" s="244">
        <f t="shared" si="13"/>
        <v>25.132741228718345</v>
      </c>
      <c r="AA21" s="244">
        <f t="shared" si="14"/>
        <v>40.840704496667314</v>
      </c>
      <c r="AB21" s="335">
        <f t="shared" si="15"/>
        <v>95</v>
      </c>
      <c r="AC21" s="335">
        <f t="shared" si="16"/>
        <v>88.346599999999995</v>
      </c>
      <c r="AD21" s="335">
        <f t="shared" si="7"/>
        <v>38</v>
      </c>
      <c r="AE21" s="335">
        <f t="shared" si="8"/>
        <v>46</v>
      </c>
      <c r="AF21" s="335">
        <f t="shared" si="9"/>
        <v>15.5</v>
      </c>
      <c r="AG21" s="195">
        <f t="shared" si="17"/>
        <v>66.266664572538559</v>
      </c>
      <c r="AH21" s="336">
        <f t="shared" si="10"/>
        <v>1.2419517495091459</v>
      </c>
      <c r="AI21" s="195">
        <f t="shared" si="18"/>
        <v>1.25</v>
      </c>
      <c r="AJ21" s="195">
        <f t="shared" si="19"/>
        <v>8.0482504908541141E-3</v>
      </c>
    </row>
    <row r="22" spans="1:38" ht="15" customHeight="1" thickBot="1" x14ac:dyDescent="0.3">
      <c r="A22" s="73" t="str">
        <f t="shared" si="20"/>
        <v>ZR180x3,0</v>
      </c>
      <c r="B22" s="5" t="str">
        <f t="shared" si="21"/>
        <v>180</v>
      </c>
      <c r="C22" s="5">
        <f t="shared" si="22"/>
        <v>52</v>
      </c>
      <c r="D22" s="5">
        <f t="shared" si="23"/>
        <v>60</v>
      </c>
      <c r="E22" s="5">
        <f t="shared" si="24"/>
        <v>23</v>
      </c>
      <c r="F22" s="6" t="str">
        <f t="shared" si="25"/>
        <v>ZR180</v>
      </c>
      <c r="G22" s="82" t="s">
        <v>67</v>
      </c>
      <c r="H22" s="118">
        <v>3</v>
      </c>
      <c r="I22" s="113">
        <v>9.92</v>
      </c>
      <c r="J22" s="113">
        <v>446.25</v>
      </c>
      <c r="K22" s="113">
        <v>48.43</v>
      </c>
      <c r="L22" s="113">
        <v>67.84</v>
      </c>
      <c r="M22" s="113">
        <v>10.74</v>
      </c>
      <c r="N22" s="113">
        <v>6.7</v>
      </c>
      <c r="O22" s="113">
        <v>2.61</v>
      </c>
      <c r="P22" s="98">
        <v>4.88</v>
      </c>
      <c r="Q22" s="260">
        <f t="shared" si="11"/>
        <v>4.88</v>
      </c>
      <c r="R22" s="98">
        <v>8.7899999999999991</v>
      </c>
      <c r="S22" s="260">
        <f t="shared" si="12"/>
        <v>8.7899999999999991</v>
      </c>
      <c r="T22" s="113">
        <v>7.85</v>
      </c>
      <c r="U22" s="235"/>
      <c r="V22" s="255">
        <v>0.29930000000000001</v>
      </c>
      <c r="W22" s="141"/>
      <c r="X22" s="87"/>
      <c r="Z22" s="244">
        <f t="shared" si="13"/>
        <v>25.132741228718345</v>
      </c>
      <c r="AA22" s="244">
        <f t="shared" si="14"/>
        <v>43.982297150257104</v>
      </c>
      <c r="AB22" s="335">
        <f t="shared" si="15"/>
        <v>94</v>
      </c>
      <c r="AC22" s="335">
        <f t="shared" si="16"/>
        <v>88.452600000000004</v>
      </c>
      <c r="AD22" s="335">
        <f t="shared" si="7"/>
        <v>38</v>
      </c>
      <c r="AE22" s="335">
        <f t="shared" si="8"/>
        <v>46</v>
      </c>
      <c r="AF22" s="335">
        <f t="shared" si="9"/>
        <v>16</v>
      </c>
      <c r="AG22" s="195">
        <f t="shared" si="17"/>
        <v>66.602023837897548</v>
      </c>
      <c r="AH22" s="336">
        <f t="shared" si="10"/>
        <v>1.4894442283231899</v>
      </c>
      <c r="AI22" s="195">
        <f t="shared" si="18"/>
        <v>1.5</v>
      </c>
      <c r="AJ22" s="195">
        <f t="shared" si="19"/>
        <v>1.05557716768101E-2</v>
      </c>
    </row>
    <row r="23" spans="1:38" ht="15" customHeight="1" x14ac:dyDescent="0.25">
      <c r="A23" s="71" t="str">
        <f t="shared" ref="A23:A24" si="26">CONCATENATE(F23,"x",(IF(H23=INT(H23),CONCATENATE(H23,",",0),H23)))</f>
        <v>ZR200x1,0</v>
      </c>
      <c r="B23" s="1" t="str">
        <f t="shared" ref="B23:B24" si="27">LEFT(G23,3)</f>
        <v>200</v>
      </c>
      <c r="C23" s="1">
        <f t="shared" ref="C23:C24" si="28">VALUE(MID(G23,(SEARCH("/",G23,1)+1),(SEARCH("/",G23,(SEARCH("/",G23,1)+1))-SEARCH("/",G23,1)-1)))</f>
        <v>49</v>
      </c>
      <c r="D23" s="1">
        <f t="shared" ref="D23:D24" si="29">VALUE(MID(G23,(SEARCH("/",G23,(SEARCH("/",G23,1)+1))+1),(SEARCH("/",G23,SEARCH("/",G23,(SEARCH("/",G23,1)+1))+1))-(SEARCH("/",G23,(SEARCH("/",G23,1)+1))+1)))</f>
        <v>57</v>
      </c>
      <c r="E23" s="1">
        <f t="shared" ref="E23:E24" si="30">VALUE(MID(G23,(SEARCH("/",G23,SEARCH("/",G23,(SEARCH("/",G23,1)+1))+1)+1),4))</f>
        <v>20</v>
      </c>
      <c r="F23" s="2" t="str">
        <f t="shared" ref="F23:F24" si="31">CONCATENATE("ZR",LEFT(G23,3))</f>
        <v>ZR200</v>
      </c>
      <c r="G23" s="80" t="s">
        <v>68</v>
      </c>
      <c r="H23" s="116">
        <v>1</v>
      </c>
      <c r="I23" s="111">
        <v>3.48</v>
      </c>
      <c r="J23" s="111">
        <v>193.21</v>
      </c>
      <c r="K23" s="111">
        <v>18.899999999999999</v>
      </c>
      <c r="L23" s="111">
        <v>20.76</v>
      </c>
      <c r="M23" s="111">
        <v>3.57</v>
      </c>
      <c r="N23" s="111">
        <v>7.44</v>
      </c>
      <c r="O23" s="111">
        <v>2.44</v>
      </c>
      <c r="P23" s="94">
        <v>4.6900000000000004</v>
      </c>
      <c r="Q23" s="261">
        <f t="shared" si="11"/>
        <v>4.6900000000000004</v>
      </c>
      <c r="R23" s="94">
        <v>9.7799999999999994</v>
      </c>
      <c r="S23" s="261">
        <f t="shared" si="12"/>
        <v>9.7799999999999994</v>
      </c>
      <c r="T23" s="111">
        <v>2.83</v>
      </c>
      <c r="U23" s="236"/>
      <c r="V23" s="254"/>
      <c r="W23" s="143"/>
      <c r="X23" s="85"/>
      <c r="Z23" s="244">
        <f t="shared" si="13"/>
        <v>25.132741228718345</v>
      </c>
      <c r="AA23" s="244">
        <f t="shared" si="14"/>
        <v>31.415926535897931</v>
      </c>
      <c r="AB23" s="335">
        <f t="shared" si="15"/>
        <v>118</v>
      </c>
      <c r="AC23" s="335">
        <f t="shared" si="16"/>
        <v>88.046400000000006</v>
      </c>
      <c r="AD23" s="335">
        <f t="shared" si="7"/>
        <v>39</v>
      </c>
      <c r="AE23" s="335">
        <f t="shared" si="8"/>
        <v>47</v>
      </c>
      <c r="AF23" s="335">
        <f t="shared" si="9"/>
        <v>15</v>
      </c>
      <c r="AG23" s="195">
        <f t="shared" si="17"/>
        <v>70.064146776461627</v>
      </c>
      <c r="AH23" s="336">
        <f t="shared" si="10"/>
        <v>0.49668770121512729</v>
      </c>
      <c r="AI23" s="195">
        <f t="shared" si="18"/>
        <v>0.5</v>
      </c>
      <c r="AJ23" s="195">
        <f t="shared" si="19"/>
        <v>3.3122987848727137E-3</v>
      </c>
    </row>
    <row r="24" spans="1:38" ht="15" customHeight="1" x14ac:dyDescent="0.25">
      <c r="A24" s="72" t="str">
        <f t="shared" si="26"/>
        <v>ZR200x1,2</v>
      </c>
      <c r="B24" s="3" t="str">
        <f t="shared" si="27"/>
        <v>200</v>
      </c>
      <c r="C24" s="3">
        <f t="shared" si="28"/>
        <v>49</v>
      </c>
      <c r="D24" s="3">
        <f t="shared" si="29"/>
        <v>57</v>
      </c>
      <c r="E24" s="3">
        <f t="shared" si="30"/>
        <v>20</v>
      </c>
      <c r="F24" s="4" t="str">
        <f t="shared" si="31"/>
        <v>ZR200</v>
      </c>
      <c r="G24" s="81" t="s">
        <v>68</v>
      </c>
      <c r="H24" s="117">
        <v>1.2</v>
      </c>
      <c r="I24" s="112">
        <v>4.1900000000000004</v>
      </c>
      <c r="J24" s="112">
        <v>231.99</v>
      </c>
      <c r="K24" s="112">
        <v>22.7</v>
      </c>
      <c r="L24" s="112">
        <v>25.26</v>
      </c>
      <c r="M24" s="112">
        <v>4.3600000000000003</v>
      </c>
      <c r="N24" s="112">
        <v>7.43</v>
      </c>
      <c r="O24" s="112">
        <v>2.4500000000000002</v>
      </c>
      <c r="P24" s="96">
        <v>4.6900000000000004</v>
      </c>
      <c r="Q24" s="259">
        <f t="shared" si="11"/>
        <v>4.6900000000000004</v>
      </c>
      <c r="R24" s="96">
        <v>9.7799999999999994</v>
      </c>
      <c r="S24" s="259">
        <f t="shared" si="12"/>
        <v>9.7799999999999994</v>
      </c>
      <c r="T24" s="112">
        <v>3.39</v>
      </c>
      <c r="U24" s="234"/>
      <c r="V24" s="253"/>
      <c r="W24" s="139"/>
      <c r="X24" s="86"/>
      <c r="Z24" s="244">
        <f t="shared" si="13"/>
        <v>25.132741228718345</v>
      </c>
      <c r="AA24" s="244">
        <f t="shared" si="14"/>
        <v>32.672563597333848</v>
      </c>
      <c r="AB24" s="335">
        <f t="shared" si="15"/>
        <v>117.6</v>
      </c>
      <c r="AC24" s="335">
        <f t="shared" si="16"/>
        <v>88.084900000000005</v>
      </c>
      <c r="AD24" s="335">
        <f t="shared" si="7"/>
        <v>38.6</v>
      </c>
      <c r="AE24" s="335">
        <f t="shared" si="8"/>
        <v>46.6</v>
      </c>
      <c r="AF24" s="335">
        <f t="shared" si="9"/>
        <v>14.8</v>
      </c>
      <c r="AG24" s="195">
        <f t="shared" si="17"/>
        <v>69.877510482605231</v>
      </c>
      <c r="AH24" s="336">
        <f t="shared" si="10"/>
        <v>0.59962067495850857</v>
      </c>
      <c r="AI24" s="195">
        <f t="shared" si="18"/>
        <v>0.6</v>
      </c>
      <c r="AJ24" s="195">
        <f t="shared" si="19"/>
        <v>3.7932504149140733E-4</v>
      </c>
    </row>
    <row r="25" spans="1:38" ht="15" customHeight="1" x14ac:dyDescent="0.25">
      <c r="A25" s="72" t="str">
        <f t="shared" si="20"/>
        <v>ZR200x1,5</v>
      </c>
      <c r="B25" s="3" t="str">
        <f t="shared" si="21"/>
        <v>200</v>
      </c>
      <c r="C25" s="3">
        <f t="shared" si="22"/>
        <v>49</v>
      </c>
      <c r="D25" s="3">
        <f t="shared" si="23"/>
        <v>57</v>
      </c>
      <c r="E25" s="3">
        <f t="shared" si="24"/>
        <v>20</v>
      </c>
      <c r="F25" s="4" t="str">
        <f t="shared" si="25"/>
        <v>ZR200</v>
      </c>
      <c r="G25" s="81" t="s">
        <v>68</v>
      </c>
      <c r="H25" s="117">
        <v>1.5</v>
      </c>
      <c r="I25" s="112">
        <v>5.19</v>
      </c>
      <c r="J25" s="112">
        <v>285.51</v>
      </c>
      <c r="K25" s="112">
        <v>27.91</v>
      </c>
      <c r="L25" s="112">
        <v>30.19</v>
      </c>
      <c r="M25" s="112">
        <v>5.08</v>
      </c>
      <c r="N25" s="112">
        <v>7.41</v>
      </c>
      <c r="O25" s="112">
        <v>2.41</v>
      </c>
      <c r="P25" s="96">
        <v>4.66</v>
      </c>
      <c r="Q25" s="259">
        <f t="shared" si="11"/>
        <v>4.66</v>
      </c>
      <c r="R25" s="96">
        <v>9.77</v>
      </c>
      <c r="S25" s="259">
        <f t="shared" si="12"/>
        <v>9.77</v>
      </c>
      <c r="T25" s="112">
        <v>4.09</v>
      </c>
      <c r="U25" s="234"/>
      <c r="V25" s="253">
        <v>3.9100000000000003E-2</v>
      </c>
      <c r="W25" s="139"/>
      <c r="X25" s="86"/>
      <c r="Z25" s="244">
        <f t="shared" si="13"/>
        <v>25.132741228718345</v>
      </c>
      <c r="AA25" s="244">
        <f t="shared" si="14"/>
        <v>34.557519189487721</v>
      </c>
      <c r="AB25" s="335">
        <f t="shared" si="15"/>
        <v>117</v>
      </c>
      <c r="AC25" s="335">
        <f t="shared" si="16"/>
        <v>88.143600000000006</v>
      </c>
      <c r="AD25" s="335">
        <f t="shared" si="7"/>
        <v>38</v>
      </c>
      <c r="AE25" s="335">
        <f t="shared" si="8"/>
        <v>46</v>
      </c>
      <c r="AF25" s="335">
        <f t="shared" si="9"/>
        <v>14.5</v>
      </c>
      <c r="AG25" s="195">
        <f t="shared" si="17"/>
        <v>69.597746041820614</v>
      </c>
      <c r="AH25" s="336">
        <f t="shared" si="10"/>
        <v>0.7457138047087587</v>
      </c>
      <c r="AI25" s="195">
        <f t="shared" si="18"/>
        <v>0.75</v>
      </c>
      <c r="AJ25" s="195">
        <f t="shared" si="19"/>
        <v>4.2861952912413015E-3</v>
      </c>
    </row>
    <row r="26" spans="1:38" ht="15" customHeight="1" x14ac:dyDescent="0.25">
      <c r="A26" s="72" t="str">
        <f t="shared" si="20"/>
        <v>ZR200x2,0</v>
      </c>
      <c r="B26" s="3" t="str">
        <f t="shared" si="21"/>
        <v>200</v>
      </c>
      <c r="C26" s="3">
        <f t="shared" si="22"/>
        <v>50</v>
      </c>
      <c r="D26" s="3">
        <f t="shared" si="23"/>
        <v>58</v>
      </c>
      <c r="E26" s="3">
        <f t="shared" si="24"/>
        <v>21</v>
      </c>
      <c r="F26" s="4" t="str">
        <f t="shared" si="25"/>
        <v>ZR200</v>
      </c>
      <c r="G26" s="81" t="s">
        <v>69</v>
      </c>
      <c r="H26" s="117">
        <v>2</v>
      </c>
      <c r="I26" s="112">
        <v>6.95</v>
      </c>
      <c r="J26" s="112">
        <v>381.44</v>
      </c>
      <c r="K26" s="112">
        <v>37.29</v>
      </c>
      <c r="L26" s="112">
        <v>41.87</v>
      </c>
      <c r="M26" s="112">
        <v>6.9</v>
      </c>
      <c r="N26" s="112">
        <v>7.4</v>
      </c>
      <c r="O26" s="112">
        <v>2.4500000000000002</v>
      </c>
      <c r="P26" s="96">
        <v>4.74</v>
      </c>
      <c r="Q26" s="259">
        <f t="shared" si="11"/>
        <v>4.74</v>
      </c>
      <c r="R26" s="96">
        <v>9.77</v>
      </c>
      <c r="S26" s="259">
        <f t="shared" si="12"/>
        <v>9.77</v>
      </c>
      <c r="T26" s="112">
        <v>5.48</v>
      </c>
      <c r="U26" s="234"/>
      <c r="V26" s="253">
        <v>9.3100000000000002E-2</v>
      </c>
      <c r="W26" s="139"/>
      <c r="X26" s="86"/>
      <c r="Z26" s="244">
        <f t="shared" si="13"/>
        <v>25.132741228718345</v>
      </c>
      <c r="AA26" s="244">
        <f t="shared" si="14"/>
        <v>37.699111843077517</v>
      </c>
      <c r="AB26" s="335">
        <f t="shared" si="15"/>
        <v>116</v>
      </c>
      <c r="AC26" s="335">
        <f t="shared" si="16"/>
        <v>88.243600000000001</v>
      </c>
      <c r="AD26" s="335">
        <f t="shared" si="7"/>
        <v>38</v>
      </c>
      <c r="AE26" s="335">
        <f t="shared" si="8"/>
        <v>46</v>
      </c>
      <c r="AF26" s="335">
        <f t="shared" si="9"/>
        <v>15</v>
      </c>
      <c r="AG26" s="195">
        <f t="shared" si="17"/>
        <v>69.931905307179591</v>
      </c>
      <c r="AH26" s="336">
        <f t="shared" si="10"/>
        <v>0.99382391620416421</v>
      </c>
      <c r="AI26" s="195">
        <f t="shared" si="18"/>
        <v>1</v>
      </c>
      <c r="AJ26" s="195">
        <f t="shared" si="19"/>
        <v>6.176083795835785E-3</v>
      </c>
    </row>
    <row r="27" spans="1:38" ht="15" customHeight="1" x14ac:dyDescent="0.25">
      <c r="A27" s="72" t="str">
        <f t="shared" si="20"/>
        <v>ZR200x2,5</v>
      </c>
      <c r="B27" s="3" t="str">
        <f t="shared" si="21"/>
        <v>200</v>
      </c>
      <c r="C27" s="3">
        <f t="shared" si="22"/>
        <v>51</v>
      </c>
      <c r="D27" s="3">
        <f t="shared" si="23"/>
        <v>59</v>
      </c>
      <c r="E27" s="3">
        <f t="shared" si="24"/>
        <v>22</v>
      </c>
      <c r="F27" s="4" t="str">
        <f t="shared" si="25"/>
        <v>ZR200</v>
      </c>
      <c r="G27" s="81" t="s">
        <v>70</v>
      </c>
      <c r="H27" s="117">
        <v>2.5</v>
      </c>
      <c r="I27" s="112">
        <v>8.73</v>
      </c>
      <c r="J27" s="112">
        <v>477.66</v>
      </c>
      <c r="K27" s="112">
        <v>46.71</v>
      </c>
      <c r="L27" s="112">
        <v>54.42</v>
      </c>
      <c r="M27" s="112">
        <v>8.7899999999999991</v>
      </c>
      <c r="N27" s="112">
        <v>7.39</v>
      </c>
      <c r="O27" s="112">
        <v>2.4900000000000002</v>
      </c>
      <c r="P27" s="96">
        <v>4.8099999999999996</v>
      </c>
      <c r="Q27" s="259">
        <f t="shared" si="11"/>
        <v>4.8099999999999996</v>
      </c>
      <c r="R27" s="96">
        <v>9.77</v>
      </c>
      <c r="S27" s="259">
        <f t="shared" si="12"/>
        <v>9.77</v>
      </c>
      <c r="T27" s="112">
        <v>6.9</v>
      </c>
      <c r="U27" s="234"/>
      <c r="V27" s="253">
        <v>0.18279999999999999</v>
      </c>
      <c r="W27" s="139"/>
      <c r="X27" s="86"/>
      <c r="Z27" s="244">
        <f t="shared" si="13"/>
        <v>25.132741228718345</v>
      </c>
      <c r="AA27" s="244">
        <f t="shared" si="14"/>
        <v>40.840704496667314</v>
      </c>
      <c r="AB27" s="335">
        <f t="shared" si="15"/>
        <v>115</v>
      </c>
      <c r="AC27" s="335">
        <f t="shared" si="16"/>
        <v>88.346599999999995</v>
      </c>
      <c r="AD27" s="335">
        <f t="shared" si="7"/>
        <v>38</v>
      </c>
      <c r="AE27" s="335">
        <f t="shared" si="8"/>
        <v>46</v>
      </c>
      <c r="AF27" s="335">
        <f t="shared" si="9"/>
        <v>15.5</v>
      </c>
      <c r="AG27" s="195">
        <f t="shared" si="17"/>
        <v>70.266664572538559</v>
      </c>
      <c r="AH27" s="336">
        <f t="shared" si="10"/>
        <v>1.242409904199699</v>
      </c>
      <c r="AI27" s="195">
        <f t="shared" si="18"/>
        <v>1.25</v>
      </c>
      <c r="AJ27" s="195">
        <f t="shared" si="19"/>
        <v>7.5900958003010111E-3</v>
      </c>
    </row>
    <row r="28" spans="1:38" ht="15" customHeight="1" thickBot="1" x14ac:dyDescent="0.3">
      <c r="A28" s="73" t="str">
        <f t="shared" si="20"/>
        <v>ZR200x3,0</v>
      </c>
      <c r="B28" s="5" t="str">
        <f t="shared" si="21"/>
        <v>200</v>
      </c>
      <c r="C28" s="5">
        <f t="shared" si="22"/>
        <v>52</v>
      </c>
      <c r="D28" s="5">
        <f t="shared" si="23"/>
        <v>60</v>
      </c>
      <c r="E28" s="5">
        <f t="shared" si="24"/>
        <v>23</v>
      </c>
      <c r="F28" s="6" t="str">
        <f t="shared" si="25"/>
        <v>ZR200</v>
      </c>
      <c r="G28" s="82" t="s">
        <v>71</v>
      </c>
      <c r="H28" s="118">
        <v>3</v>
      </c>
      <c r="I28" s="113">
        <v>10.52</v>
      </c>
      <c r="J28" s="113">
        <v>574.16</v>
      </c>
      <c r="K28" s="113">
        <v>56.15</v>
      </c>
      <c r="L28" s="113">
        <v>67.86</v>
      </c>
      <c r="M28" s="113">
        <v>10.75</v>
      </c>
      <c r="N28" s="113">
        <v>7.38</v>
      </c>
      <c r="O28" s="113">
        <v>2.5299999999999998</v>
      </c>
      <c r="P28" s="98">
        <v>4.8899999999999997</v>
      </c>
      <c r="Q28" s="260">
        <f t="shared" si="11"/>
        <v>4.8899999999999997</v>
      </c>
      <c r="R28" s="98">
        <v>9.7799999999999994</v>
      </c>
      <c r="S28" s="260">
        <f t="shared" si="12"/>
        <v>9.7799999999999994</v>
      </c>
      <c r="T28" s="113">
        <v>8.32</v>
      </c>
      <c r="U28" s="235"/>
      <c r="V28" s="255">
        <v>0.31730000000000003</v>
      </c>
      <c r="W28" s="141"/>
      <c r="X28" s="87"/>
      <c r="Z28" s="244">
        <f t="shared" si="13"/>
        <v>25.132741228718345</v>
      </c>
      <c r="AA28" s="244">
        <f t="shared" si="14"/>
        <v>43.982297150257104</v>
      </c>
      <c r="AB28" s="335">
        <f t="shared" si="15"/>
        <v>114</v>
      </c>
      <c r="AC28" s="335">
        <f t="shared" si="16"/>
        <v>88.452600000000004</v>
      </c>
      <c r="AD28" s="335">
        <f t="shared" si="7"/>
        <v>38</v>
      </c>
      <c r="AE28" s="335">
        <f t="shared" si="8"/>
        <v>46</v>
      </c>
      <c r="AF28" s="335">
        <f t="shared" si="9"/>
        <v>16</v>
      </c>
      <c r="AG28" s="195">
        <f t="shared" si="17"/>
        <v>70.602023837897548</v>
      </c>
      <c r="AH28" s="336">
        <f t="shared" si="10"/>
        <v>1.4900422718977504</v>
      </c>
      <c r="AI28" s="195">
        <f t="shared" si="18"/>
        <v>1.5</v>
      </c>
      <c r="AJ28" s="195">
        <f t="shared" si="19"/>
        <v>9.9577281022495967E-3</v>
      </c>
    </row>
    <row r="29" spans="1:38" ht="15" customHeight="1" x14ac:dyDescent="0.25">
      <c r="A29" s="71" t="str">
        <f t="shared" si="20"/>
        <v>ZR220x1,5</v>
      </c>
      <c r="B29" s="1" t="str">
        <f t="shared" si="21"/>
        <v>220</v>
      </c>
      <c r="C29" s="1">
        <f t="shared" si="22"/>
        <v>49</v>
      </c>
      <c r="D29" s="1">
        <f t="shared" si="23"/>
        <v>57</v>
      </c>
      <c r="E29" s="1">
        <f t="shared" si="24"/>
        <v>20</v>
      </c>
      <c r="F29" s="2" t="str">
        <f t="shared" si="25"/>
        <v>ZR220</v>
      </c>
      <c r="G29" s="80" t="s">
        <v>72</v>
      </c>
      <c r="H29" s="116">
        <v>1.5</v>
      </c>
      <c r="I29" s="111">
        <v>5.49</v>
      </c>
      <c r="J29" s="111">
        <v>358.68</v>
      </c>
      <c r="K29" s="111">
        <v>31.91</v>
      </c>
      <c r="L29" s="111">
        <v>30.19</v>
      </c>
      <c r="M29" s="111">
        <v>5.09</v>
      </c>
      <c r="N29" s="111">
        <v>8.08</v>
      </c>
      <c r="O29" s="111">
        <v>2.34</v>
      </c>
      <c r="P29" s="94">
        <v>4.67</v>
      </c>
      <c r="Q29" s="261">
        <f t="shared" si="11"/>
        <v>4.67</v>
      </c>
      <c r="R29" s="94">
        <v>10.76</v>
      </c>
      <c r="S29" s="261">
        <f t="shared" si="12"/>
        <v>10.76</v>
      </c>
      <c r="T29" s="111">
        <v>4.33</v>
      </c>
      <c r="U29" s="236"/>
      <c r="V29" s="254">
        <v>4.1399999999999999E-2</v>
      </c>
      <c r="W29" s="143"/>
      <c r="X29" s="85"/>
      <c r="Z29" s="244">
        <f t="shared" si="13"/>
        <v>25.132741228718345</v>
      </c>
      <c r="AA29" s="244">
        <f t="shared" si="14"/>
        <v>34.557519189487721</v>
      </c>
      <c r="AB29" s="335">
        <f t="shared" si="15"/>
        <v>137</v>
      </c>
      <c r="AC29" s="335">
        <f t="shared" si="16"/>
        <v>88.143600000000006</v>
      </c>
      <c r="AD29" s="335">
        <f t="shared" si="7"/>
        <v>38</v>
      </c>
      <c r="AE29" s="335">
        <f t="shared" si="8"/>
        <v>46</v>
      </c>
      <c r="AF29" s="335">
        <f t="shared" si="9"/>
        <v>14.5</v>
      </c>
      <c r="AG29" s="195">
        <f t="shared" si="17"/>
        <v>73.597746041820614</v>
      </c>
      <c r="AH29" s="336">
        <f t="shared" si="10"/>
        <v>0.74594675723906079</v>
      </c>
      <c r="AI29" s="195">
        <f t="shared" si="18"/>
        <v>0.75</v>
      </c>
      <c r="AJ29" s="195">
        <f t="shared" si="19"/>
        <v>4.053242760939213E-3</v>
      </c>
    </row>
    <row r="30" spans="1:38" ht="15" customHeight="1" x14ac:dyDescent="0.25">
      <c r="A30" s="72" t="str">
        <f t="shared" si="20"/>
        <v>ZR220x2,0</v>
      </c>
      <c r="B30" s="3" t="str">
        <f t="shared" si="21"/>
        <v>220</v>
      </c>
      <c r="C30" s="3">
        <f t="shared" si="22"/>
        <v>50</v>
      </c>
      <c r="D30" s="3">
        <f t="shared" si="23"/>
        <v>58</v>
      </c>
      <c r="E30" s="3">
        <f t="shared" si="24"/>
        <v>21</v>
      </c>
      <c r="F30" s="4" t="str">
        <f t="shared" si="25"/>
        <v>ZR220</v>
      </c>
      <c r="G30" s="81" t="s">
        <v>73</v>
      </c>
      <c r="H30" s="117">
        <v>2</v>
      </c>
      <c r="I30" s="112">
        <v>7.35</v>
      </c>
      <c r="J30" s="112">
        <v>479.39</v>
      </c>
      <c r="K30" s="112">
        <v>42.66</v>
      </c>
      <c r="L30" s="112">
        <v>41.88</v>
      </c>
      <c r="M30" s="112">
        <v>6.91</v>
      </c>
      <c r="N30" s="112">
        <v>8.07</v>
      </c>
      <c r="O30" s="112">
        <v>2.38</v>
      </c>
      <c r="P30" s="96">
        <v>4.75</v>
      </c>
      <c r="Q30" s="259">
        <f t="shared" si="11"/>
        <v>4.75</v>
      </c>
      <c r="R30" s="96">
        <v>10.76</v>
      </c>
      <c r="S30" s="259">
        <f t="shared" si="12"/>
        <v>10.76</v>
      </c>
      <c r="T30" s="112">
        <v>5.8</v>
      </c>
      <c r="U30" s="234"/>
      <c r="V30" s="253">
        <v>9.8500000000000004E-2</v>
      </c>
      <c r="W30" s="139"/>
      <c r="X30" s="86"/>
      <c r="Z30" s="244">
        <f t="shared" si="13"/>
        <v>25.132741228718345</v>
      </c>
      <c r="AA30" s="244">
        <f t="shared" si="14"/>
        <v>37.699111843077517</v>
      </c>
      <c r="AB30" s="335">
        <f t="shared" si="15"/>
        <v>136</v>
      </c>
      <c r="AC30" s="335">
        <f t="shared" si="16"/>
        <v>88.243600000000001</v>
      </c>
      <c r="AD30" s="335">
        <f t="shared" si="7"/>
        <v>38</v>
      </c>
      <c r="AE30" s="335">
        <f t="shared" si="8"/>
        <v>46</v>
      </c>
      <c r="AF30" s="335">
        <f t="shared" si="9"/>
        <v>15</v>
      </c>
      <c r="AG30" s="195">
        <f t="shared" si="17"/>
        <v>73.931905307179591</v>
      </c>
      <c r="AH30" s="336">
        <f t="shared" si="10"/>
        <v>0.99415806605571611</v>
      </c>
      <c r="AI30" s="195">
        <f t="shared" si="18"/>
        <v>1</v>
      </c>
      <c r="AJ30" s="195">
        <f t="shared" si="19"/>
        <v>5.8419339442838947E-3</v>
      </c>
    </row>
    <row r="31" spans="1:38" ht="15" customHeight="1" x14ac:dyDescent="0.25">
      <c r="A31" s="72" t="str">
        <f t="shared" si="20"/>
        <v>ZR220x2,5</v>
      </c>
      <c r="B31" s="3" t="str">
        <f t="shared" si="21"/>
        <v>220</v>
      </c>
      <c r="C31" s="3">
        <f t="shared" si="22"/>
        <v>51</v>
      </c>
      <c r="D31" s="3">
        <f t="shared" si="23"/>
        <v>59</v>
      </c>
      <c r="E31" s="3">
        <f t="shared" si="24"/>
        <v>22</v>
      </c>
      <c r="F31" s="4" t="str">
        <f t="shared" si="25"/>
        <v>ZR220</v>
      </c>
      <c r="G31" s="81" t="s">
        <v>74</v>
      </c>
      <c r="H31" s="117">
        <v>2.5</v>
      </c>
      <c r="I31" s="112">
        <v>9.23</v>
      </c>
      <c r="J31" s="112">
        <v>600.6</v>
      </c>
      <c r="K31" s="112">
        <v>53.45</v>
      </c>
      <c r="L31" s="112">
        <v>54.43</v>
      </c>
      <c r="M31" s="112">
        <v>8.81</v>
      </c>
      <c r="N31" s="112">
        <v>8.06</v>
      </c>
      <c r="O31" s="112">
        <v>2.42</v>
      </c>
      <c r="P31" s="96">
        <v>4.82</v>
      </c>
      <c r="Q31" s="259">
        <f t="shared" si="11"/>
        <v>4.82</v>
      </c>
      <c r="R31" s="96">
        <v>10.76</v>
      </c>
      <c r="S31" s="259">
        <f t="shared" si="12"/>
        <v>10.76</v>
      </c>
      <c r="T31" s="112">
        <v>7.29</v>
      </c>
      <c r="U31" s="234"/>
      <c r="V31" s="253">
        <v>0.19320000000000001</v>
      </c>
      <c r="W31" s="139"/>
      <c r="X31" s="86"/>
      <c r="Z31" s="244">
        <f t="shared" si="13"/>
        <v>25.132741228718345</v>
      </c>
      <c r="AA31" s="244">
        <f t="shared" si="14"/>
        <v>40.840704496667314</v>
      </c>
      <c r="AB31" s="335">
        <f t="shared" si="15"/>
        <v>135</v>
      </c>
      <c r="AC31" s="335">
        <f t="shared" si="16"/>
        <v>88.346599999999995</v>
      </c>
      <c r="AD31" s="335">
        <f t="shared" si="7"/>
        <v>38</v>
      </c>
      <c r="AE31" s="335">
        <f t="shared" si="8"/>
        <v>46</v>
      </c>
      <c r="AF31" s="335">
        <f t="shared" si="9"/>
        <v>15.5</v>
      </c>
      <c r="AG31" s="195">
        <f t="shared" si="17"/>
        <v>74.266664572538559</v>
      </c>
      <c r="AH31" s="336">
        <f t="shared" si="10"/>
        <v>1.2428187064984955</v>
      </c>
      <c r="AI31" s="195">
        <f t="shared" si="18"/>
        <v>1.25</v>
      </c>
      <c r="AJ31" s="195">
        <f t="shared" si="19"/>
        <v>7.1812935015045376E-3</v>
      </c>
    </row>
    <row r="32" spans="1:38" ht="15" customHeight="1" thickBot="1" x14ac:dyDescent="0.3">
      <c r="A32" s="126" t="str">
        <f t="shared" si="20"/>
        <v>ZR220x3,0</v>
      </c>
      <c r="B32" s="14" t="str">
        <f t="shared" si="21"/>
        <v>220</v>
      </c>
      <c r="C32" s="14">
        <f t="shared" si="22"/>
        <v>52</v>
      </c>
      <c r="D32" s="14">
        <f t="shared" si="23"/>
        <v>60</v>
      </c>
      <c r="E32" s="14">
        <f t="shared" si="24"/>
        <v>23</v>
      </c>
      <c r="F32" s="7" t="str">
        <f t="shared" si="25"/>
        <v>ZR220</v>
      </c>
      <c r="G32" s="151" t="s">
        <v>75</v>
      </c>
      <c r="H32" s="152">
        <v>3</v>
      </c>
      <c r="I32" s="199">
        <v>11.12</v>
      </c>
      <c r="J32" s="199">
        <v>722.26</v>
      </c>
      <c r="K32" s="199">
        <v>64.290000000000006</v>
      </c>
      <c r="L32" s="199">
        <v>67.88</v>
      </c>
      <c r="M32" s="199">
        <v>10.77</v>
      </c>
      <c r="N32" s="199">
        <v>8.0500000000000007</v>
      </c>
      <c r="O32" s="199">
        <v>2.4700000000000002</v>
      </c>
      <c r="P32" s="108">
        <v>4.9000000000000004</v>
      </c>
      <c r="Q32" s="262">
        <f t="shared" si="11"/>
        <v>4.9000000000000004</v>
      </c>
      <c r="R32" s="108">
        <v>10.77</v>
      </c>
      <c r="S32" s="262">
        <f t="shared" si="12"/>
        <v>10.77</v>
      </c>
      <c r="T32" s="199">
        <v>8.7899999999999991</v>
      </c>
      <c r="U32" s="238"/>
      <c r="V32" s="333">
        <v>0.33529999999999999</v>
      </c>
      <c r="W32" s="200"/>
      <c r="X32" s="201"/>
      <c r="Z32" s="244">
        <f t="shared" si="13"/>
        <v>25.132741228718345</v>
      </c>
      <c r="AA32" s="244">
        <f t="shared" si="14"/>
        <v>43.982297150257104</v>
      </c>
      <c r="AB32" s="335">
        <f t="shared" si="15"/>
        <v>134</v>
      </c>
      <c r="AC32" s="335">
        <f t="shared" si="16"/>
        <v>88.452600000000004</v>
      </c>
      <c r="AD32" s="335">
        <f t="shared" si="7"/>
        <v>38</v>
      </c>
      <c r="AE32" s="335">
        <f t="shared" si="8"/>
        <v>46</v>
      </c>
      <c r="AF32" s="335">
        <f t="shared" si="9"/>
        <v>16</v>
      </c>
      <c r="AG32" s="195">
        <f t="shared" si="17"/>
        <v>74.602023837897548</v>
      </c>
      <c r="AH32" s="336">
        <f t="shared" si="10"/>
        <v>1.4905761838529479</v>
      </c>
      <c r="AI32" s="195">
        <f t="shared" si="18"/>
        <v>1.5</v>
      </c>
      <c r="AJ32" s="195">
        <f t="shared" si="19"/>
        <v>9.423816147052122E-3</v>
      </c>
    </row>
    <row r="33" spans="1:36" ht="15" customHeight="1" x14ac:dyDescent="0.25">
      <c r="A33" s="71" t="str">
        <f t="shared" ref="A33:A34" si="32">CONCATENATE(F33,"x",(IF(H33=INT(H33),CONCATENATE(H33,",",0),H33)))</f>
        <v>ZR250x1,0</v>
      </c>
      <c r="B33" s="1" t="str">
        <f t="shared" ref="B33:B34" si="33">LEFT(G33,3)</f>
        <v>250</v>
      </c>
      <c r="C33" s="1">
        <f t="shared" ref="C33:C34" si="34">VALUE(MID(G33,(SEARCH("/",G33,1)+1),(SEARCH("/",G33,(SEARCH("/",G33,1)+1))-SEARCH("/",G33,1)-1)))</f>
        <v>63</v>
      </c>
      <c r="D33" s="1">
        <f t="shared" ref="D33:D34" si="35">VALUE(MID(G33,(SEARCH("/",G33,(SEARCH("/",G33,1)+1))+1),(SEARCH("/",G33,SEARCH("/",G33,(SEARCH("/",G33,1)+1))+1))-(SEARCH("/",G33,(SEARCH("/",G33,1)+1))+1)))</f>
        <v>73</v>
      </c>
      <c r="E33" s="1">
        <f t="shared" ref="E33:E34" si="36">VALUE(MID(G33,(SEARCH("/",G33,SEARCH("/",G33,(SEARCH("/",G33,1)+1))+1)+1),4))</f>
        <v>20</v>
      </c>
      <c r="F33" s="2" t="str">
        <f t="shared" ref="F33:F34" si="37">CONCATENATE("ZR",LEFT(G33,3))</f>
        <v>ZR250</v>
      </c>
      <c r="G33" s="80" t="s">
        <v>76</v>
      </c>
      <c r="H33" s="116">
        <v>1</v>
      </c>
      <c r="I33" s="111">
        <v>4.32</v>
      </c>
      <c r="J33" s="111">
        <v>380.67</v>
      </c>
      <c r="K33" s="111">
        <v>29.78</v>
      </c>
      <c r="L33" s="111">
        <v>39.78</v>
      </c>
      <c r="M33" s="111">
        <v>5.45</v>
      </c>
      <c r="N33" s="111">
        <v>9.3699999999999992</v>
      </c>
      <c r="O33" s="111">
        <v>3.03</v>
      </c>
      <c r="P33" s="94">
        <v>6.2</v>
      </c>
      <c r="Q33" s="261">
        <f t="shared" si="11"/>
        <v>6.2</v>
      </c>
      <c r="R33" s="94">
        <v>12.22</v>
      </c>
      <c r="S33" s="261">
        <f t="shared" si="12"/>
        <v>12.22</v>
      </c>
      <c r="T33" s="111">
        <v>3.49</v>
      </c>
      <c r="U33" s="236"/>
      <c r="V33" s="142"/>
      <c r="W33" s="143"/>
      <c r="X33" s="85"/>
      <c r="Z33" s="244">
        <f t="shared" si="13"/>
        <v>25.132741228718345</v>
      </c>
      <c r="AA33" s="244">
        <f t="shared" si="14"/>
        <v>31.415926535897931</v>
      </c>
      <c r="AB33" s="335">
        <f t="shared" si="15"/>
        <v>168</v>
      </c>
      <c r="AC33" s="335">
        <f t="shared" si="16"/>
        <v>88.046400000000006</v>
      </c>
      <c r="AD33" s="335">
        <f t="shared" si="7"/>
        <v>53</v>
      </c>
      <c r="AE33" s="335">
        <f t="shared" si="8"/>
        <v>63</v>
      </c>
      <c r="AF33" s="335">
        <f t="shared" si="9"/>
        <v>15</v>
      </c>
      <c r="AG33" s="195">
        <f t="shared" si="17"/>
        <v>86.064146776461627</v>
      </c>
      <c r="AH33" s="336">
        <f t="shared" si="10"/>
        <v>0.50195117964981806</v>
      </c>
      <c r="AI33" s="195">
        <f t="shared" si="18"/>
        <v>0.5</v>
      </c>
      <c r="AJ33" s="195">
        <f t="shared" si="19"/>
        <v>1.9511796498180578E-3</v>
      </c>
    </row>
    <row r="34" spans="1:36" ht="15" customHeight="1" x14ac:dyDescent="0.25">
      <c r="A34" s="72" t="str">
        <f t="shared" si="32"/>
        <v>ZR250x1,2</v>
      </c>
      <c r="B34" s="3" t="str">
        <f t="shared" si="33"/>
        <v>250</v>
      </c>
      <c r="C34" s="3">
        <f t="shared" si="34"/>
        <v>63</v>
      </c>
      <c r="D34" s="3">
        <f t="shared" si="35"/>
        <v>73</v>
      </c>
      <c r="E34" s="3">
        <f t="shared" si="36"/>
        <v>20</v>
      </c>
      <c r="F34" s="4" t="str">
        <f t="shared" si="37"/>
        <v>ZR250</v>
      </c>
      <c r="G34" s="81" t="s">
        <v>76</v>
      </c>
      <c r="H34" s="117">
        <v>1.2</v>
      </c>
      <c r="I34" s="112">
        <v>5.2</v>
      </c>
      <c r="J34" s="112">
        <v>457.15</v>
      </c>
      <c r="K34" s="112">
        <v>35.770000000000003</v>
      </c>
      <c r="L34" s="112">
        <v>48.33</v>
      </c>
      <c r="M34" s="112">
        <v>6.62</v>
      </c>
      <c r="N34" s="112">
        <v>9.3699999999999992</v>
      </c>
      <c r="O34" s="112">
        <v>3.04</v>
      </c>
      <c r="P34" s="96">
        <v>6.19</v>
      </c>
      <c r="Q34" s="259">
        <f t="shared" si="11"/>
        <v>6.19</v>
      </c>
      <c r="R34" s="96">
        <v>12.22</v>
      </c>
      <c r="S34" s="259">
        <f t="shared" si="12"/>
        <v>12.22</v>
      </c>
      <c r="T34" s="112">
        <v>4.18</v>
      </c>
      <c r="U34" s="234"/>
      <c r="V34" s="138"/>
      <c r="W34" s="139"/>
      <c r="X34" s="86"/>
      <c r="Z34" s="244">
        <f t="shared" si="13"/>
        <v>25.132741228718345</v>
      </c>
      <c r="AA34" s="244">
        <f t="shared" si="14"/>
        <v>32.672563597333848</v>
      </c>
      <c r="AB34" s="335">
        <f t="shared" si="15"/>
        <v>167.6</v>
      </c>
      <c r="AC34" s="335">
        <f t="shared" si="16"/>
        <v>88.084900000000005</v>
      </c>
      <c r="AD34" s="335">
        <f t="shared" si="7"/>
        <v>52.6</v>
      </c>
      <c r="AE34" s="335">
        <f t="shared" si="8"/>
        <v>62.6</v>
      </c>
      <c r="AF34" s="335">
        <f t="shared" si="9"/>
        <v>14.8</v>
      </c>
      <c r="AG34" s="195">
        <f t="shared" si="17"/>
        <v>85.877510482605231</v>
      </c>
      <c r="AH34" s="336">
        <f t="shared" si="10"/>
        <v>0.6055135938125823</v>
      </c>
      <c r="AI34" s="195">
        <f t="shared" si="18"/>
        <v>0.6</v>
      </c>
      <c r="AJ34" s="195">
        <f t="shared" si="19"/>
        <v>5.5135938125823181E-3</v>
      </c>
    </row>
    <row r="35" spans="1:36" ht="15" customHeight="1" x14ac:dyDescent="0.25">
      <c r="A35" s="72" t="str">
        <f t="shared" si="20"/>
        <v>ZR250x2,0</v>
      </c>
      <c r="B35" s="3" t="str">
        <f t="shared" si="21"/>
        <v>250</v>
      </c>
      <c r="C35" s="3">
        <f t="shared" si="22"/>
        <v>63</v>
      </c>
      <c r="D35" s="3">
        <f t="shared" si="23"/>
        <v>73</v>
      </c>
      <c r="E35" s="3">
        <f t="shared" si="24"/>
        <v>20</v>
      </c>
      <c r="F35" s="4" t="str">
        <f t="shared" si="25"/>
        <v>ZR250</v>
      </c>
      <c r="G35" s="81" t="s">
        <v>76</v>
      </c>
      <c r="H35" s="117">
        <v>2</v>
      </c>
      <c r="I35" s="112">
        <v>8.4700000000000006</v>
      </c>
      <c r="J35" s="112">
        <v>734.59</v>
      </c>
      <c r="K35" s="112">
        <v>57.42</v>
      </c>
      <c r="L35" s="112">
        <v>72.02</v>
      </c>
      <c r="M35" s="112">
        <v>9.64</v>
      </c>
      <c r="N35" s="112">
        <v>9.3000000000000007</v>
      </c>
      <c r="O35" s="112">
        <v>2.91</v>
      </c>
      <c r="P35" s="96">
        <v>6.13</v>
      </c>
      <c r="Q35" s="259">
        <f t="shared" si="11"/>
        <v>6.13</v>
      </c>
      <c r="R35" s="96">
        <v>12.21</v>
      </c>
      <c r="S35" s="259">
        <f t="shared" si="12"/>
        <v>12.21</v>
      </c>
      <c r="T35" s="112">
        <v>6.68</v>
      </c>
      <c r="U35" s="234"/>
      <c r="V35" s="253">
        <v>0.114</v>
      </c>
      <c r="W35" s="112">
        <v>0.2268</v>
      </c>
      <c r="X35" s="77">
        <v>1055.1538</v>
      </c>
      <c r="Z35" s="244">
        <f t="shared" si="13"/>
        <v>25.132741228718345</v>
      </c>
      <c r="AA35" s="244">
        <f t="shared" si="14"/>
        <v>37.699111843077517</v>
      </c>
      <c r="AB35" s="335">
        <f t="shared" si="15"/>
        <v>166</v>
      </c>
      <c r="AC35" s="335">
        <f t="shared" si="16"/>
        <v>88.243600000000001</v>
      </c>
      <c r="AD35" s="335">
        <f t="shared" si="7"/>
        <v>51</v>
      </c>
      <c r="AE35" s="335">
        <f t="shared" si="8"/>
        <v>61</v>
      </c>
      <c r="AF35" s="335">
        <f t="shared" si="9"/>
        <v>14</v>
      </c>
      <c r="AG35" s="195">
        <f t="shared" si="17"/>
        <v>85.131905307179593</v>
      </c>
      <c r="AH35" s="336">
        <f t="shared" si="10"/>
        <v>0.99492663407894888</v>
      </c>
      <c r="AI35" s="195">
        <f t="shared" si="18"/>
        <v>1</v>
      </c>
      <c r="AJ35" s="195">
        <f t="shared" si="19"/>
        <v>5.0733659210511206E-3</v>
      </c>
    </row>
    <row r="36" spans="1:36" ht="15" customHeight="1" x14ac:dyDescent="0.25">
      <c r="A36" s="72" t="str">
        <f t="shared" si="20"/>
        <v>ZR250x2,5</v>
      </c>
      <c r="B36" s="3" t="str">
        <f t="shared" si="21"/>
        <v>250</v>
      </c>
      <c r="C36" s="3">
        <f t="shared" si="22"/>
        <v>64</v>
      </c>
      <c r="D36" s="3">
        <f t="shared" si="23"/>
        <v>74</v>
      </c>
      <c r="E36" s="3">
        <f t="shared" si="24"/>
        <v>21</v>
      </c>
      <c r="F36" s="4" t="str">
        <f t="shared" si="25"/>
        <v>ZR250</v>
      </c>
      <c r="G36" s="81" t="s">
        <v>77</v>
      </c>
      <c r="H36" s="117">
        <v>2.5</v>
      </c>
      <c r="I36" s="112">
        <v>10.63</v>
      </c>
      <c r="J36" s="112">
        <v>920.15</v>
      </c>
      <c r="K36" s="112">
        <v>71.930000000000007</v>
      </c>
      <c r="L36" s="112">
        <v>93.15</v>
      </c>
      <c r="M36" s="112">
        <v>12.26</v>
      </c>
      <c r="N36" s="112">
        <v>9.3000000000000007</v>
      </c>
      <c r="O36" s="112">
        <v>2.96</v>
      </c>
      <c r="P36" s="96">
        <v>6.21</v>
      </c>
      <c r="Q36" s="259">
        <f t="shared" si="11"/>
        <v>6.21</v>
      </c>
      <c r="R36" s="96">
        <v>12.21</v>
      </c>
      <c r="S36" s="259">
        <f t="shared" si="12"/>
        <v>12.21</v>
      </c>
      <c r="T36" s="112">
        <v>8.39</v>
      </c>
      <c r="U36" s="234"/>
      <c r="V36" s="253">
        <v>0.22239999999999999</v>
      </c>
      <c r="W36" s="112">
        <v>0.44469999999999998</v>
      </c>
      <c r="X36" s="77">
        <v>1352.2508</v>
      </c>
      <c r="Z36" s="244">
        <f t="shared" si="13"/>
        <v>25.132741228718345</v>
      </c>
      <c r="AA36" s="244">
        <f t="shared" si="14"/>
        <v>40.840704496667314</v>
      </c>
      <c r="AB36" s="335">
        <f t="shared" si="15"/>
        <v>165</v>
      </c>
      <c r="AC36" s="335">
        <f t="shared" si="16"/>
        <v>88.346599999999995</v>
      </c>
      <c r="AD36" s="335">
        <f t="shared" si="7"/>
        <v>51</v>
      </c>
      <c r="AE36" s="335">
        <f t="shared" si="8"/>
        <v>61</v>
      </c>
      <c r="AF36" s="335">
        <f t="shared" si="9"/>
        <v>14.5</v>
      </c>
      <c r="AG36" s="195">
        <f t="shared" si="17"/>
        <v>85.466664572538562</v>
      </c>
      <c r="AH36" s="336">
        <f t="shared" si="10"/>
        <v>1.2437597808649647</v>
      </c>
      <c r="AI36" s="195">
        <f t="shared" si="18"/>
        <v>1.25</v>
      </c>
      <c r="AJ36" s="195">
        <f t="shared" si="19"/>
        <v>6.2402191350352521E-3</v>
      </c>
    </row>
    <row r="37" spans="1:36" ht="15" customHeight="1" x14ac:dyDescent="0.25">
      <c r="A37" s="72" t="str">
        <f t="shared" si="20"/>
        <v>ZR250x3,0</v>
      </c>
      <c r="B37" s="3" t="str">
        <f t="shared" si="21"/>
        <v>250</v>
      </c>
      <c r="C37" s="3">
        <f t="shared" si="22"/>
        <v>65</v>
      </c>
      <c r="D37" s="3">
        <f t="shared" si="23"/>
        <v>75</v>
      </c>
      <c r="E37" s="3">
        <f t="shared" si="24"/>
        <v>22</v>
      </c>
      <c r="F37" s="4" t="str">
        <f t="shared" si="25"/>
        <v>ZR250</v>
      </c>
      <c r="G37" s="81" t="s">
        <v>78</v>
      </c>
      <c r="H37" s="117">
        <v>3</v>
      </c>
      <c r="I37" s="112">
        <v>12.8</v>
      </c>
      <c r="J37" s="112">
        <v>1106.3800000000001</v>
      </c>
      <c r="K37" s="112">
        <v>86.5</v>
      </c>
      <c r="L37" s="112">
        <v>115.62</v>
      </c>
      <c r="M37" s="112">
        <v>14.98</v>
      </c>
      <c r="N37" s="112">
        <v>9.2899999999999991</v>
      </c>
      <c r="O37" s="112">
        <v>3</v>
      </c>
      <c r="P37" s="96">
        <v>6.28</v>
      </c>
      <c r="Q37" s="259">
        <f t="shared" si="11"/>
        <v>6.28</v>
      </c>
      <c r="R37" s="96">
        <v>12.21</v>
      </c>
      <c r="S37" s="259">
        <f t="shared" si="12"/>
        <v>12.21</v>
      </c>
      <c r="T37" s="112">
        <v>10.11</v>
      </c>
      <c r="U37" s="234"/>
      <c r="V37" s="253">
        <v>0.38569999999999999</v>
      </c>
      <c r="W37" s="112">
        <v>0.77149999999999996</v>
      </c>
      <c r="X37" s="77">
        <v>1663.3282999999999</v>
      </c>
      <c r="Z37" s="244">
        <f t="shared" si="13"/>
        <v>25.132741228718345</v>
      </c>
      <c r="AA37" s="244">
        <f t="shared" si="14"/>
        <v>43.982297150257104</v>
      </c>
      <c r="AB37" s="335">
        <f t="shared" si="15"/>
        <v>164</v>
      </c>
      <c r="AC37" s="335">
        <f t="shared" si="16"/>
        <v>88.452600000000004</v>
      </c>
      <c r="AD37" s="335">
        <f t="shared" si="7"/>
        <v>51</v>
      </c>
      <c r="AE37" s="335">
        <f t="shared" si="8"/>
        <v>61</v>
      </c>
      <c r="AF37" s="335">
        <f t="shared" si="9"/>
        <v>15</v>
      </c>
      <c r="AG37" s="195">
        <f t="shared" si="17"/>
        <v>85.802023837897551</v>
      </c>
      <c r="AH37" s="336">
        <f t="shared" si="10"/>
        <v>1.4918063033317894</v>
      </c>
      <c r="AI37" s="195">
        <f t="shared" si="18"/>
        <v>1.5</v>
      </c>
      <c r="AJ37" s="195">
        <f t="shared" si="19"/>
        <v>8.1936966682105705E-3</v>
      </c>
    </row>
    <row r="38" spans="1:36" ht="15" customHeight="1" thickBot="1" x14ac:dyDescent="0.3">
      <c r="A38" s="73" t="str">
        <f t="shared" si="20"/>
        <v>ZR250x3,5</v>
      </c>
      <c r="B38" s="5" t="str">
        <f t="shared" si="21"/>
        <v>250</v>
      </c>
      <c r="C38" s="5">
        <f t="shared" si="22"/>
        <v>66</v>
      </c>
      <c r="D38" s="5">
        <f t="shared" si="23"/>
        <v>76</v>
      </c>
      <c r="E38" s="5">
        <f t="shared" si="24"/>
        <v>23</v>
      </c>
      <c r="F38" s="6" t="str">
        <f t="shared" si="25"/>
        <v>ZR250</v>
      </c>
      <c r="G38" s="82" t="s">
        <v>79</v>
      </c>
      <c r="H38" s="118">
        <v>3.5</v>
      </c>
      <c r="I38" s="113">
        <v>14.99</v>
      </c>
      <c r="J38" s="113">
        <v>1293.21</v>
      </c>
      <c r="K38" s="113">
        <v>101.12</v>
      </c>
      <c r="L38" s="113">
        <v>139.46</v>
      </c>
      <c r="M38" s="113">
        <v>17.79</v>
      </c>
      <c r="N38" s="113">
        <v>9.2799999999999994</v>
      </c>
      <c r="O38" s="113">
        <v>3.04</v>
      </c>
      <c r="P38" s="98">
        <v>6.36</v>
      </c>
      <c r="Q38" s="260">
        <f t="shared" si="11"/>
        <v>6.36</v>
      </c>
      <c r="R38" s="98">
        <v>12.21</v>
      </c>
      <c r="S38" s="260">
        <f t="shared" si="12"/>
        <v>12.21</v>
      </c>
      <c r="T38" s="113">
        <v>11.85</v>
      </c>
      <c r="U38" s="235"/>
      <c r="V38" s="255">
        <v>0.6149</v>
      </c>
      <c r="W38" s="112">
        <v>1.2298</v>
      </c>
      <c r="X38" s="77">
        <v>1988.7222999999999</v>
      </c>
      <c r="Z38" s="244">
        <f t="shared" si="13"/>
        <v>25.132741228718345</v>
      </c>
      <c r="AA38" s="244">
        <f t="shared" si="14"/>
        <v>47.123889803846893</v>
      </c>
      <c r="AB38" s="335">
        <f t="shared" si="15"/>
        <v>163</v>
      </c>
      <c r="AC38" s="335">
        <f t="shared" si="16"/>
        <v>88.561899999999994</v>
      </c>
      <c r="AD38" s="335">
        <f t="shared" si="7"/>
        <v>51</v>
      </c>
      <c r="AE38" s="335">
        <f t="shared" si="8"/>
        <v>61</v>
      </c>
      <c r="AF38" s="335">
        <f t="shared" si="9"/>
        <v>15.5</v>
      </c>
      <c r="AG38" s="195">
        <f t="shared" si="17"/>
        <v>86.138043103256521</v>
      </c>
      <c r="AH38" s="336">
        <f t="shared" si="10"/>
        <v>1.7402299216422867</v>
      </c>
      <c r="AI38" s="195">
        <f t="shared" si="18"/>
        <v>1.75</v>
      </c>
      <c r="AJ38" s="195">
        <f t="shared" si="19"/>
        <v>9.7700783577132633E-3</v>
      </c>
    </row>
    <row r="39" spans="1:36" ht="15" customHeight="1" x14ac:dyDescent="0.25">
      <c r="A39" s="71" t="str">
        <f t="shared" si="20"/>
        <v>ZR300x2,0</v>
      </c>
      <c r="B39" s="15" t="str">
        <f t="shared" si="21"/>
        <v>300</v>
      </c>
      <c r="C39" s="1">
        <f t="shared" si="22"/>
        <v>85</v>
      </c>
      <c r="D39" s="1">
        <f t="shared" si="23"/>
        <v>93</v>
      </c>
      <c r="E39" s="1">
        <f t="shared" si="24"/>
        <v>20.5</v>
      </c>
      <c r="F39" s="2" t="str">
        <f t="shared" si="25"/>
        <v>ZR300</v>
      </c>
      <c r="G39" s="80" t="s">
        <v>80</v>
      </c>
      <c r="H39" s="116">
        <v>2</v>
      </c>
      <c r="I39" s="111">
        <v>10.33</v>
      </c>
      <c r="J39" s="111">
        <v>1328.13</v>
      </c>
      <c r="K39" s="111">
        <v>87.2</v>
      </c>
      <c r="L39" s="111">
        <v>144.49</v>
      </c>
      <c r="M39" s="111">
        <v>15.28</v>
      </c>
      <c r="N39" s="111">
        <v>11.33</v>
      </c>
      <c r="O39" s="111">
        <v>3.73</v>
      </c>
      <c r="P39" s="94">
        <v>8.34</v>
      </c>
      <c r="Q39" s="261">
        <f t="shared" si="11"/>
        <v>8.34</v>
      </c>
      <c r="R39" s="94">
        <v>14.77</v>
      </c>
      <c r="S39" s="261">
        <f t="shared" si="12"/>
        <v>14.77</v>
      </c>
      <c r="T39" s="111">
        <v>8.14</v>
      </c>
      <c r="U39" s="236"/>
      <c r="V39" s="254">
        <v>0.13830000000000001</v>
      </c>
      <c r="W39" s="111">
        <v>0.27639999999999998</v>
      </c>
      <c r="X39" s="76">
        <v>2083.7332000000001</v>
      </c>
      <c r="Z39" s="244">
        <f t="shared" si="13"/>
        <v>25.132741228718345</v>
      </c>
      <c r="AA39" s="244">
        <f t="shared" si="14"/>
        <v>37.699111843077517</v>
      </c>
      <c r="AB39" s="335">
        <f t="shared" si="15"/>
        <v>216</v>
      </c>
      <c r="AC39" s="335">
        <f t="shared" si="16"/>
        <v>88.243600000000001</v>
      </c>
      <c r="AD39" s="335">
        <f t="shared" si="7"/>
        <v>73</v>
      </c>
      <c r="AE39" s="335">
        <f t="shared" si="8"/>
        <v>81</v>
      </c>
      <c r="AF39" s="335">
        <f t="shared" si="9"/>
        <v>14.5</v>
      </c>
      <c r="AG39" s="195">
        <f t="shared" si="17"/>
        <v>103.73190530717959</v>
      </c>
      <c r="AH39" s="336">
        <f t="shared" si="10"/>
        <v>0.99583633110853809</v>
      </c>
      <c r="AI39" s="195">
        <f t="shared" si="18"/>
        <v>1</v>
      </c>
      <c r="AJ39" s="195">
        <f t="shared" si="19"/>
        <v>4.1636688914619135E-3</v>
      </c>
    </row>
    <row r="40" spans="1:36" ht="15" customHeight="1" x14ac:dyDescent="0.25">
      <c r="A40" s="72" t="str">
        <f t="shared" si="20"/>
        <v>ZR300x2,5</v>
      </c>
      <c r="B40" s="3" t="str">
        <f t="shared" si="21"/>
        <v>300</v>
      </c>
      <c r="C40" s="3">
        <f t="shared" si="22"/>
        <v>86</v>
      </c>
      <c r="D40" s="3">
        <f t="shared" si="23"/>
        <v>94</v>
      </c>
      <c r="E40" s="3">
        <f t="shared" si="24"/>
        <v>21.5</v>
      </c>
      <c r="F40" s="4" t="str">
        <f t="shared" si="25"/>
        <v>ZR300</v>
      </c>
      <c r="G40" s="81" t="s">
        <v>81</v>
      </c>
      <c r="H40" s="117">
        <v>2.5</v>
      </c>
      <c r="I40" s="112">
        <v>12.95</v>
      </c>
      <c r="J40" s="112">
        <v>1663.04</v>
      </c>
      <c r="K40" s="112">
        <v>109.19</v>
      </c>
      <c r="L40" s="112">
        <v>185.78</v>
      </c>
      <c r="M40" s="112">
        <v>19.39</v>
      </c>
      <c r="N40" s="112">
        <v>11.32</v>
      </c>
      <c r="O40" s="112">
        <v>3.78</v>
      </c>
      <c r="P40" s="96">
        <v>8.42</v>
      </c>
      <c r="Q40" s="259">
        <f t="shared" si="11"/>
        <v>8.42</v>
      </c>
      <c r="R40" s="96">
        <v>14.77</v>
      </c>
      <c r="S40" s="259">
        <f t="shared" si="12"/>
        <v>14.77</v>
      </c>
      <c r="T40" s="112">
        <v>10.210000000000001</v>
      </c>
      <c r="U40" s="234"/>
      <c r="V40" s="253">
        <v>0.27079999999999999</v>
      </c>
      <c r="W40" s="112">
        <v>0.54159999999999997</v>
      </c>
      <c r="X40" s="77">
        <v>2657.6419999999998</v>
      </c>
      <c r="Z40" s="244">
        <f t="shared" si="13"/>
        <v>25.132741228718345</v>
      </c>
      <c r="AA40" s="244">
        <f t="shared" si="14"/>
        <v>40.840704496667314</v>
      </c>
      <c r="AB40" s="335">
        <f t="shared" si="15"/>
        <v>215</v>
      </c>
      <c r="AC40" s="335">
        <f t="shared" si="16"/>
        <v>88.346599999999995</v>
      </c>
      <c r="AD40" s="335">
        <f t="shared" si="7"/>
        <v>73</v>
      </c>
      <c r="AE40" s="335">
        <f t="shared" si="8"/>
        <v>81</v>
      </c>
      <c r="AF40" s="335">
        <f t="shared" si="9"/>
        <v>15</v>
      </c>
      <c r="AG40" s="195">
        <f t="shared" si="17"/>
        <v>104.06666457253854</v>
      </c>
      <c r="AH40" s="336">
        <f t="shared" si="10"/>
        <v>1.2443946438749693</v>
      </c>
      <c r="AI40" s="195">
        <f t="shared" si="18"/>
        <v>1.25</v>
      </c>
      <c r="AJ40" s="195">
        <f t="shared" si="19"/>
        <v>5.6053561250306583E-3</v>
      </c>
    </row>
    <row r="41" spans="1:36" ht="15" customHeight="1" x14ac:dyDescent="0.25">
      <c r="A41" s="72" t="str">
        <f t="shared" si="20"/>
        <v>ZR300x3,0</v>
      </c>
      <c r="B41" s="3" t="str">
        <f t="shared" si="21"/>
        <v>300</v>
      </c>
      <c r="C41" s="3">
        <f t="shared" si="22"/>
        <v>87</v>
      </c>
      <c r="D41" s="3">
        <f t="shared" si="23"/>
        <v>95</v>
      </c>
      <c r="E41" s="3">
        <f t="shared" si="24"/>
        <v>22.5</v>
      </c>
      <c r="F41" s="4" t="str">
        <f t="shared" si="25"/>
        <v>ZR300</v>
      </c>
      <c r="G41" s="81" t="s">
        <v>82</v>
      </c>
      <c r="H41" s="117">
        <v>3</v>
      </c>
      <c r="I41" s="112">
        <v>15.59</v>
      </c>
      <c r="J41" s="112">
        <v>1998.97</v>
      </c>
      <c r="K41" s="112">
        <v>131.26</v>
      </c>
      <c r="L41" s="112">
        <v>229.24</v>
      </c>
      <c r="M41" s="112">
        <v>23.62</v>
      </c>
      <c r="N41" s="112">
        <v>11.32</v>
      </c>
      <c r="O41" s="112">
        <v>3.83</v>
      </c>
      <c r="P41" s="96">
        <v>8.5</v>
      </c>
      <c r="Q41" s="259">
        <f t="shared" si="11"/>
        <v>8.5</v>
      </c>
      <c r="R41" s="96">
        <v>14.77</v>
      </c>
      <c r="S41" s="259">
        <f t="shared" si="12"/>
        <v>14.77</v>
      </c>
      <c r="T41" s="112">
        <v>12.3</v>
      </c>
      <c r="U41" s="234"/>
      <c r="V41" s="253">
        <v>0.46939999999999998</v>
      </c>
      <c r="W41" s="112">
        <v>0.93889999999999996</v>
      </c>
      <c r="X41" s="77">
        <v>3253.5771</v>
      </c>
      <c r="Z41" s="244">
        <f t="shared" si="13"/>
        <v>25.132741228718345</v>
      </c>
      <c r="AA41" s="244">
        <f t="shared" si="14"/>
        <v>43.982297150257104</v>
      </c>
      <c r="AB41" s="335">
        <f t="shared" si="15"/>
        <v>214</v>
      </c>
      <c r="AC41" s="335">
        <f t="shared" si="16"/>
        <v>88.452600000000004</v>
      </c>
      <c r="AD41" s="335">
        <f t="shared" si="7"/>
        <v>73</v>
      </c>
      <c r="AE41" s="335">
        <f t="shared" si="8"/>
        <v>81</v>
      </c>
      <c r="AF41" s="335">
        <f t="shared" si="9"/>
        <v>15.5</v>
      </c>
      <c r="AG41" s="195">
        <f t="shared" si="17"/>
        <v>104.40202383789756</v>
      </c>
      <c r="AH41" s="336">
        <f t="shared" si="10"/>
        <v>1.4932660715664101</v>
      </c>
      <c r="AI41" s="195">
        <f t="shared" si="18"/>
        <v>1.5</v>
      </c>
      <c r="AJ41" s="195">
        <f t="shared" si="19"/>
        <v>6.7339284335898864E-3</v>
      </c>
    </row>
    <row r="42" spans="1:36" ht="15" customHeight="1" thickBot="1" x14ac:dyDescent="0.3">
      <c r="A42" s="73" t="str">
        <f t="shared" si="20"/>
        <v>ZR300x3,5</v>
      </c>
      <c r="B42" s="14" t="str">
        <f t="shared" si="21"/>
        <v>300</v>
      </c>
      <c r="C42" s="14">
        <f t="shared" si="22"/>
        <v>88</v>
      </c>
      <c r="D42" s="14">
        <f t="shared" si="23"/>
        <v>96</v>
      </c>
      <c r="E42" s="14">
        <f t="shared" si="24"/>
        <v>23.5</v>
      </c>
      <c r="F42" s="7" t="str">
        <f t="shared" si="25"/>
        <v>ZR300</v>
      </c>
      <c r="G42" s="82" t="s">
        <v>83</v>
      </c>
      <c r="H42" s="118">
        <v>3.5</v>
      </c>
      <c r="I42" s="113">
        <v>18.239999999999998</v>
      </c>
      <c r="J42" s="113">
        <v>2335.85</v>
      </c>
      <c r="K42" s="113">
        <v>153.38999999999999</v>
      </c>
      <c r="L42" s="113">
        <v>274.94</v>
      </c>
      <c r="M42" s="113">
        <v>27.97</v>
      </c>
      <c r="N42" s="113">
        <v>11.31</v>
      </c>
      <c r="O42" s="113">
        <v>3.88</v>
      </c>
      <c r="P42" s="98">
        <v>8.57</v>
      </c>
      <c r="Q42" s="260">
        <f t="shared" si="11"/>
        <v>8.57</v>
      </c>
      <c r="R42" s="98">
        <v>14.77</v>
      </c>
      <c r="S42" s="260">
        <f t="shared" si="12"/>
        <v>14.77</v>
      </c>
      <c r="T42" s="113">
        <v>14.41</v>
      </c>
      <c r="U42" s="235"/>
      <c r="V42" s="255">
        <v>0.74780000000000002</v>
      </c>
      <c r="W42" s="113">
        <v>1.4956</v>
      </c>
      <c r="X42" s="78">
        <v>3871.9645</v>
      </c>
      <c r="Z42" s="244">
        <f t="shared" si="13"/>
        <v>25.132741228718345</v>
      </c>
      <c r="AA42" s="244">
        <f t="shared" si="14"/>
        <v>47.123889803846893</v>
      </c>
      <c r="AB42" s="335">
        <f t="shared" si="15"/>
        <v>213</v>
      </c>
      <c r="AC42" s="335">
        <f t="shared" si="16"/>
        <v>88.561899999999994</v>
      </c>
      <c r="AD42" s="335">
        <f t="shared" si="7"/>
        <v>73</v>
      </c>
      <c r="AE42" s="335">
        <f t="shared" si="8"/>
        <v>81</v>
      </c>
      <c r="AF42" s="335">
        <f t="shared" si="9"/>
        <v>16</v>
      </c>
      <c r="AG42" s="195">
        <f t="shared" si="17"/>
        <v>104.73804310325652</v>
      </c>
      <c r="AH42" s="336">
        <f t="shared" si="10"/>
        <v>1.7414875683726501</v>
      </c>
      <c r="AI42" s="195">
        <f t="shared" si="18"/>
        <v>1.75</v>
      </c>
      <c r="AJ42" s="195">
        <f t="shared" si="19"/>
        <v>8.5124316273499367E-3</v>
      </c>
    </row>
    <row r="43" spans="1:36" ht="15" customHeight="1" x14ac:dyDescent="0.25">
      <c r="A43" s="74" t="str">
        <f t="shared" si="20"/>
        <v>ZR350x2,0</v>
      </c>
      <c r="B43" s="1" t="str">
        <f t="shared" si="21"/>
        <v>350</v>
      </c>
      <c r="C43" s="1">
        <f t="shared" si="22"/>
        <v>94</v>
      </c>
      <c r="D43" s="1">
        <f t="shared" si="23"/>
        <v>100</v>
      </c>
      <c r="E43" s="1">
        <f t="shared" si="24"/>
        <v>23</v>
      </c>
      <c r="F43" s="2" t="str">
        <f t="shared" si="25"/>
        <v>ZR350</v>
      </c>
      <c r="G43" s="80" t="s">
        <v>84</v>
      </c>
      <c r="H43" s="116">
        <v>2</v>
      </c>
      <c r="I43" s="111">
        <v>11.75</v>
      </c>
      <c r="J43" s="111">
        <v>2036.29</v>
      </c>
      <c r="K43" s="111">
        <v>115.19</v>
      </c>
      <c r="L43" s="111">
        <v>189.85</v>
      </c>
      <c r="M43" s="111">
        <v>18.66</v>
      </c>
      <c r="N43" s="111">
        <v>13.16</v>
      </c>
      <c r="O43" s="111">
        <v>4.01</v>
      </c>
      <c r="P43" s="94">
        <v>9.23</v>
      </c>
      <c r="Q43" s="261">
        <f t="shared" si="11"/>
        <v>9.23</v>
      </c>
      <c r="R43" s="94">
        <v>17.32</v>
      </c>
      <c r="S43" s="261">
        <f t="shared" si="12"/>
        <v>17.32</v>
      </c>
      <c r="T43" s="111">
        <v>9.25</v>
      </c>
      <c r="U43" s="236"/>
      <c r="V43" s="254">
        <v>0.1573</v>
      </c>
      <c r="W43" s="111">
        <v>0.31430000000000002</v>
      </c>
      <c r="X43" s="76">
        <v>2747.3941</v>
      </c>
      <c r="Z43" s="244">
        <f t="shared" si="13"/>
        <v>25.132741228718345</v>
      </c>
      <c r="AA43" s="244">
        <f t="shared" si="14"/>
        <v>37.699111843077517</v>
      </c>
      <c r="AB43" s="335">
        <f t="shared" si="15"/>
        <v>266</v>
      </c>
      <c r="AC43" s="335">
        <f t="shared" si="16"/>
        <v>88.243600000000001</v>
      </c>
      <c r="AD43" s="335">
        <f t="shared" si="7"/>
        <v>82</v>
      </c>
      <c r="AE43" s="335">
        <f t="shared" si="8"/>
        <v>88</v>
      </c>
      <c r="AF43" s="335">
        <f t="shared" si="9"/>
        <v>17</v>
      </c>
      <c r="AG43" s="195">
        <f t="shared" si="17"/>
        <v>117.93190530717959</v>
      </c>
      <c r="AH43" s="336">
        <f t="shared" si="10"/>
        <v>0.99633767209938151</v>
      </c>
      <c r="AI43" s="195">
        <f t="shared" si="18"/>
        <v>1</v>
      </c>
      <c r="AJ43" s="195">
        <f t="shared" si="19"/>
        <v>3.6623279006184895E-3</v>
      </c>
    </row>
    <row r="44" spans="1:36" ht="15" customHeight="1" x14ac:dyDescent="0.25">
      <c r="A44" s="72" t="str">
        <f t="shared" si="20"/>
        <v>ZR350x2,5</v>
      </c>
      <c r="B44" s="3" t="str">
        <f t="shared" si="21"/>
        <v>350</v>
      </c>
      <c r="C44" s="3">
        <f t="shared" si="22"/>
        <v>93</v>
      </c>
      <c r="D44" s="3">
        <f t="shared" si="23"/>
        <v>100</v>
      </c>
      <c r="E44" s="3">
        <f t="shared" si="24"/>
        <v>25.5</v>
      </c>
      <c r="F44" s="4" t="str">
        <f t="shared" si="25"/>
        <v>ZR350</v>
      </c>
      <c r="G44" s="81" t="s">
        <v>85</v>
      </c>
      <c r="H44" s="117">
        <v>2.5</v>
      </c>
      <c r="I44" s="112">
        <v>14.73</v>
      </c>
      <c r="J44" s="112">
        <v>2543.79</v>
      </c>
      <c r="K44" s="112">
        <v>143.66</v>
      </c>
      <c r="L44" s="112">
        <v>240.71</v>
      </c>
      <c r="M44" s="112">
        <v>23.64</v>
      </c>
      <c r="N44" s="112">
        <v>13.14</v>
      </c>
      <c r="O44" s="112">
        <v>4.04</v>
      </c>
      <c r="P44" s="96">
        <v>9.1199999999999992</v>
      </c>
      <c r="Q44" s="259">
        <f t="shared" si="11"/>
        <v>9.1199999999999992</v>
      </c>
      <c r="R44" s="96">
        <v>17.29</v>
      </c>
      <c r="S44" s="259">
        <f t="shared" si="12"/>
        <v>17.29</v>
      </c>
      <c r="T44" s="112">
        <v>11.61</v>
      </c>
      <c r="U44" s="234"/>
      <c r="V44" s="253">
        <v>0.30780000000000002</v>
      </c>
      <c r="W44" s="112">
        <v>0.61560000000000004</v>
      </c>
      <c r="X44" s="77">
        <v>3422.1871000000001</v>
      </c>
      <c r="Z44" s="244">
        <f t="shared" si="13"/>
        <v>25.132741228718345</v>
      </c>
      <c r="AA44" s="244">
        <f t="shared" si="14"/>
        <v>40.840704496667314</v>
      </c>
      <c r="AB44" s="335">
        <f t="shared" si="15"/>
        <v>265</v>
      </c>
      <c r="AC44" s="335">
        <f t="shared" si="16"/>
        <v>88.346599999999995</v>
      </c>
      <c r="AD44" s="335">
        <f t="shared" si="7"/>
        <v>80</v>
      </c>
      <c r="AE44" s="335">
        <f t="shared" si="8"/>
        <v>87</v>
      </c>
      <c r="AF44" s="335">
        <f t="shared" si="9"/>
        <v>19</v>
      </c>
      <c r="AG44" s="195">
        <f t="shared" si="17"/>
        <v>118.26666457253855</v>
      </c>
      <c r="AH44" s="336">
        <f t="shared" si="10"/>
        <v>1.2454904391901063</v>
      </c>
      <c r="AI44" s="195">
        <f t="shared" si="18"/>
        <v>1.25</v>
      </c>
      <c r="AJ44" s="195">
        <f t="shared" si="19"/>
        <v>4.5095608098937312E-3</v>
      </c>
    </row>
    <row r="45" spans="1:36" ht="15" customHeight="1" x14ac:dyDescent="0.25">
      <c r="A45" s="72" t="str">
        <f t="shared" si="20"/>
        <v>ZR350x3,0</v>
      </c>
      <c r="B45" s="3" t="str">
        <f t="shared" si="21"/>
        <v>350</v>
      </c>
      <c r="C45" s="3">
        <f t="shared" si="22"/>
        <v>92</v>
      </c>
      <c r="D45" s="3">
        <f t="shared" si="23"/>
        <v>100</v>
      </c>
      <c r="E45" s="3">
        <f t="shared" si="24"/>
        <v>28</v>
      </c>
      <c r="F45" s="4" t="str">
        <f t="shared" si="25"/>
        <v>ZR350</v>
      </c>
      <c r="G45" s="81" t="s">
        <v>86</v>
      </c>
      <c r="H45" s="117">
        <v>3</v>
      </c>
      <c r="I45" s="112">
        <v>17.72</v>
      </c>
      <c r="J45" s="112">
        <v>3049.69</v>
      </c>
      <c r="K45" s="112">
        <v>171.96</v>
      </c>
      <c r="L45" s="112">
        <v>292.62</v>
      </c>
      <c r="M45" s="112">
        <v>28.73</v>
      </c>
      <c r="N45" s="112">
        <v>13.11</v>
      </c>
      <c r="O45" s="112">
        <v>4.0599999999999996</v>
      </c>
      <c r="P45" s="96">
        <v>9.02</v>
      </c>
      <c r="Q45" s="259">
        <f t="shared" si="11"/>
        <v>9.02</v>
      </c>
      <c r="R45" s="96">
        <v>17.27</v>
      </c>
      <c r="S45" s="259">
        <f t="shared" si="12"/>
        <v>17.27</v>
      </c>
      <c r="T45" s="112">
        <v>13.98</v>
      </c>
      <c r="U45" s="234"/>
      <c r="V45" s="253">
        <v>0.5333</v>
      </c>
      <c r="W45" s="112">
        <v>1.0685</v>
      </c>
      <c r="X45" s="77">
        <v>4099.6823000000004</v>
      </c>
      <c r="Z45" s="244">
        <f t="shared" si="13"/>
        <v>25.132741228718345</v>
      </c>
      <c r="AA45" s="244">
        <f t="shared" si="14"/>
        <v>43.982297150257104</v>
      </c>
      <c r="AB45" s="335">
        <f t="shared" si="15"/>
        <v>264</v>
      </c>
      <c r="AC45" s="335">
        <f t="shared" si="16"/>
        <v>88.452600000000004</v>
      </c>
      <c r="AD45" s="335">
        <f t="shared" si="7"/>
        <v>78</v>
      </c>
      <c r="AE45" s="335">
        <f t="shared" si="8"/>
        <v>86</v>
      </c>
      <c r="AF45" s="335">
        <f t="shared" si="9"/>
        <v>21</v>
      </c>
      <c r="AG45" s="195">
        <f t="shared" si="17"/>
        <v>118.60202383789756</v>
      </c>
      <c r="AH45" s="336">
        <f t="shared" si="10"/>
        <v>1.4940723123088757</v>
      </c>
      <c r="AI45" s="195">
        <f t="shared" si="18"/>
        <v>1.5</v>
      </c>
      <c r="AJ45" s="195">
        <f t="shared" si="19"/>
        <v>5.9276876911242837E-3</v>
      </c>
    </row>
    <row r="46" spans="1:36" ht="15" customHeight="1" thickBot="1" x14ac:dyDescent="0.3">
      <c r="A46" s="126" t="str">
        <f t="shared" si="20"/>
        <v>ZR350x3,5</v>
      </c>
      <c r="B46" s="5" t="str">
        <f t="shared" si="21"/>
        <v>350</v>
      </c>
      <c r="C46" s="14">
        <f t="shared" si="22"/>
        <v>91</v>
      </c>
      <c r="D46" s="14">
        <f t="shared" si="23"/>
        <v>100</v>
      </c>
      <c r="E46" s="14">
        <f t="shared" si="24"/>
        <v>30.5</v>
      </c>
      <c r="F46" s="7" t="str">
        <f t="shared" si="25"/>
        <v>ZR350</v>
      </c>
      <c r="G46" s="82" t="s">
        <v>87</v>
      </c>
      <c r="H46" s="118">
        <v>3.5</v>
      </c>
      <c r="I46" s="113">
        <v>20.73</v>
      </c>
      <c r="J46" s="113">
        <v>3553.52</v>
      </c>
      <c r="K46" s="113">
        <v>200.04</v>
      </c>
      <c r="L46" s="113">
        <v>345.43</v>
      </c>
      <c r="M46" s="113">
        <v>33.909999999999997</v>
      </c>
      <c r="N46" s="113">
        <v>13.09</v>
      </c>
      <c r="O46" s="113">
        <v>4.08</v>
      </c>
      <c r="P46" s="98">
        <v>8.91</v>
      </c>
      <c r="Q46" s="260">
        <f t="shared" si="11"/>
        <v>8.91</v>
      </c>
      <c r="R46" s="98">
        <v>17.239999999999998</v>
      </c>
      <c r="S46" s="260">
        <f t="shared" si="12"/>
        <v>17.239999999999998</v>
      </c>
      <c r="T46" s="113">
        <v>16.36</v>
      </c>
      <c r="U46" s="235"/>
      <c r="V46" s="255">
        <v>0.74780000000000002</v>
      </c>
      <c r="W46" s="113">
        <v>1.6986000000000001</v>
      </c>
      <c r="X46" s="78">
        <v>4754.4281000000001</v>
      </c>
      <c r="Z46" s="244">
        <f t="shared" si="13"/>
        <v>25.132741228718345</v>
      </c>
      <c r="AA46" s="244">
        <f t="shared" si="14"/>
        <v>47.123889803846893</v>
      </c>
      <c r="AB46" s="335">
        <f t="shared" si="15"/>
        <v>263</v>
      </c>
      <c r="AC46" s="335">
        <f t="shared" si="16"/>
        <v>88.561899999999994</v>
      </c>
      <c r="AD46" s="335">
        <f t="shared" si="7"/>
        <v>76</v>
      </c>
      <c r="AE46" s="335">
        <f t="shared" si="8"/>
        <v>85</v>
      </c>
      <c r="AF46" s="335">
        <f t="shared" si="9"/>
        <v>23</v>
      </c>
      <c r="AG46" s="195">
        <f t="shared" si="17"/>
        <v>118.93804310325652</v>
      </c>
      <c r="AH46" s="336">
        <f t="shared" si="10"/>
        <v>1.742924253596738</v>
      </c>
      <c r="AI46" s="195">
        <f t="shared" si="18"/>
        <v>1.75</v>
      </c>
      <c r="AJ46" s="195">
        <f t="shared" si="19"/>
        <v>7.0757464032620287E-3</v>
      </c>
    </row>
    <row r="47" spans="1:36" ht="15" customHeight="1" x14ac:dyDescent="0.25">
      <c r="A47" s="71" t="str">
        <f t="shared" si="20"/>
        <v>ZR400x2,0</v>
      </c>
      <c r="B47" s="15" t="str">
        <f t="shared" si="21"/>
        <v>400</v>
      </c>
      <c r="C47" s="1">
        <f t="shared" si="22"/>
        <v>94</v>
      </c>
      <c r="D47" s="1">
        <f t="shared" si="23"/>
        <v>100</v>
      </c>
      <c r="E47" s="1">
        <f t="shared" si="24"/>
        <v>23</v>
      </c>
      <c r="F47" s="2" t="str">
        <f t="shared" si="25"/>
        <v>ZR400</v>
      </c>
      <c r="G47" s="83" t="s">
        <v>88</v>
      </c>
      <c r="H47" s="116">
        <v>2</v>
      </c>
      <c r="I47" s="111">
        <v>12.75</v>
      </c>
      <c r="J47" s="111">
        <v>2800.06</v>
      </c>
      <c r="K47" s="111">
        <v>138.69999999999999</v>
      </c>
      <c r="L47" s="111">
        <v>189.86</v>
      </c>
      <c r="M47" s="111">
        <v>18.670000000000002</v>
      </c>
      <c r="N47" s="111">
        <v>14.81</v>
      </c>
      <c r="O47" s="111">
        <v>3.85</v>
      </c>
      <c r="P47" s="94">
        <v>9.23</v>
      </c>
      <c r="Q47" s="261">
        <f t="shared" si="11"/>
        <v>9.23</v>
      </c>
      <c r="R47" s="94">
        <v>19.809999999999999</v>
      </c>
      <c r="S47" s="261">
        <f t="shared" si="12"/>
        <v>19.809999999999999</v>
      </c>
      <c r="T47" s="111">
        <v>10.039999999999999</v>
      </c>
      <c r="U47" s="236"/>
      <c r="V47" s="254">
        <v>0.17050000000000001</v>
      </c>
      <c r="W47" s="111">
        <v>0.34089999999999998</v>
      </c>
      <c r="X47" s="76">
        <v>2945.4058</v>
      </c>
      <c r="Z47" s="244">
        <f t="shared" si="13"/>
        <v>25.132741228718345</v>
      </c>
      <c r="AA47" s="244">
        <f t="shared" si="14"/>
        <v>37.699111843077517</v>
      </c>
      <c r="AB47" s="335">
        <f t="shared" si="15"/>
        <v>316</v>
      </c>
      <c r="AC47" s="335">
        <f t="shared" si="16"/>
        <v>88.243600000000001</v>
      </c>
      <c r="AD47" s="335">
        <f t="shared" si="7"/>
        <v>82</v>
      </c>
      <c r="AE47" s="335">
        <f t="shared" si="8"/>
        <v>88</v>
      </c>
      <c r="AF47" s="335">
        <f t="shared" si="9"/>
        <v>17</v>
      </c>
      <c r="AG47" s="195">
        <f t="shared" si="17"/>
        <v>127.93190530717959</v>
      </c>
      <c r="AH47" s="336">
        <f t="shared" si="10"/>
        <v>0.99662394376021735</v>
      </c>
      <c r="AI47" s="195">
        <f t="shared" si="18"/>
        <v>1</v>
      </c>
      <c r="AJ47" s="195">
        <f t="shared" si="19"/>
        <v>3.3760562397826543E-3</v>
      </c>
    </row>
    <row r="48" spans="1:36" ht="15" customHeight="1" x14ac:dyDescent="0.25">
      <c r="A48" s="72" t="str">
        <f t="shared" si="20"/>
        <v>ZR400x2,5</v>
      </c>
      <c r="B48" s="3" t="str">
        <f t="shared" si="21"/>
        <v>400</v>
      </c>
      <c r="C48" s="3">
        <f t="shared" si="22"/>
        <v>93</v>
      </c>
      <c r="D48" s="3">
        <f t="shared" si="23"/>
        <v>100</v>
      </c>
      <c r="E48" s="3">
        <f t="shared" si="24"/>
        <v>25.5</v>
      </c>
      <c r="F48" s="4" t="str">
        <f t="shared" si="25"/>
        <v>ZR400</v>
      </c>
      <c r="G48" s="81" t="s">
        <v>89</v>
      </c>
      <c r="H48" s="117">
        <v>2.5</v>
      </c>
      <c r="I48" s="112">
        <v>15.98</v>
      </c>
      <c r="J48" s="112">
        <v>3500.12</v>
      </c>
      <c r="K48" s="112">
        <v>173.12</v>
      </c>
      <c r="L48" s="112">
        <v>240.72</v>
      </c>
      <c r="M48" s="112">
        <v>23.65</v>
      </c>
      <c r="N48" s="112">
        <v>14.79</v>
      </c>
      <c r="O48" s="112">
        <v>3.88</v>
      </c>
      <c r="P48" s="96">
        <v>9.1300000000000008</v>
      </c>
      <c r="Q48" s="259">
        <f t="shared" si="11"/>
        <v>9.1300000000000008</v>
      </c>
      <c r="R48" s="96">
        <v>19.78</v>
      </c>
      <c r="S48" s="259">
        <f t="shared" si="12"/>
        <v>19.78</v>
      </c>
      <c r="T48" s="112">
        <v>12.59</v>
      </c>
      <c r="U48" s="234"/>
      <c r="V48" s="253">
        <v>0.33379999999999999</v>
      </c>
      <c r="W48" s="112">
        <v>0.66759999999999997</v>
      </c>
      <c r="X48" s="77">
        <v>3668.4641000000001</v>
      </c>
      <c r="Z48" s="244">
        <f t="shared" si="13"/>
        <v>25.132741228718345</v>
      </c>
      <c r="AA48" s="244">
        <f t="shared" si="14"/>
        <v>40.840704496667314</v>
      </c>
      <c r="AB48" s="335">
        <f t="shared" si="15"/>
        <v>315</v>
      </c>
      <c r="AC48" s="335">
        <f t="shared" si="16"/>
        <v>88.346599999999995</v>
      </c>
      <c r="AD48" s="335">
        <f t="shared" si="7"/>
        <v>80</v>
      </c>
      <c r="AE48" s="335">
        <f t="shared" si="8"/>
        <v>87</v>
      </c>
      <c r="AF48" s="335">
        <f t="shared" si="9"/>
        <v>19</v>
      </c>
      <c r="AG48" s="195">
        <f t="shared" si="17"/>
        <v>128.26666457253856</v>
      </c>
      <c r="AH48" s="336">
        <f t="shared" si="10"/>
        <v>1.2458420161820642</v>
      </c>
      <c r="AI48" s="195">
        <f t="shared" si="18"/>
        <v>1.25</v>
      </c>
      <c r="AJ48" s="195">
        <f t="shared" si="19"/>
        <v>4.1579838179357509E-3</v>
      </c>
    </row>
    <row r="49" spans="1:36" ht="15" customHeight="1" x14ac:dyDescent="0.25">
      <c r="A49" s="72" t="str">
        <f t="shared" si="20"/>
        <v>ZR400x3,0</v>
      </c>
      <c r="B49" s="3" t="str">
        <f t="shared" si="21"/>
        <v>400</v>
      </c>
      <c r="C49" s="3">
        <f t="shared" si="22"/>
        <v>92</v>
      </c>
      <c r="D49" s="3">
        <f t="shared" si="23"/>
        <v>100</v>
      </c>
      <c r="E49" s="3">
        <f t="shared" si="24"/>
        <v>28</v>
      </c>
      <c r="F49" s="4" t="str">
        <f t="shared" si="25"/>
        <v>ZR400</v>
      </c>
      <c r="G49" s="81" t="s">
        <v>90</v>
      </c>
      <c r="H49" s="117">
        <v>3</v>
      </c>
      <c r="I49" s="112">
        <v>19.22</v>
      </c>
      <c r="J49" s="112">
        <v>4199.0600000000004</v>
      </c>
      <c r="K49" s="112">
        <v>207.38</v>
      </c>
      <c r="L49" s="112">
        <v>292.63</v>
      </c>
      <c r="M49" s="112">
        <v>28.74</v>
      </c>
      <c r="N49" s="112">
        <v>14.77</v>
      </c>
      <c r="O49" s="112">
        <v>3.9</v>
      </c>
      <c r="P49" s="96">
        <v>9.02</v>
      </c>
      <c r="Q49" s="259">
        <f t="shared" si="11"/>
        <v>9.02</v>
      </c>
      <c r="R49" s="96">
        <v>19.75</v>
      </c>
      <c r="S49" s="259">
        <f t="shared" si="12"/>
        <v>19.75</v>
      </c>
      <c r="T49" s="112">
        <v>15.15</v>
      </c>
      <c r="U49" s="234"/>
      <c r="V49" s="253">
        <v>0.57830000000000004</v>
      </c>
      <c r="W49" s="183">
        <v>1.1567000000000001</v>
      </c>
      <c r="X49" s="334">
        <v>4385.3815999999997</v>
      </c>
      <c r="Z49" s="244">
        <f t="shared" si="13"/>
        <v>25.132741228718345</v>
      </c>
      <c r="AA49" s="244">
        <f t="shared" si="14"/>
        <v>43.982297150257104</v>
      </c>
      <c r="AB49" s="335">
        <f t="shared" si="15"/>
        <v>314</v>
      </c>
      <c r="AC49" s="335">
        <f t="shared" si="16"/>
        <v>88.452600000000004</v>
      </c>
      <c r="AD49" s="335">
        <f t="shared" si="7"/>
        <v>78</v>
      </c>
      <c r="AE49" s="335">
        <f t="shared" si="8"/>
        <v>86</v>
      </c>
      <c r="AF49" s="335">
        <f t="shared" si="9"/>
        <v>21</v>
      </c>
      <c r="AG49" s="195">
        <f t="shared" si="17"/>
        <v>128.60202383789755</v>
      </c>
      <c r="AH49" s="336">
        <f t="shared" si="10"/>
        <v>1.4945332449998414</v>
      </c>
      <c r="AI49" s="195">
        <f t="shared" si="18"/>
        <v>1.5</v>
      </c>
      <c r="AJ49" s="195">
        <f t="shared" si="19"/>
        <v>5.4667550001585852E-3</v>
      </c>
    </row>
    <row r="50" spans="1:36" ht="15" customHeight="1" x14ac:dyDescent="0.25">
      <c r="A50" s="72" t="str">
        <f t="shared" si="20"/>
        <v>ZR400x3,5</v>
      </c>
      <c r="B50" s="3" t="str">
        <f t="shared" si="21"/>
        <v>400</v>
      </c>
      <c r="C50" s="3">
        <f t="shared" si="22"/>
        <v>91</v>
      </c>
      <c r="D50" s="3">
        <f t="shared" si="23"/>
        <v>100</v>
      </c>
      <c r="E50" s="3">
        <f t="shared" si="24"/>
        <v>30.5</v>
      </c>
      <c r="F50" s="4" t="str">
        <f t="shared" si="25"/>
        <v>ZR400</v>
      </c>
      <c r="G50" s="81" t="s">
        <v>91</v>
      </c>
      <c r="H50" s="117">
        <v>3.5</v>
      </c>
      <c r="I50" s="112">
        <v>22.48</v>
      </c>
      <c r="J50" s="112">
        <v>4896.32</v>
      </c>
      <c r="K50" s="112">
        <v>241.46</v>
      </c>
      <c r="L50" s="112">
        <v>345.45</v>
      </c>
      <c r="M50" s="112">
        <v>33.909999999999997</v>
      </c>
      <c r="N50" s="112">
        <v>14.75</v>
      </c>
      <c r="O50" s="112">
        <v>3.91</v>
      </c>
      <c r="P50" s="96">
        <v>8.91</v>
      </c>
      <c r="Q50" s="259">
        <f t="shared" si="11"/>
        <v>8.91</v>
      </c>
      <c r="R50" s="96">
        <v>19.72</v>
      </c>
      <c r="S50" s="259">
        <f t="shared" si="12"/>
        <v>19.72</v>
      </c>
      <c r="T50" s="112">
        <v>17.73</v>
      </c>
      <c r="U50" s="234"/>
      <c r="V50" s="253">
        <v>0.92069999999999996</v>
      </c>
      <c r="W50" s="183">
        <v>1.8414999999999999</v>
      </c>
      <c r="X50" s="334">
        <v>5095.7685000000001</v>
      </c>
      <c r="Z50" s="244">
        <f t="shared" si="13"/>
        <v>25.132741228718345</v>
      </c>
      <c r="AA50" s="244">
        <f t="shared" si="14"/>
        <v>47.123889803846893</v>
      </c>
      <c r="AB50" s="335">
        <f t="shared" si="15"/>
        <v>313</v>
      </c>
      <c r="AC50" s="335">
        <f t="shared" si="16"/>
        <v>88.561899999999994</v>
      </c>
      <c r="AD50" s="335">
        <f t="shared" si="7"/>
        <v>76</v>
      </c>
      <c r="AE50" s="335">
        <f t="shared" si="8"/>
        <v>85</v>
      </c>
      <c r="AF50" s="335">
        <f t="shared" si="9"/>
        <v>23</v>
      </c>
      <c r="AG50" s="195">
        <f t="shared" si="17"/>
        <v>128.93804310325652</v>
      </c>
      <c r="AH50" s="336">
        <f t="shared" si="10"/>
        <v>1.7434730246369186</v>
      </c>
      <c r="AI50" s="195">
        <f t="shared" si="18"/>
        <v>1.75</v>
      </c>
      <c r="AJ50" s="195">
        <f t="shared" si="19"/>
        <v>6.5269753630814442E-3</v>
      </c>
    </row>
    <row r="51" spans="1:36" ht="15" customHeight="1" thickBot="1" x14ac:dyDescent="0.3">
      <c r="A51" s="73" t="str">
        <f t="shared" si="20"/>
        <v>ZR400x4,0</v>
      </c>
      <c r="B51" s="5" t="str">
        <f t="shared" si="21"/>
        <v>400</v>
      </c>
      <c r="C51" s="5">
        <f t="shared" si="22"/>
        <v>90</v>
      </c>
      <c r="D51" s="5">
        <f t="shared" si="23"/>
        <v>100</v>
      </c>
      <c r="E51" s="5">
        <f t="shared" si="24"/>
        <v>31</v>
      </c>
      <c r="F51" s="7" t="str">
        <f t="shared" si="25"/>
        <v>ZR400</v>
      </c>
      <c r="G51" s="82" t="s">
        <v>92</v>
      </c>
      <c r="H51" s="118">
        <v>4</v>
      </c>
      <c r="I51" s="113">
        <v>25.59</v>
      </c>
      <c r="J51" s="113">
        <v>5546.34</v>
      </c>
      <c r="K51" s="113">
        <v>273.08999999999997</v>
      </c>
      <c r="L51" s="113">
        <v>387.62</v>
      </c>
      <c r="M51" s="113">
        <v>38.020000000000003</v>
      </c>
      <c r="N51" s="113">
        <v>14.72</v>
      </c>
      <c r="O51" s="113">
        <v>3.89</v>
      </c>
      <c r="P51" s="98">
        <v>8.81</v>
      </c>
      <c r="Q51" s="260">
        <f t="shared" si="11"/>
        <v>8.81</v>
      </c>
      <c r="R51" s="98">
        <v>19.690000000000001</v>
      </c>
      <c r="S51" s="260">
        <f t="shared" si="12"/>
        <v>19.690000000000001</v>
      </c>
      <c r="T51" s="113">
        <v>20.21</v>
      </c>
      <c r="U51" s="235"/>
      <c r="V51" s="140"/>
      <c r="W51" s="141"/>
      <c r="X51" s="87"/>
      <c r="Z51" s="244">
        <f t="shared" si="13"/>
        <v>25.132741228718345</v>
      </c>
      <c r="AA51" s="244">
        <f t="shared" si="14"/>
        <v>50.26548245743669</v>
      </c>
      <c r="AB51" s="335">
        <f t="shared" si="15"/>
        <v>312</v>
      </c>
      <c r="AC51" s="335">
        <f t="shared" si="16"/>
        <v>88.674700000000001</v>
      </c>
      <c r="AD51" s="335">
        <f t="shared" si="7"/>
        <v>74</v>
      </c>
      <c r="AE51" s="335">
        <f t="shared" si="8"/>
        <v>84</v>
      </c>
      <c r="AF51" s="335">
        <f t="shared" si="9"/>
        <v>23</v>
      </c>
      <c r="AG51" s="195">
        <f t="shared" si="17"/>
        <v>128.4747623686155</v>
      </c>
      <c r="AH51" s="336">
        <f t="shared" si="10"/>
        <v>1.9918308878889401</v>
      </c>
      <c r="AI51" s="195">
        <f t="shared" si="18"/>
        <v>2</v>
      </c>
      <c r="AJ51" s="195">
        <f t="shared" si="19"/>
        <v>8.1691121110598619E-3</v>
      </c>
    </row>
    <row r="52" spans="1:36" ht="15" customHeight="1" x14ac:dyDescent="0.25">
      <c r="F52" s="241"/>
    </row>
  </sheetData>
  <mergeCells count="31">
    <mergeCell ref="U6:U10"/>
    <mergeCell ref="A6:A10"/>
    <mergeCell ref="B6:B10"/>
    <mergeCell ref="C6:C10"/>
    <mergeCell ref="D6:D10"/>
    <mergeCell ref="E6:E10"/>
    <mergeCell ref="X6:X10"/>
    <mergeCell ref="F7:F10"/>
    <mergeCell ref="G7:G10"/>
    <mergeCell ref="I7:I8"/>
    <mergeCell ref="J7:J8"/>
    <mergeCell ref="K7:K8"/>
    <mergeCell ref="L7:L8"/>
    <mergeCell ref="M7:M8"/>
    <mergeCell ref="H6:H10"/>
    <mergeCell ref="I6:S6"/>
    <mergeCell ref="T6:T10"/>
    <mergeCell ref="V6:V10"/>
    <mergeCell ref="W6:W10"/>
    <mergeCell ref="N7:O8"/>
    <mergeCell ref="P7:S8"/>
    <mergeCell ref="F6:G6"/>
    <mergeCell ref="AF6:AF10"/>
    <mergeCell ref="AG6:AG10"/>
    <mergeCell ref="AH6:AH10"/>
    <mergeCell ref="AC6:AC10"/>
    <mergeCell ref="Z6:Z10"/>
    <mergeCell ref="AA6:AA10"/>
    <mergeCell ref="AB6:AB10"/>
    <mergeCell ref="AD6:AD10"/>
    <mergeCell ref="AE6:AE10"/>
  </mergeCells>
  <conditionalFormatting sqref="AJ11:AJ5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verticalDpi="1200" r:id="rId1"/>
  <ignoredErrors>
    <ignoredError sqref="H17 H19 H21 H25 H27 H29 H31 H36 H38 H40 H42 H44 H46 H48 H5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"/>
  <sheetViews>
    <sheetView zoomScale="70" zoomScaleNormal="70" workbookViewId="0">
      <selection activeCell="K55" sqref="K55"/>
    </sheetView>
  </sheetViews>
  <sheetFormatPr defaultColWidth="8.85546875" defaultRowHeight="15" customHeight="1" x14ac:dyDescent="0.25"/>
  <cols>
    <col min="1" max="1" width="12.7109375" style="195" customWidth="1"/>
    <col min="2" max="5" width="6.7109375" style="195" customWidth="1"/>
    <col min="6" max="6" width="8.7109375" style="195" customWidth="1"/>
    <col min="7" max="7" width="15.7109375" style="195" customWidth="1"/>
    <col min="8" max="24" width="8.7109375" style="195" customWidth="1"/>
    <col min="25" max="34" width="8.85546875" style="195"/>
    <col min="35" max="36" width="14.5703125" style="195" customWidth="1"/>
    <col min="37" max="16384" width="8.85546875" style="195"/>
  </cols>
  <sheetData>
    <row r="1" spans="1:40" ht="15" customHeight="1" thickBot="1" x14ac:dyDescent="0.3"/>
    <row r="2" spans="1:40" ht="15" customHeight="1" thickBot="1" x14ac:dyDescent="0.3">
      <c r="A2" s="79" t="str">
        <f>Сводная!A8</f>
        <v>SIGMA350x3,5</v>
      </c>
      <c r="B2" s="93" t="str">
        <f>INDEX(B11:B51,MATCH($A$2,$A$11:$A$51))</f>
        <v>350</v>
      </c>
      <c r="C2" s="105">
        <f>INDEX(C11:C51,MATCH($A$2,$A$11:$A$51))</f>
        <v>100</v>
      </c>
      <c r="D2" s="105">
        <f t="shared" ref="D2:X2" si="0">INDEX(D11:D51,MATCH($A$2,$A$11:$A$51))</f>
        <v>100</v>
      </c>
      <c r="E2" s="105">
        <f t="shared" si="0"/>
        <v>26</v>
      </c>
      <c r="F2" s="93" t="str">
        <f t="shared" si="0"/>
        <v>SIGMA350</v>
      </c>
      <c r="G2" s="93" t="str">
        <f t="shared" si="0"/>
        <v>350/100/100/26</v>
      </c>
      <c r="H2" s="105">
        <f t="shared" si="0"/>
        <v>3.5</v>
      </c>
      <c r="I2" s="103">
        <f t="shared" si="0"/>
        <v>20.73</v>
      </c>
      <c r="J2" s="103">
        <f>INDEX(J11:J51,MATCH($A$2,$A$11:$A$51))</f>
        <v>3581.67</v>
      </c>
      <c r="K2" s="103">
        <f t="shared" si="0"/>
        <v>204.66</v>
      </c>
      <c r="L2" s="103">
        <f t="shared" si="0"/>
        <v>231.2</v>
      </c>
      <c r="M2" s="103">
        <f t="shared" si="0"/>
        <v>31.44</v>
      </c>
      <c r="N2" s="103">
        <f t="shared" si="0"/>
        <v>13.14</v>
      </c>
      <c r="O2" s="103">
        <f t="shared" si="0"/>
        <v>3.33</v>
      </c>
      <c r="P2" s="103">
        <f t="shared" si="0"/>
        <v>2.65</v>
      </c>
      <c r="Q2" s="103">
        <f t="shared" si="0"/>
        <v>0</v>
      </c>
      <c r="R2" s="103">
        <f t="shared" si="0"/>
        <v>17.5</v>
      </c>
      <c r="S2" s="103">
        <f t="shared" si="0"/>
        <v>0</v>
      </c>
      <c r="T2" s="103">
        <f t="shared" si="0"/>
        <v>16.260000000000002</v>
      </c>
      <c r="U2" s="103">
        <f t="shared" si="0"/>
        <v>0</v>
      </c>
      <c r="V2" s="103">
        <f t="shared" si="0"/>
        <v>0.84899999999999998</v>
      </c>
      <c r="W2" s="103">
        <f t="shared" si="0"/>
        <v>1.6990000000000001</v>
      </c>
      <c r="X2" s="104">
        <f t="shared" si="0"/>
        <v>820.99599999999998</v>
      </c>
    </row>
    <row r="3" spans="1:40" ht="1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5" spans="1:40" ht="15" customHeight="1" thickBot="1" x14ac:dyDescent="0.3"/>
    <row r="6" spans="1:40" ht="15" customHeight="1" x14ac:dyDescent="0.25">
      <c r="A6" s="347" t="s">
        <v>166</v>
      </c>
      <c r="B6" s="344" t="s">
        <v>11</v>
      </c>
      <c r="C6" s="344" t="s">
        <v>10</v>
      </c>
      <c r="D6" s="344" t="s">
        <v>12</v>
      </c>
      <c r="E6" s="398" t="s">
        <v>59</v>
      </c>
      <c r="F6" s="339" t="s">
        <v>0</v>
      </c>
      <c r="G6" s="360"/>
      <c r="H6" s="372" t="s">
        <v>167</v>
      </c>
      <c r="I6" s="377" t="s">
        <v>1</v>
      </c>
      <c r="J6" s="378"/>
      <c r="K6" s="378"/>
      <c r="L6" s="378"/>
      <c r="M6" s="378"/>
      <c r="N6" s="378"/>
      <c r="O6" s="378"/>
      <c r="P6" s="378"/>
      <c r="Q6" s="378"/>
      <c r="R6" s="378"/>
      <c r="S6" s="379"/>
      <c r="T6" s="343" t="s">
        <v>25</v>
      </c>
      <c r="U6" s="387" t="s">
        <v>26</v>
      </c>
      <c r="V6" s="375" t="s">
        <v>7</v>
      </c>
      <c r="W6" s="369" t="s">
        <v>8</v>
      </c>
      <c r="X6" s="354" t="s">
        <v>9</v>
      </c>
      <c r="Y6" s="392" t="s">
        <v>210</v>
      </c>
      <c r="Z6" s="395" t="s">
        <v>207</v>
      </c>
      <c r="AB6" s="390" t="s">
        <v>214</v>
      </c>
      <c r="AC6" s="390" t="s">
        <v>215</v>
      </c>
      <c r="AD6" s="390" t="s">
        <v>212</v>
      </c>
      <c r="AE6" s="390" t="s">
        <v>218</v>
      </c>
      <c r="AF6" s="390" t="s">
        <v>10</v>
      </c>
      <c r="AG6" s="390" t="s">
        <v>12</v>
      </c>
      <c r="AH6" s="390" t="s">
        <v>213</v>
      </c>
      <c r="AI6" s="390" t="s">
        <v>216</v>
      </c>
      <c r="AJ6" s="391" t="s">
        <v>217</v>
      </c>
    </row>
    <row r="7" spans="1:40" ht="15" customHeight="1" x14ac:dyDescent="0.25">
      <c r="A7" s="348"/>
      <c r="B7" s="345"/>
      <c r="C7" s="345"/>
      <c r="D7" s="345"/>
      <c r="E7" s="368"/>
      <c r="F7" s="341" t="s">
        <v>57</v>
      </c>
      <c r="G7" s="365" t="s">
        <v>164</v>
      </c>
      <c r="H7" s="373"/>
      <c r="I7" s="364" t="s">
        <v>21</v>
      </c>
      <c r="J7" s="364" t="s">
        <v>3</v>
      </c>
      <c r="K7" s="381" t="s">
        <v>169</v>
      </c>
      <c r="L7" s="364" t="s">
        <v>3</v>
      </c>
      <c r="M7" s="364" t="s">
        <v>156</v>
      </c>
      <c r="N7" s="382" t="s">
        <v>22</v>
      </c>
      <c r="O7" s="374"/>
      <c r="P7" s="382" t="s">
        <v>5</v>
      </c>
      <c r="Q7" s="385"/>
      <c r="R7" s="385"/>
      <c r="S7" s="374"/>
      <c r="T7" s="341"/>
      <c r="U7" s="388"/>
      <c r="V7" s="376"/>
      <c r="W7" s="370"/>
      <c r="X7" s="355"/>
      <c r="Y7" s="393"/>
      <c r="Z7" s="396"/>
      <c r="AB7" s="390"/>
      <c r="AC7" s="390"/>
      <c r="AD7" s="390"/>
      <c r="AE7" s="390"/>
      <c r="AF7" s="390"/>
      <c r="AG7" s="390"/>
      <c r="AH7" s="390"/>
      <c r="AI7" s="390"/>
      <c r="AJ7" s="391"/>
    </row>
    <row r="8" spans="1:40" ht="15" customHeight="1" x14ac:dyDescent="0.25">
      <c r="A8" s="348"/>
      <c r="B8" s="345"/>
      <c r="C8" s="345"/>
      <c r="D8" s="345"/>
      <c r="E8" s="368"/>
      <c r="F8" s="341"/>
      <c r="G8" s="358"/>
      <c r="H8" s="373"/>
      <c r="I8" s="380"/>
      <c r="J8" s="380"/>
      <c r="K8" s="380"/>
      <c r="L8" s="380"/>
      <c r="M8" s="380"/>
      <c r="N8" s="383"/>
      <c r="O8" s="384"/>
      <c r="P8" s="383"/>
      <c r="Q8" s="386"/>
      <c r="R8" s="386"/>
      <c r="S8" s="384"/>
      <c r="T8" s="341"/>
      <c r="U8" s="388"/>
      <c r="V8" s="376"/>
      <c r="W8" s="370"/>
      <c r="X8" s="355"/>
      <c r="Y8" s="393"/>
      <c r="Z8" s="396"/>
      <c r="AB8" s="390"/>
      <c r="AC8" s="390"/>
      <c r="AD8" s="390"/>
      <c r="AE8" s="390"/>
      <c r="AF8" s="390"/>
      <c r="AG8" s="390"/>
      <c r="AH8" s="390"/>
      <c r="AI8" s="390"/>
      <c r="AJ8" s="391"/>
    </row>
    <row r="9" spans="1:40" ht="15" customHeight="1" x14ac:dyDescent="0.25">
      <c r="A9" s="348"/>
      <c r="B9" s="345"/>
      <c r="C9" s="345"/>
      <c r="D9" s="345"/>
      <c r="E9" s="368"/>
      <c r="F9" s="341"/>
      <c r="G9" s="358"/>
      <c r="H9" s="373"/>
      <c r="I9" s="169" t="s">
        <v>172</v>
      </c>
      <c r="J9" s="169" t="s">
        <v>174</v>
      </c>
      <c r="K9" s="169" t="s">
        <v>175</v>
      </c>
      <c r="L9" s="169" t="s">
        <v>178</v>
      </c>
      <c r="M9" s="169" t="s">
        <v>179</v>
      </c>
      <c r="N9" s="169" t="s">
        <v>176</v>
      </c>
      <c r="O9" s="169" t="s">
        <v>180</v>
      </c>
      <c r="P9" s="169" t="s">
        <v>181</v>
      </c>
      <c r="Q9" s="169" t="s">
        <v>185</v>
      </c>
      <c r="R9" s="169" t="s">
        <v>177</v>
      </c>
      <c r="S9" s="169" t="s">
        <v>186</v>
      </c>
      <c r="T9" s="341"/>
      <c r="U9" s="388"/>
      <c r="V9" s="376"/>
      <c r="W9" s="370"/>
      <c r="X9" s="355"/>
      <c r="Y9" s="393"/>
      <c r="Z9" s="396"/>
      <c r="AB9" s="390"/>
      <c r="AC9" s="390"/>
      <c r="AD9" s="390"/>
      <c r="AE9" s="390"/>
      <c r="AF9" s="390"/>
      <c r="AG9" s="390"/>
      <c r="AH9" s="390"/>
      <c r="AI9" s="390"/>
      <c r="AJ9" s="391"/>
    </row>
    <row r="10" spans="1:40" ht="15" customHeight="1" thickBot="1" x14ac:dyDescent="0.3">
      <c r="A10" s="362"/>
      <c r="B10" s="363"/>
      <c r="C10" s="363"/>
      <c r="D10" s="363"/>
      <c r="E10" s="368"/>
      <c r="F10" s="364"/>
      <c r="G10" s="366"/>
      <c r="H10" s="374"/>
      <c r="I10" s="174" t="s">
        <v>182</v>
      </c>
      <c r="J10" s="174" t="s">
        <v>183</v>
      </c>
      <c r="K10" s="174" t="s">
        <v>184</v>
      </c>
      <c r="L10" s="174" t="s">
        <v>183</v>
      </c>
      <c r="M10" s="174" t="s">
        <v>184</v>
      </c>
      <c r="N10" s="174" t="s">
        <v>6</v>
      </c>
      <c r="O10" s="174" t="s">
        <v>6</v>
      </c>
      <c r="P10" s="174" t="s">
        <v>6</v>
      </c>
      <c r="Q10" s="174" t="s">
        <v>6</v>
      </c>
      <c r="R10" s="174" t="s">
        <v>6</v>
      </c>
      <c r="S10" s="174" t="s">
        <v>6</v>
      </c>
      <c r="T10" s="364"/>
      <c r="U10" s="389"/>
      <c r="V10" s="376"/>
      <c r="W10" s="370"/>
      <c r="X10" s="371"/>
      <c r="Y10" s="394"/>
      <c r="Z10" s="397"/>
      <c r="AB10" s="390"/>
      <c r="AC10" s="390"/>
      <c r="AD10" s="390"/>
      <c r="AE10" s="390"/>
      <c r="AF10" s="390"/>
      <c r="AG10" s="390"/>
      <c r="AH10" s="390"/>
      <c r="AI10" s="390"/>
      <c r="AJ10" s="391"/>
    </row>
    <row r="11" spans="1:40" ht="15" customHeight="1" x14ac:dyDescent="0.25">
      <c r="A11" s="144" t="str">
        <f t="shared" ref="A11:A14" si="1">CONCATENATE(F11,"x",(IF(H11=INT(H11),CONCATENATE(H11,",",0),H11)))</f>
        <v>SIGMA140x1,0</v>
      </c>
      <c r="B11" s="145" t="str">
        <f t="shared" ref="B11:B14" si="2">LEFT(G11,3)</f>
        <v>140</v>
      </c>
      <c r="C11" s="146">
        <f t="shared" ref="C11:C14" si="3">VALUE(MID(G11,(SEARCH("/",G11,1)+1),(SEARCH("/",G11,(SEARCH("/",G11,1)+1))-SEARCH("/",G11,1)-1)))</f>
        <v>55</v>
      </c>
      <c r="D11" s="146">
        <f t="shared" ref="D11:D14" si="4">VALUE(MID(G11,(SEARCH("/",G11,(SEARCH("/",G11,1)+1))+1),(SEARCH("/",G11,SEARCH("/",G11,(SEARCH("/",G11,1)+1))+1))-(SEARCH("/",G11,(SEARCH("/",G11,1)+1))+1)))</f>
        <v>55</v>
      </c>
      <c r="E11" s="146">
        <f t="shared" ref="E11:E14" si="5">VALUE(MID(G11,(SEARCH("/",G11,SEARCH("/",G11,(SEARCH("/",G11,1)+1))+1)+1),4))</f>
        <v>18</v>
      </c>
      <c r="F11" s="158" t="str">
        <f t="shared" ref="F11:F14" si="6">CONCATENATE("SIGMA",LEFT(G11,3))</f>
        <v>SIGMA140</v>
      </c>
      <c r="G11" s="215" t="s">
        <v>189</v>
      </c>
      <c r="H11" s="160">
        <v>1</v>
      </c>
      <c r="I11" s="175">
        <v>4.59</v>
      </c>
      <c r="J11" s="175">
        <v>170.18</v>
      </c>
      <c r="K11" s="175">
        <v>21.27</v>
      </c>
      <c r="L11" s="175">
        <v>15.6</v>
      </c>
      <c r="M11" s="175">
        <v>4.34</v>
      </c>
      <c r="N11" s="175">
        <v>6.08</v>
      </c>
      <c r="O11" s="175">
        <v>1.84</v>
      </c>
      <c r="P11" s="175">
        <v>1.91</v>
      </c>
      <c r="Q11" s="175"/>
      <c r="R11" s="175">
        <v>8</v>
      </c>
      <c r="S11" s="175"/>
      <c r="T11" s="175">
        <v>2.35</v>
      </c>
      <c r="U11" s="239"/>
      <c r="V11" s="176"/>
      <c r="W11" s="177"/>
      <c r="X11" s="178"/>
      <c r="Y11" s="16"/>
      <c r="Z11" s="16"/>
      <c r="AB11" s="244">
        <f>2*PI()*4</f>
        <v>25.132741228718345</v>
      </c>
      <c r="AC11" s="244">
        <f>2*PI()*(4+H11)</f>
        <v>31.415926535897931</v>
      </c>
      <c r="AD11" s="335">
        <f>B11-2*(4+$H11)-72</f>
        <v>58</v>
      </c>
      <c r="AE11" s="335">
        <f>INDEX($AN$11:$AN$18,MATCH(H11,$AM$11:$AM$18))</f>
        <v>88.046400000000006</v>
      </c>
      <c r="AF11" s="335">
        <f>C11-2*(4+$H11)</f>
        <v>45</v>
      </c>
      <c r="AG11" s="335">
        <f>D11-2*(4+$H11)</f>
        <v>45</v>
      </c>
      <c r="AH11" s="335">
        <f>E11-(4+$H11)</f>
        <v>13</v>
      </c>
      <c r="AI11" s="195">
        <f>(AB11+AC11+2*(AD11+AE11+AF11+AG11+2*AH11))/10</f>
        <v>58.064146776461634</v>
      </c>
      <c r="AJ11" s="336">
        <f>I11/AI11*10</f>
        <v>0.79050502845944159</v>
      </c>
      <c r="AK11" s="195">
        <f>H11/2</f>
        <v>0.5</v>
      </c>
      <c r="AL11" s="195">
        <f>ABS(AJ11-AK11)</f>
        <v>0.29050502845944159</v>
      </c>
      <c r="AM11" s="337">
        <v>1</v>
      </c>
      <c r="AN11" s="337">
        <v>88.046400000000006</v>
      </c>
    </row>
    <row r="12" spans="1:40" ht="15" customHeight="1" thickBot="1" x14ac:dyDescent="0.3">
      <c r="A12" s="224" t="str">
        <f t="shared" si="1"/>
        <v>SIGMA140x1,2</v>
      </c>
      <c r="B12" s="225" t="str">
        <f t="shared" si="2"/>
        <v>140</v>
      </c>
      <c r="C12" s="226">
        <f t="shared" si="3"/>
        <v>55</v>
      </c>
      <c r="D12" s="226">
        <f t="shared" si="4"/>
        <v>55</v>
      </c>
      <c r="E12" s="226">
        <f t="shared" si="5"/>
        <v>18</v>
      </c>
      <c r="F12" s="172" t="str">
        <f t="shared" si="6"/>
        <v>SIGMA140</v>
      </c>
      <c r="G12" s="216" t="s">
        <v>189</v>
      </c>
      <c r="H12" s="223">
        <v>1.2</v>
      </c>
      <c r="I12" s="222">
        <v>6.15</v>
      </c>
      <c r="J12" s="222">
        <v>226.07</v>
      </c>
      <c r="K12" s="222">
        <v>28.25</v>
      </c>
      <c r="L12" s="222">
        <v>21.08</v>
      </c>
      <c r="M12" s="222">
        <v>5.95</v>
      </c>
      <c r="N12" s="222">
        <v>6.06</v>
      </c>
      <c r="O12" s="222">
        <v>1.85</v>
      </c>
      <c r="P12" s="222">
        <v>1.96</v>
      </c>
      <c r="Q12" s="222"/>
      <c r="R12" s="222">
        <v>8</v>
      </c>
      <c r="S12" s="222"/>
      <c r="T12" s="222">
        <v>2.79</v>
      </c>
      <c r="U12" s="240"/>
      <c r="V12" s="227"/>
      <c r="W12" s="228"/>
      <c r="X12" s="229"/>
      <c r="Y12" s="16"/>
      <c r="Z12" s="16"/>
      <c r="AB12" s="244">
        <f t="shared" ref="AB12:AB51" si="7">2*PI()*4</f>
        <v>25.132741228718345</v>
      </c>
      <c r="AC12" s="244">
        <f t="shared" ref="AC12:AC51" si="8">2*PI()*(4+H12)</f>
        <v>32.672563597333848</v>
      </c>
      <c r="AD12" s="335">
        <f t="shared" ref="AD12:AD51" si="9">B12-2*(4+$H12)-72</f>
        <v>57.599999999999994</v>
      </c>
      <c r="AE12" s="335">
        <f t="shared" ref="AE12:AE51" si="10">INDEX($AN$11:$AN$18,MATCH(H12,$AM$11:$AM$18))</f>
        <v>88.084900000000005</v>
      </c>
      <c r="AF12" s="335">
        <f t="shared" ref="AF12:AF51" si="11">C12-2*(4+$H12)</f>
        <v>44.6</v>
      </c>
      <c r="AG12" s="335">
        <f t="shared" ref="AG12:AG51" si="12">D12-2*(4+$H12)</f>
        <v>44.6</v>
      </c>
      <c r="AH12" s="335">
        <f t="shared" ref="AH12:AH51" si="13">E12-(4+$H12)</f>
        <v>12.8</v>
      </c>
      <c r="AI12" s="195">
        <f t="shared" ref="AI12:AI51" si="14">(AB12+AC12+2*(AD12+AE12+AF12+AG12+2*AH12))/10</f>
        <v>57.877510482605217</v>
      </c>
      <c r="AJ12" s="336">
        <f>I12/AI12*10</f>
        <v>1.062588896571208</v>
      </c>
      <c r="AK12" s="195">
        <f t="shared" ref="AK12:AK51" si="15">H12/2</f>
        <v>0.6</v>
      </c>
      <c r="AL12" s="195">
        <f t="shared" ref="AL12:AL51" si="16">ABS(AJ12-AK12)</f>
        <v>0.46258889657120805</v>
      </c>
      <c r="AM12" s="337">
        <v>1.2</v>
      </c>
      <c r="AN12" s="337">
        <v>88.084900000000005</v>
      </c>
    </row>
    <row r="13" spans="1:40" ht="15" customHeight="1" x14ac:dyDescent="0.25">
      <c r="A13" s="144" t="str">
        <f t="shared" si="1"/>
        <v>SIGMA160x1,0</v>
      </c>
      <c r="B13" s="145" t="str">
        <f t="shared" si="2"/>
        <v>160</v>
      </c>
      <c r="C13" s="146">
        <f t="shared" si="3"/>
        <v>55</v>
      </c>
      <c r="D13" s="146">
        <f t="shared" si="4"/>
        <v>55</v>
      </c>
      <c r="E13" s="146">
        <f t="shared" si="5"/>
        <v>18</v>
      </c>
      <c r="F13" s="158" t="str">
        <f t="shared" si="6"/>
        <v>SIGMA160</v>
      </c>
      <c r="G13" s="159" t="s">
        <v>93</v>
      </c>
      <c r="H13" s="160">
        <v>1</v>
      </c>
      <c r="I13" s="175">
        <v>7.73</v>
      </c>
      <c r="J13" s="175">
        <v>281.36</v>
      </c>
      <c r="K13" s="175">
        <v>35.17</v>
      </c>
      <c r="L13" s="175">
        <v>26.64</v>
      </c>
      <c r="M13" s="175">
        <v>7.63</v>
      </c>
      <c r="N13" s="175">
        <v>6.03</v>
      </c>
      <c r="O13" s="175">
        <v>1.85</v>
      </c>
      <c r="P13" s="175">
        <v>2.0099999999999998</v>
      </c>
      <c r="Q13" s="175"/>
      <c r="R13" s="175">
        <v>8</v>
      </c>
      <c r="S13" s="175"/>
      <c r="T13" s="161">
        <v>2.5099999999999998</v>
      </c>
      <c r="U13" s="267"/>
      <c r="V13" s="176"/>
      <c r="W13" s="177"/>
      <c r="X13" s="178"/>
      <c r="Y13" s="16"/>
      <c r="Z13" s="16"/>
      <c r="AB13" s="244">
        <f t="shared" si="7"/>
        <v>25.132741228718345</v>
      </c>
      <c r="AC13" s="244">
        <f t="shared" si="8"/>
        <v>31.415926535897931</v>
      </c>
      <c r="AD13" s="335">
        <f t="shared" si="9"/>
        <v>78</v>
      </c>
      <c r="AE13" s="335">
        <f t="shared" si="10"/>
        <v>88.046400000000006</v>
      </c>
      <c r="AF13" s="335">
        <f t="shared" si="11"/>
        <v>45</v>
      </c>
      <c r="AG13" s="335">
        <f t="shared" si="12"/>
        <v>45</v>
      </c>
      <c r="AH13" s="335">
        <f t="shared" si="13"/>
        <v>13</v>
      </c>
      <c r="AI13" s="195">
        <f t="shared" si="14"/>
        <v>62.064146776461634</v>
      </c>
      <c r="AJ13" s="336">
        <f>I13/AI13*10</f>
        <v>1.2454855824960234</v>
      </c>
      <c r="AK13" s="195">
        <f t="shared" si="15"/>
        <v>0.5</v>
      </c>
      <c r="AL13" s="195">
        <f t="shared" si="16"/>
        <v>0.74548558249602337</v>
      </c>
      <c r="AM13" s="337">
        <v>1.5</v>
      </c>
      <c r="AN13" s="337">
        <v>88.143600000000006</v>
      </c>
    </row>
    <row r="14" spans="1:40" ht="15" customHeight="1" x14ac:dyDescent="0.25">
      <c r="A14" s="147" t="str">
        <f t="shared" si="1"/>
        <v>SIGMA160x1,2</v>
      </c>
      <c r="B14" s="148" t="str">
        <f t="shared" si="2"/>
        <v>160</v>
      </c>
      <c r="C14" s="149">
        <f t="shared" si="3"/>
        <v>55</v>
      </c>
      <c r="D14" s="149">
        <f t="shared" si="4"/>
        <v>55</v>
      </c>
      <c r="E14" s="149">
        <f t="shared" si="5"/>
        <v>18</v>
      </c>
      <c r="F14" s="154" t="str">
        <f t="shared" si="6"/>
        <v>SIGMA160</v>
      </c>
      <c r="G14" s="155" t="s">
        <v>93</v>
      </c>
      <c r="H14" s="164">
        <v>1.2</v>
      </c>
      <c r="I14" s="179">
        <v>9.32</v>
      </c>
      <c r="J14" s="179">
        <v>335.92</v>
      </c>
      <c r="K14" s="179">
        <v>41.99</v>
      </c>
      <c r="L14" s="179">
        <v>32.270000000000003</v>
      </c>
      <c r="M14" s="179">
        <v>9.3699999999999992</v>
      </c>
      <c r="N14" s="179">
        <v>6</v>
      </c>
      <c r="O14" s="179">
        <v>1.86</v>
      </c>
      <c r="P14" s="179">
        <v>2.06</v>
      </c>
      <c r="Q14" s="179"/>
      <c r="R14" s="179">
        <v>8</v>
      </c>
      <c r="S14" s="179"/>
      <c r="T14" s="165">
        <v>2.99</v>
      </c>
      <c r="U14" s="268"/>
      <c r="V14" s="180"/>
      <c r="W14" s="181"/>
      <c r="X14" s="182"/>
      <c r="Y14" s="16"/>
      <c r="Z14" s="16"/>
      <c r="AB14" s="244">
        <f t="shared" si="7"/>
        <v>25.132741228718345</v>
      </c>
      <c r="AC14" s="244">
        <f t="shared" si="8"/>
        <v>32.672563597333848</v>
      </c>
      <c r="AD14" s="335">
        <f t="shared" si="9"/>
        <v>77.599999999999994</v>
      </c>
      <c r="AE14" s="335">
        <f t="shared" si="10"/>
        <v>88.084900000000005</v>
      </c>
      <c r="AF14" s="335">
        <f t="shared" si="11"/>
        <v>44.6</v>
      </c>
      <c r="AG14" s="335">
        <f t="shared" si="12"/>
        <v>44.6</v>
      </c>
      <c r="AH14" s="335">
        <f t="shared" si="13"/>
        <v>12.8</v>
      </c>
      <c r="AI14" s="195">
        <f t="shared" si="14"/>
        <v>61.877510482605217</v>
      </c>
      <c r="AJ14" s="336">
        <f t="shared" ref="AJ14:AJ51" si="17">I14/AI14*10</f>
        <v>1.5062015144613816</v>
      </c>
      <c r="AK14" s="195">
        <f t="shared" si="15"/>
        <v>0.6</v>
      </c>
      <c r="AL14" s="195">
        <f t="shared" si="16"/>
        <v>0.90620151446138164</v>
      </c>
      <c r="AM14" s="337">
        <v>2</v>
      </c>
      <c r="AN14" s="337">
        <v>88.243600000000001</v>
      </c>
    </row>
    <row r="15" spans="1:40" ht="15" customHeight="1" x14ac:dyDescent="0.25">
      <c r="A15" s="72" t="str">
        <f>CONCATENATE(F15,"x",(IF(H15=INT(H15),CONCATENATE(H15,",",0),H15)))</f>
        <v>SIGMA160x1,5</v>
      </c>
      <c r="B15" s="11" t="str">
        <f>LEFT(G15,3)</f>
        <v>160</v>
      </c>
      <c r="C15" s="3">
        <f>VALUE(MID(G15,(SEARCH("/",G15,1)+1),(SEARCH("/",G15,(SEARCH("/",G15,1)+1))-SEARCH("/",G15,1)-1)))</f>
        <v>55</v>
      </c>
      <c r="D15" s="3">
        <f>VALUE(MID(G15,(SEARCH("/",G15,(SEARCH("/",G15,1)+1))+1),(SEARCH("/",G15,SEARCH("/",G15,(SEARCH("/",G15,1)+1))+1))-(SEARCH("/",G15,(SEARCH("/",G15,1)+1))+1)))</f>
        <v>55</v>
      </c>
      <c r="E15" s="3">
        <f>VALUE(MID(G15,(SEARCH("/",G15,SEARCH("/",G15,(SEARCH("/",G15,1)+1))+1)+1),4))</f>
        <v>18</v>
      </c>
      <c r="F15" s="4" t="str">
        <f>CONCATENATE("SIGMA",LEFT(G15,3))</f>
        <v>SIGMA160</v>
      </c>
      <c r="G15" s="81" t="s">
        <v>93</v>
      </c>
      <c r="H15" s="117">
        <v>1.5</v>
      </c>
      <c r="I15" s="112">
        <v>4.59</v>
      </c>
      <c r="J15" s="112">
        <v>170.18</v>
      </c>
      <c r="K15" s="112">
        <v>21.27</v>
      </c>
      <c r="L15" s="112">
        <v>15.6</v>
      </c>
      <c r="M15" s="112">
        <v>4.34</v>
      </c>
      <c r="N15" s="112">
        <v>6.08</v>
      </c>
      <c r="O15" s="112">
        <v>1.84</v>
      </c>
      <c r="P15" s="96">
        <v>1.91</v>
      </c>
      <c r="Q15" s="96"/>
      <c r="R15" s="96">
        <v>8</v>
      </c>
      <c r="S15" s="96"/>
      <c r="T15" s="112">
        <v>3.6</v>
      </c>
      <c r="U15" s="269"/>
      <c r="V15" s="291">
        <v>3.5000000000000003E-2</v>
      </c>
      <c r="W15" s="292">
        <v>6.9000000000000006E-2</v>
      </c>
      <c r="X15" s="293">
        <v>71.905000000000001</v>
      </c>
      <c r="Y15" s="16"/>
      <c r="Z15" s="263"/>
      <c r="AA15" s="197"/>
      <c r="AB15" s="244">
        <f t="shared" si="7"/>
        <v>25.132741228718345</v>
      </c>
      <c r="AC15" s="244">
        <f t="shared" si="8"/>
        <v>34.557519189487721</v>
      </c>
      <c r="AD15" s="335">
        <f t="shared" si="9"/>
        <v>77</v>
      </c>
      <c r="AE15" s="335">
        <f t="shared" si="10"/>
        <v>88.143600000000006</v>
      </c>
      <c r="AF15" s="335">
        <f t="shared" si="11"/>
        <v>44</v>
      </c>
      <c r="AG15" s="335">
        <f t="shared" si="12"/>
        <v>44</v>
      </c>
      <c r="AH15" s="335">
        <f t="shared" si="13"/>
        <v>12.5</v>
      </c>
      <c r="AI15" s="195">
        <f t="shared" si="14"/>
        <v>61.597746041820606</v>
      </c>
      <c r="AJ15" s="336">
        <f t="shared" si="17"/>
        <v>0.74515713560098573</v>
      </c>
      <c r="AK15" s="195">
        <f t="shared" si="15"/>
        <v>0.75</v>
      </c>
      <c r="AL15" s="195">
        <f t="shared" si="16"/>
        <v>4.8428643990142684E-3</v>
      </c>
      <c r="AM15" s="337">
        <v>2.5</v>
      </c>
      <c r="AN15" s="337">
        <v>88.346599999999995</v>
      </c>
    </row>
    <row r="16" spans="1:40" ht="15" customHeight="1" x14ac:dyDescent="0.25">
      <c r="A16" s="72" t="str">
        <f t="shared" ref="A16:A51" si="18">CONCATENATE(F16,"x",(IF(H16=INT(H16),CONCATENATE(H16,",",0),H16)))</f>
        <v>SIGMA160x2,0</v>
      </c>
      <c r="B16" s="11" t="str">
        <f t="shared" ref="B16:B28" si="19">LEFT(G16,3)</f>
        <v>160</v>
      </c>
      <c r="C16" s="3">
        <f t="shared" ref="C16:C51" si="20">VALUE(MID(G16,(SEARCH("/",G16,1)+1),(SEARCH("/",G16,(SEARCH("/",G16,1)+1))-SEARCH("/",G16,1)-1)))</f>
        <v>55</v>
      </c>
      <c r="D16" s="3">
        <f t="shared" ref="D16:D51" si="21">VALUE(MID(G16,(SEARCH("/",G16,(SEARCH("/",G16,1)+1))+1),(SEARCH("/",G16,SEARCH("/",G16,(SEARCH("/",G16,1)+1))+1))-(SEARCH("/",G16,(SEARCH("/",G16,1)+1))+1)))</f>
        <v>55</v>
      </c>
      <c r="E16" s="3">
        <f t="shared" ref="E16:E51" si="22">VALUE(MID(G16,(SEARCH("/",G16,SEARCH("/",G16,(SEARCH("/",G16,1)+1))+1)+1),4))</f>
        <v>20</v>
      </c>
      <c r="F16" s="4" t="str">
        <f t="shared" ref="F16:F51" si="23">CONCATENATE("SIGMA",LEFT(G16,3))</f>
        <v>SIGMA160</v>
      </c>
      <c r="G16" s="81" t="s">
        <v>94</v>
      </c>
      <c r="H16" s="117">
        <v>2</v>
      </c>
      <c r="I16" s="112">
        <v>6.15</v>
      </c>
      <c r="J16" s="112">
        <v>226.07</v>
      </c>
      <c r="K16" s="112">
        <v>28.25</v>
      </c>
      <c r="L16" s="112">
        <v>21.08</v>
      </c>
      <c r="M16" s="112">
        <v>5.95</v>
      </c>
      <c r="N16" s="112">
        <v>6.06</v>
      </c>
      <c r="O16" s="112">
        <v>1.85</v>
      </c>
      <c r="P16" s="96">
        <v>1.96</v>
      </c>
      <c r="Q16" s="96"/>
      <c r="R16" s="96">
        <v>8</v>
      </c>
      <c r="S16" s="96"/>
      <c r="T16" s="112">
        <v>4.83</v>
      </c>
      <c r="U16" s="269"/>
      <c r="V16" s="291">
        <v>8.2000000000000003E-2</v>
      </c>
      <c r="W16" s="292">
        <v>0.16500000000000001</v>
      </c>
      <c r="X16" s="293">
        <v>99.343999999999994</v>
      </c>
      <c r="Y16" s="16"/>
      <c r="Z16" s="263"/>
      <c r="AA16" s="197"/>
      <c r="AB16" s="244">
        <f t="shared" si="7"/>
        <v>25.132741228718345</v>
      </c>
      <c r="AC16" s="244">
        <f t="shared" si="8"/>
        <v>37.699111843077517</v>
      </c>
      <c r="AD16" s="335">
        <f t="shared" si="9"/>
        <v>76</v>
      </c>
      <c r="AE16" s="335">
        <f t="shared" si="10"/>
        <v>88.243600000000001</v>
      </c>
      <c r="AF16" s="335">
        <f t="shared" si="11"/>
        <v>43</v>
      </c>
      <c r="AG16" s="335">
        <f t="shared" si="12"/>
        <v>43</v>
      </c>
      <c r="AH16" s="335">
        <f t="shared" si="13"/>
        <v>14</v>
      </c>
      <c r="AI16" s="195">
        <f t="shared" si="14"/>
        <v>61.931905307179591</v>
      </c>
      <c r="AJ16" s="336">
        <f t="shared" si="17"/>
        <v>0.99302612595176343</v>
      </c>
      <c r="AK16" s="195">
        <f t="shared" si="15"/>
        <v>1</v>
      </c>
      <c r="AL16" s="195">
        <f t="shared" si="16"/>
        <v>6.9738740482365724E-3</v>
      </c>
      <c r="AM16" s="337">
        <v>3</v>
      </c>
      <c r="AN16" s="337">
        <v>88.452600000000004</v>
      </c>
    </row>
    <row r="17" spans="1:40" ht="15" customHeight="1" x14ac:dyDescent="0.25">
      <c r="A17" s="72" t="str">
        <f t="shared" si="18"/>
        <v>SIGMA160x2,5</v>
      </c>
      <c r="B17" s="11" t="str">
        <f t="shared" si="19"/>
        <v>160</v>
      </c>
      <c r="C17" s="3">
        <f t="shared" si="20"/>
        <v>55</v>
      </c>
      <c r="D17" s="3">
        <f t="shared" si="21"/>
        <v>55</v>
      </c>
      <c r="E17" s="3">
        <f t="shared" si="22"/>
        <v>22</v>
      </c>
      <c r="F17" s="4" t="str">
        <f t="shared" si="23"/>
        <v>SIGMA160</v>
      </c>
      <c r="G17" s="81" t="s">
        <v>95</v>
      </c>
      <c r="H17" s="117">
        <v>2.5</v>
      </c>
      <c r="I17" s="112">
        <v>7.73</v>
      </c>
      <c r="J17" s="112">
        <v>281.36</v>
      </c>
      <c r="K17" s="112">
        <v>35.17</v>
      </c>
      <c r="L17" s="112">
        <v>26.64</v>
      </c>
      <c r="M17" s="112">
        <v>7.63</v>
      </c>
      <c r="N17" s="112">
        <v>6.03</v>
      </c>
      <c r="O17" s="112">
        <v>1.85</v>
      </c>
      <c r="P17" s="96">
        <v>2.0099999999999998</v>
      </c>
      <c r="Q17" s="96"/>
      <c r="R17" s="96">
        <v>8</v>
      </c>
      <c r="S17" s="96"/>
      <c r="T17" s="112">
        <v>6.06</v>
      </c>
      <c r="U17" s="269"/>
      <c r="V17" s="291">
        <v>0.16200000000000001</v>
      </c>
      <c r="W17" s="292">
        <v>0.32400000000000001</v>
      </c>
      <c r="X17" s="293">
        <v>128.44900000000001</v>
      </c>
      <c r="Y17" s="16"/>
      <c r="Z17" s="263"/>
      <c r="AA17" s="197"/>
      <c r="AB17" s="244">
        <f t="shared" si="7"/>
        <v>25.132741228718345</v>
      </c>
      <c r="AC17" s="244">
        <f t="shared" si="8"/>
        <v>40.840704496667314</v>
      </c>
      <c r="AD17" s="335">
        <f t="shared" si="9"/>
        <v>75</v>
      </c>
      <c r="AE17" s="335">
        <f t="shared" si="10"/>
        <v>88.346599999999995</v>
      </c>
      <c r="AF17" s="335">
        <f t="shared" si="11"/>
        <v>42</v>
      </c>
      <c r="AG17" s="335">
        <f t="shared" si="12"/>
        <v>42</v>
      </c>
      <c r="AH17" s="335">
        <f t="shared" si="13"/>
        <v>15.5</v>
      </c>
      <c r="AI17" s="195">
        <f t="shared" si="14"/>
        <v>62.266664572538559</v>
      </c>
      <c r="AJ17" s="336">
        <f t="shared" si="17"/>
        <v>1.2414347312589407</v>
      </c>
      <c r="AK17" s="195">
        <f t="shared" si="15"/>
        <v>1.25</v>
      </c>
      <c r="AL17" s="195">
        <f t="shared" si="16"/>
        <v>8.5652687410593398E-3</v>
      </c>
      <c r="AM17" s="337">
        <v>3.5</v>
      </c>
      <c r="AN17" s="337">
        <v>88.561899999999994</v>
      </c>
    </row>
    <row r="18" spans="1:40" ht="15" customHeight="1" thickBot="1" x14ac:dyDescent="0.3">
      <c r="A18" s="73" t="str">
        <f t="shared" si="18"/>
        <v>SIGMA160x3,0</v>
      </c>
      <c r="B18" s="12" t="str">
        <f t="shared" si="19"/>
        <v>160</v>
      </c>
      <c r="C18" s="5">
        <f t="shared" si="20"/>
        <v>55</v>
      </c>
      <c r="D18" s="5">
        <f t="shared" si="21"/>
        <v>55</v>
      </c>
      <c r="E18" s="5">
        <f t="shared" si="22"/>
        <v>24</v>
      </c>
      <c r="F18" s="6" t="str">
        <f t="shared" si="23"/>
        <v>SIGMA160</v>
      </c>
      <c r="G18" s="82" t="s">
        <v>96</v>
      </c>
      <c r="H18" s="118">
        <v>3</v>
      </c>
      <c r="I18" s="113">
        <v>9.32</v>
      </c>
      <c r="J18" s="113">
        <v>335.92</v>
      </c>
      <c r="K18" s="113">
        <v>41.99</v>
      </c>
      <c r="L18" s="113">
        <v>32.270000000000003</v>
      </c>
      <c r="M18" s="113">
        <v>9.3699999999999992</v>
      </c>
      <c r="N18" s="113">
        <v>6</v>
      </c>
      <c r="O18" s="113">
        <v>1.86</v>
      </c>
      <c r="P18" s="98">
        <v>2.06</v>
      </c>
      <c r="Q18" s="98"/>
      <c r="R18" s="98">
        <v>8</v>
      </c>
      <c r="S18" s="98"/>
      <c r="T18" s="113">
        <v>7.31</v>
      </c>
      <c r="U18" s="270"/>
      <c r="V18" s="294">
        <v>0.28100000000000003</v>
      </c>
      <c r="W18" s="295">
        <v>0.56299999999999994</v>
      </c>
      <c r="X18" s="296">
        <v>159.179</v>
      </c>
      <c r="Y18" s="16"/>
      <c r="Z18" s="263"/>
      <c r="AA18" s="197"/>
      <c r="AB18" s="244">
        <f t="shared" si="7"/>
        <v>25.132741228718345</v>
      </c>
      <c r="AC18" s="244">
        <f t="shared" si="8"/>
        <v>43.982297150257104</v>
      </c>
      <c r="AD18" s="335">
        <f t="shared" si="9"/>
        <v>74</v>
      </c>
      <c r="AE18" s="335">
        <f t="shared" si="10"/>
        <v>88.452600000000004</v>
      </c>
      <c r="AF18" s="335">
        <f t="shared" si="11"/>
        <v>41</v>
      </c>
      <c r="AG18" s="335">
        <f t="shared" si="12"/>
        <v>41</v>
      </c>
      <c r="AH18" s="335">
        <f t="shared" si="13"/>
        <v>17</v>
      </c>
      <c r="AI18" s="195">
        <f t="shared" si="14"/>
        <v>62.602023837897548</v>
      </c>
      <c r="AJ18" s="336">
        <f t="shared" si="17"/>
        <v>1.4887697599255454</v>
      </c>
      <c r="AK18" s="195">
        <f t="shared" si="15"/>
        <v>1.5</v>
      </c>
      <c r="AL18" s="195">
        <f t="shared" si="16"/>
        <v>1.1230240074454612E-2</v>
      </c>
      <c r="AM18" s="337">
        <v>4</v>
      </c>
      <c r="AN18" s="337">
        <v>88.674700000000001</v>
      </c>
    </row>
    <row r="19" spans="1:40" ht="15" customHeight="1" x14ac:dyDescent="0.25">
      <c r="A19" s="71" t="str">
        <f t="shared" si="18"/>
        <v>SIGMA180x1,5</v>
      </c>
      <c r="B19" s="10" t="str">
        <f t="shared" si="19"/>
        <v>180</v>
      </c>
      <c r="C19" s="15">
        <f t="shared" si="20"/>
        <v>55</v>
      </c>
      <c r="D19" s="15">
        <f t="shared" si="21"/>
        <v>55</v>
      </c>
      <c r="E19" s="1">
        <f t="shared" si="22"/>
        <v>18</v>
      </c>
      <c r="F19" s="2" t="str">
        <f t="shared" si="23"/>
        <v>SIGMA180</v>
      </c>
      <c r="G19" s="80" t="s">
        <v>97</v>
      </c>
      <c r="H19" s="116">
        <v>1.5</v>
      </c>
      <c r="I19" s="111">
        <v>4.8899999999999997</v>
      </c>
      <c r="J19" s="111">
        <v>224.29</v>
      </c>
      <c r="K19" s="111">
        <v>24.92</v>
      </c>
      <c r="L19" s="111">
        <v>16.54</v>
      </c>
      <c r="M19" s="111">
        <v>4.46</v>
      </c>
      <c r="N19" s="111">
        <v>6.77</v>
      </c>
      <c r="O19" s="111">
        <v>1.83</v>
      </c>
      <c r="P19" s="94">
        <v>1.79</v>
      </c>
      <c r="Q19" s="94"/>
      <c r="R19" s="94">
        <v>9</v>
      </c>
      <c r="S19" s="94"/>
      <c r="T19" s="111">
        <v>3.84</v>
      </c>
      <c r="U19" s="276"/>
      <c r="V19" s="297">
        <v>3.6999999999999998E-2</v>
      </c>
      <c r="W19" s="298">
        <v>7.3999999999999996E-2</v>
      </c>
      <c r="X19" s="299">
        <v>71.951999999999998</v>
      </c>
      <c r="Y19" s="16"/>
      <c r="Z19" s="263"/>
      <c r="AA19" s="197"/>
      <c r="AB19" s="244">
        <f t="shared" si="7"/>
        <v>25.132741228718345</v>
      </c>
      <c r="AC19" s="244">
        <f t="shared" si="8"/>
        <v>34.557519189487721</v>
      </c>
      <c r="AD19" s="335">
        <f t="shared" si="9"/>
        <v>97</v>
      </c>
      <c r="AE19" s="335">
        <f t="shared" si="10"/>
        <v>88.143600000000006</v>
      </c>
      <c r="AF19" s="335">
        <f t="shared" si="11"/>
        <v>44</v>
      </c>
      <c r="AG19" s="335">
        <f t="shared" si="12"/>
        <v>44</v>
      </c>
      <c r="AH19" s="335">
        <f t="shared" si="13"/>
        <v>12.5</v>
      </c>
      <c r="AI19" s="195">
        <f t="shared" si="14"/>
        <v>65.597746041820614</v>
      </c>
      <c r="AJ19" s="336">
        <f t="shared" si="17"/>
        <v>0.74545244235716157</v>
      </c>
      <c r="AK19" s="195">
        <f t="shared" si="15"/>
        <v>0.75</v>
      </c>
      <c r="AL19" s="195">
        <f t="shared" si="16"/>
        <v>4.547557642838429E-3</v>
      </c>
    </row>
    <row r="20" spans="1:40" ht="15" customHeight="1" x14ac:dyDescent="0.25">
      <c r="A20" s="72" t="str">
        <f t="shared" si="18"/>
        <v>SIGMA180x2,0</v>
      </c>
      <c r="B20" s="11" t="str">
        <f t="shared" si="19"/>
        <v>180</v>
      </c>
      <c r="C20" s="3">
        <f t="shared" si="20"/>
        <v>55</v>
      </c>
      <c r="D20" s="3">
        <f t="shared" si="21"/>
        <v>55</v>
      </c>
      <c r="E20" s="3">
        <f t="shared" si="22"/>
        <v>20</v>
      </c>
      <c r="F20" s="4" t="str">
        <f t="shared" si="23"/>
        <v>SIGMA180</v>
      </c>
      <c r="G20" s="81" t="s">
        <v>98</v>
      </c>
      <c r="H20" s="117">
        <v>2</v>
      </c>
      <c r="I20" s="112">
        <v>6.55</v>
      </c>
      <c r="J20" s="112">
        <v>298.36</v>
      </c>
      <c r="K20" s="112">
        <v>33.15</v>
      </c>
      <c r="L20" s="112">
        <v>22.37</v>
      </c>
      <c r="M20" s="112">
        <v>6.12</v>
      </c>
      <c r="N20" s="112">
        <v>6.74</v>
      </c>
      <c r="O20" s="112">
        <v>1.84</v>
      </c>
      <c r="P20" s="96">
        <v>1.84</v>
      </c>
      <c r="Q20" s="96"/>
      <c r="R20" s="96">
        <v>9</v>
      </c>
      <c r="S20" s="96"/>
      <c r="T20" s="112">
        <v>5.14</v>
      </c>
      <c r="U20" s="269"/>
      <c r="V20" s="291">
        <v>8.7999999999999995E-2</v>
      </c>
      <c r="W20" s="292">
        <v>0.17599999999999999</v>
      </c>
      <c r="X20" s="293">
        <v>99.418999999999997</v>
      </c>
      <c r="Y20" s="16"/>
      <c r="Z20" s="263"/>
      <c r="AA20" s="197"/>
      <c r="AB20" s="244">
        <f t="shared" si="7"/>
        <v>25.132741228718345</v>
      </c>
      <c r="AC20" s="244">
        <f t="shared" si="8"/>
        <v>37.699111843077517</v>
      </c>
      <c r="AD20" s="335">
        <f t="shared" si="9"/>
        <v>96</v>
      </c>
      <c r="AE20" s="335">
        <f t="shared" si="10"/>
        <v>88.243600000000001</v>
      </c>
      <c r="AF20" s="335">
        <f t="shared" si="11"/>
        <v>43</v>
      </c>
      <c r="AG20" s="335">
        <f t="shared" si="12"/>
        <v>43</v>
      </c>
      <c r="AH20" s="335">
        <f t="shared" si="13"/>
        <v>14</v>
      </c>
      <c r="AI20" s="195">
        <f t="shared" si="14"/>
        <v>65.931905307179591</v>
      </c>
      <c r="AJ20" s="336">
        <f t="shared" si="17"/>
        <v>0.99344922150865611</v>
      </c>
      <c r="AK20" s="195">
        <f t="shared" si="15"/>
        <v>1</v>
      </c>
      <c r="AL20" s="195">
        <f t="shared" si="16"/>
        <v>6.5507784913438893E-3</v>
      </c>
    </row>
    <row r="21" spans="1:40" ht="15" customHeight="1" x14ac:dyDescent="0.25">
      <c r="A21" s="72" t="str">
        <f t="shared" si="18"/>
        <v>SIGMA180x2,5</v>
      </c>
      <c r="B21" s="11" t="str">
        <f t="shared" si="19"/>
        <v>180</v>
      </c>
      <c r="C21" s="3">
        <f t="shared" si="20"/>
        <v>55</v>
      </c>
      <c r="D21" s="3">
        <f t="shared" si="21"/>
        <v>55</v>
      </c>
      <c r="E21" s="3">
        <f t="shared" si="22"/>
        <v>22</v>
      </c>
      <c r="F21" s="4" t="str">
        <f t="shared" si="23"/>
        <v>SIGMA180</v>
      </c>
      <c r="G21" s="81" t="s">
        <v>99</v>
      </c>
      <c r="H21" s="117">
        <v>2.5</v>
      </c>
      <c r="I21" s="112">
        <v>8.23</v>
      </c>
      <c r="J21" s="112">
        <v>371.86</v>
      </c>
      <c r="K21" s="112">
        <v>41.31</v>
      </c>
      <c r="L21" s="112">
        <v>28.31</v>
      </c>
      <c r="M21" s="112">
        <v>7.85</v>
      </c>
      <c r="N21" s="112">
        <v>6.72</v>
      </c>
      <c r="O21" s="112">
        <v>1.85</v>
      </c>
      <c r="P21" s="96">
        <v>1.89</v>
      </c>
      <c r="Q21" s="96"/>
      <c r="R21" s="96">
        <v>9</v>
      </c>
      <c r="S21" s="96"/>
      <c r="T21" s="112">
        <v>6.45</v>
      </c>
      <c r="U21" s="269"/>
      <c r="V21" s="291">
        <v>0.17199999999999999</v>
      </c>
      <c r="W21" s="292">
        <v>0.34499999999999997</v>
      </c>
      <c r="X21" s="293">
        <v>128.559</v>
      </c>
      <c r="Y21" s="16"/>
      <c r="Z21" s="263"/>
      <c r="AA21" s="197"/>
      <c r="AB21" s="244">
        <f t="shared" si="7"/>
        <v>25.132741228718345</v>
      </c>
      <c r="AC21" s="244">
        <f t="shared" si="8"/>
        <v>40.840704496667314</v>
      </c>
      <c r="AD21" s="335">
        <f t="shared" si="9"/>
        <v>95</v>
      </c>
      <c r="AE21" s="335">
        <f t="shared" si="10"/>
        <v>88.346599999999995</v>
      </c>
      <c r="AF21" s="335">
        <f t="shared" si="11"/>
        <v>42</v>
      </c>
      <c r="AG21" s="335">
        <f t="shared" si="12"/>
        <v>42</v>
      </c>
      <c r="AH21" s="335">
        <f t="shared" si="13"/>
        <v>15.5</v>
      </c>
      <c r="AI21" s="195">
        <f t="shared" si="14"/>
        <v>66.266664572538559</v>
      </c>
      <c r="AJ21" s="336">
        <f t="shared" si="17"/>
        <v>1.2419517495091459</v>
      </c>
      <c r="AK21" s="195">
        <f t="shared" si="15"/>
        <v>1.25</v>
      </c>
      <c r="AL21" s="195">
        <f t="shared" si="16"/>
        <v>8.0482504908541141E-3</v>
      </c>
    </row>
    <row r="22" spans="1:40" ht="15" customHeight="1" thickBot="1" x14ac:dyDescent="0.3">
      <c r="A22" s="126" t="str">
        <f t="shared" si="18"/>
        <v>SIGMA180x3,0</v>
      </c>
      <c r="B22" s="150" t="str">
        <f t="shared" si="19"/>
        <v>180</v>
      </c>
      <c r="C22" s="14">
        <f t="shared" si="20"/>
        <v>55</v>
      </c>
      <c r="D22" s="14">
        <f t="shared" si="21"/>
        <v>55</v>
      </c>
      <c r="E22" s="14">
        <f t="shared" si="22"/>
        <v>24</v>
      </c>
      <c r="F22" s="7" t="str">
        <f t="shared" si="23"/>
        <v>SIGMA180</v>
      </c>
      <c r="G22" s="151" t="s">
        <v>100</v>
      </c>
      <c r="H22" s="152">
        <v>3</v>
      </c>
      <c r="I22" s="199">
        <v>9.92</v>
      </c>
      <c r="J22" s="199">
        <v>444.65</v>
      </c>
      <c r="K22" s="199">
        <v>49.4</v>
      </c>
      <c r="L22" s="199">
        <v>34.32</v>
      </c>
      <c r="M22" s="199">
        <v>9.64</v>
      </c>
      <c r="N22" s="199">
        <v>6.69</v>
      </c>
      <c r="O22" s="199">
        <v>1.85</v>
      </c>
      <c r="P22" s="108">
        <v>1.94</v>
      </c>
      <c r="Q22" s="108"/>
      <c r="R22" s="108">
        <v>9</v>
      </c>
      <c r="S22" s="108"/>
      <c r="T22" s="199">
        <v>7.78</v>
      </c>
      <c r="U22" s="277"/>
      <c r="V22" s="300">
        <v>0.29899999999999999</v>
      </c>
      <c r="W22" s="301">
        <v>0.59899999999999998</v>
      </c>
      <c r="X22" s="302">
        <v>159.33500000000001</v>
      </c>
      <c r="Y22" s="16"/>
      <c r="Z22" s="263"/>
      <c r="AA22" s="197"/>
      <c r="AB22" s="244">
        <f t="shared" si="7"/>
        <v>25.132741228718345</v>
      </c>
      <c r="AC22" s="244">
        <f t="shared" si="8"/>
        <v>43.982297150257104</v>
      </c>
      <c r="AD22" s="335">
        <f t="shared" si="9"/>
        <v>94</v>
      </c>
      <c r="AE22" s="335">
        <f t="shared" si="10"/>
        <v>88.452600000000004</v>
      </c>
      <c r="AF22" s="335">
        <f t="shared" si="11"/>
        <v>41</v>
      </c>
      <c r="AG22" s="335">
        <f t="shared" si="12"/>
        <v>41</v>
      </c>
      <c r="AH22" s="335">
        <f t="shared" si="13"/>
        <v>17</v>
      </c>
      <c r="AI22" s="195">
        <f t="shared" si="14"/>
        <v>66.602023837897548</v>
      </c>
      <c r="AJ22" s="336">
        <f t="shared" si="17"/>
        <v>1.4894442283231899</v>
      </c>
      <c r="AK22" s="195">
        <f t="shared" si="15"/>
        <v>1.5</v>
      </c>
      <c r="AL22" s="195">
        <f t="shared" si="16"/>
        <v>1.05557716768101E-2</v>
      </c>
    </row>
    <row r="23" spans="1:40" ht="15" customHeight="1" x14ac:dyDescent="0.25">
      <c r="A23" s="71" t="str">
        <f t="shared" ref="A23:A24" si="24">CONCATENATE(F23,"x",(IF(H23=INT(H23),CONCATENATE(H23,",",0),H23)))</f>
        <v>SIGMA200x1,0</v>
      </c>
      <c r="B23" s="10" t="str">
        <f t="shared" ref="B23:B24" si="25">LEFT(G23,3)</f>
        <v>200</v>
      </c>
      <c r="C23" s="1">
        <f t="shared" ref="C23:C24" si="26">VALUE(MID(G23,(SEARCH("/",G23,1)+1),(SEARCH("/",G23,(SEARCH("/",G23,1)+1))-SEARCH("/",G23,1)-1)))</f>
        <v>55</v>
      </c>
      <c r="D23" s="1">
        <f t="shared" ref="D23:D24" si="27">VALUE(MID(G23,(SEARCH("/",G23,(SEARCH("/",G23,1)+1))+1),(SEARCH("/",G23,SEARCH("/",G23,(SEARCH("/",G23,1)+1))+1))-(SEARCH("/",G23,(SEARCH("/",G23,1)+1))+1)))</f>
        <v>55</v>
      </c>
      <c r="E23" s="1">
        <f t="shared" ref="E23:E24" si="28">VALUE(MID(G23,(SEARCH("/",G23,SEARCH("/",G23,(SEARCH("/",G23,1)+1))+1)+1),4))</f>
        <v>18</v>
      </c>
      <c r="F23" s="2" t="str">
        <f t="shared" ref="F23:F24" si="29">CONCATENATE("SIGMA",LEFT(G23,3))</f>
        <v>SIGMA200</v>
      </c>
      <c r="G23" s="80" t="s">
        <v>101</v>
      </c>
      <c r="H23" s="116">
        <v>1</v>
      </c>
      <c r="I23" s="111">
        <v>4.8899999999999997</v>
      </c>
      <c r="J23" s="111">
        <v>224.29</v>
      </c>
      <c r="K23" s="111">
        <v>24.92</v>
      </c>
      <c r="L23" s="111">
        <v>16.54</v>
      </c>
      <c r="M23" s="111">
        <v>4.46</v>
      </c>
      <c r="N23" s="111">
        <v>6.77</v>
      </c>
      <c r="O23" s="111">
        <v>1.83</v>
      </c>
      <c r="P23" s="94">
        <v>1.79</v>
      </c>
      <c r="Q23" s="94"/>
      <c r="R23" s="94">
        <v>9</v>
      </c>
      <c r="S23" s="94"/>
      <c r="T23" s="111">
        <v>2.84</v>
      </c>
      <c r="U23" s="276"/>
      <c r="V23" s="289"/>
      <c r="W23" s="290"/>
      <c r="X23" s="194"/>
      <c r="Y23" s="16"/>
      <c r="Z23" s="263"/>
      <c r="AA23" s="197"/>
      <c r="AB23" s="244">
        <f t="shared" si="7"/>
        <v>25.132741228718345</v>
      </c>
      <c r="AC23" s="244">
        <f t="shared" si="8"/>
        <v>31.415926535897931</v>
      </c>
      <c r="AD23" s="335">
        <f t="shared" si="9"/>
        <v>118</v>
      </c>
      <c r="AE23" s="335">
        <f t="shared" si="10"/>
        <v>88.046400000000006</v>
      </c>
      <c r="AF23" s="335">
        <f t="shared" si="11"/>
        <v>45</v>
      </c>
      <c r="AG23" s="335">
        <f t="shared" si="12"/>
        <v>45</v>
      </c>
      <c r="AH23" s="335">
        <f t="shared" si="13"/>
        <v>13</v>
      </c>
      <c r="AI23" s="195">
        <f t="shared" si="14"/>
        <v>70.064146776461627</v>
      </c>
      <c r="AJ23" s="336">
        <f t="shared" si="17"/>
        <v>0.69793185601780827</v>
      </c>
      <c r="AK23" s="195">
        <f t="shared" si="15"/>
        <v>0.5</v>
      </c>
      <c r="AL23" s="195">
        <f t="shared" si="16"/>
        <v>0.19793185601780827</v>
      </c>
    </row>
    <row r="24" spans="1:40" ht="15" customHeight="1" x14ac:dyDescent="0.25">
      <c r="A24" s="72" t="str">
        <f t="shared" si="24"/>
        <v>SIGMA200x1,2</v>
      </c>
      <c r="B24" s="11" t="str">
        <f t="shared" si="25"/>
        <v>200</v>
      </c>
      <c r="C24" s="3">
        <f t="shared" si="26"/>
        <v>55</v>
      </c>
      <c r="D24" s="3">
        <f t="shared" si="27"/>
        <v>55</v>
      </c>
      <c r="E24" s="3">
        <f t="shared" si="28"/>
        <v>18</v>
      </c>
      <c r="F24" s="4" t="str">
        <f t="shared" si="29"/>
        <v>SIGMA200</v>
      </c>
      <c r="G24" s="81" t="s">
        <v>101</v>
      </c>
      <c r="H24" s="117">
        <v>1.2</v>
      </c>
      <c r="I24" s="112">
        <v>6.55</v>
      </c>
      <c r="J24" s="112">
        <v>298.36</v>
      </c>
      <c r="K24" s="112">
        <v>33.15</v>
      </c>
      <c r="L24" s="112">
        <v>22.37</v>
      </c>
      <c r="M24" s="112">
        <v>6.12</v>
      </c>
      <c r="N24" s="112">
        <v>6.74</v>
      </c>
      <c r="O24" s="112">
        <v>1.84</v>
      </c>
      <c r="P24" s="96">
        <v>1.84</v>
      </c>
      <c r="Q24" s="96"/>
      <c r="R24" s="96">
        <v>9</v>
      </c>
      <c r="S24" s="96"/>
      <c r="T24" s="112">
        <v>3.38</v>
      </c>
      <c r="U24" s="269"/>
      <c r="V24" s="138"/>
      <c r="W24" s="139"/>
      <c r="X24" s="86"/>
      <c r="Y24" s="16"/>
      <c r="Z24" s="263"/>
      <c r="AA24" s="197"/>
      <c r="AB24" s="244">
        <f t="shared" si="7"/>
        <v>25.132741228718345</v>
      </c>
      <c r="AC24" s="244">
        <f t="shared" si="8"/>
        <v>32.672563597333848</v>
      </c>
      <c r="AD24" s="335">
        <f t="shared" si="9"/>
        <v>117.6</v>
      </c>
      <c r="AE24" s="335">
        <f t="shared" si="10"/>
        <v>88.084900000000005</v>
      </c>
      <c r="AF24" s="335">
        <f t="shared" si="11"/>
        <v>44.6</v>
      </c>
      <c r="AG24" s="335">
        <f t="shared" si="12"/>
        <v>44.6</v>
      </c>
      <c r="AH24" s="335">
        <f t="shared" si="13"/>
        <v>12.8</v>
      </c>
      <c r="AI24" s="195">
        <f t="shared" si="14"/>
        <v>69.877510482605231</v>
      </c>
      <c r="AJ24" s="336">
        <f t="shared" si="17"/>
        <v>0.93735451574659445</v>
      </c>
      <c r="AK24" s="195">
        <f t="shared" si="15"/>
        <v>0.6</v>
      </c>
      <c r="AL24" s="195">
        <f t="shared" si="16"/>
        <v>0.33735451574659447</v>
      </c>
    </row>
    <row r="25" spans="1:40" ht="15" customHeight="1" x14ac:dyDescent="0.25">
      <c r="A25" s="72" t="str">
        <f t="shared" si="18"/>
        <v>SIGMA200x1,5</v>
      </c>
      <c r="B25" s="11" t="str">
        <f t="shared" si="19"/>
        <v>200</v>
      </c>
      <c r="C25" s="3">
        <f t="shared" si="20"/>
        <v>55</v>
      </c>
      <c r="D25" s="3">
        <f t="shared" si="21"/>
        <v>55</v>
      </c>
      <c r="E25" s="3">
        <f t="shared" si="22"/>
        <v>18</v>
      </c>
      <c r="F25" s="4" t="str">
        <f t="shared" si="23"/>
        <v>SIGMA200</v>
      </c>
      <c r="G25" s="81" t="s">
        <v>101</v>
      </c>
      <c r="H25" s="117">
        <v>1.5</v>
      </c>
      <c r="I25" s="112">
        <v>5.19</v>
      </c>
      <c r="J25" s="112">
        <v>287.76</v>
      </c>
      <c r="K25" s="112">
        <v>28.77</v>
      </c>
      <c r="L25" s="112">
        <v>17.38</v>
      </c>
      <c r="M25" s="112">
        <v>4.5599999999999996</v>
      </c>
      <c r="N25" s="112">
        <v>7.44</v>
      </c>
      <c r="O25" s="112">
        <v>1.82</v>
      </c>
      <c r="P25" s="96">
        <v>1.7</v>
      </c>
      <c r="Q25" s="96"/>
      <c r="R25" s="96">
        <v>10</v>
      </c>
      <c r="S25" s="96"/>
      <c r="T25" s="112">
        <v>4.07</v>
      </c>
      <c r="U25" s="269"/>
      <c r="V25" s="291">
        <v>3.9E-2</v>
      </c>
      <c r="W25" s="292">
        <v>7.8E-2</v>
      </c>
      <c r="X25" s="293">
        <v>71.998000000000005</v>
      </c>
      <c r="Y25" s="16"/>
      <c r="Z25" s="263"/>
      <c r="AA25" s="197"/>
      <c r="AB25" s="244">
        <f t="shared" si="7"/>
        <v>25.132741228718345</v>
      </c>
      <c r="AC25" s="244">
        <f t="shared" si="8"/>
        <v>34.557519189487721</v>
      </c>
      <c r="AD25" s="335">
        <f t="shared" si="9"/>
        <v>117</v>
      </c>
      <c r="AE25" s="335">
        <f t="shared" si="10"/>
        <v>88.143600000000006</v>
      </c>
      <c r="AF25" s="335">
        <f t="shared" si="11"/>
        <v>44</v>
      </c>
      <c r="AG25" s="335">
        <f t="shared" si="12"/>
        <v>44</v>
      </c>
      <c r="AH25" s="335">
        <f t="shared" si="13"/>
        <v>12.5</v>
      </c>
      <c r="AI25" s="195">
        <f t="shared" si="14"/>
        <v>69.597746041820614</v>
      </c>
      <c r="AJ25" s="336">
        <f t="shared" si="17"/>
        <v>0.7457138047087587</v>
      </c>
      <c r="AK25" s="195">
        <f t="shared" si="15"/>
        <v>0.75</v>
      </c>
      <c r="AL25" s="195">
        <f t="shared" si="16"/>
        <v>4.2861952912413015E-3</v>
      </c>
    </row>
    <row r="26" spans="1:40" ht="15" customHeight="1" x14ac:dyDescent="0.25">
      <c r="A26" s="72" t="str">
        <f t="shared" si="18"/>
        <v>SIGMA200x2,0</v>
      </c>
      <c r="B26" s="11" t="str">
        <f t="shared" si="19"/>
        <v>200</v>
      </c>
      <c r="C26" s="3">
        <f t="shared" si="20"/>
        <v>55</v>
      </c>
      <c r="D26" s="3">
        <f t="shared" si="21"/>
        <v>55</v>
      </c>
      <c r="E26" s="3">
        <f t="shared" si="22"/>
        <v>20</v>
      </c>
      <c r="F26" s="4" t="str">
        <f t="shared" si="23"/>
        <v>SIGMA200</v>
      </c>
      <c r="G26" s="81" t="s">
        <v>102</v>
      </c>
      <c r="H26" s="117">
        <v>2</v>
      </c>
      <c r="I26" s="112">
        <v>6.95</v>
      </c>
      <c r="J26" s="112">
        <v>383.19</v>
      </c>
      <c r="K26" s="112">
        <v>38.31</v>
      </c>
      <c r="L26" s="112">
        <v>23.52</v>
      </c>
      <c r="M26" s="112">
        <v>6.26</v>
      </c>
      <c r="N26" s="112">
        <v>7.42</v>
      </c>
      <c r="O26" s="112">
        <v>1.83</v>
      </c>
      <c r="P26" s="96">
        <v>1.74</v>
      </c>
      <c r="Q26" s="96"/>
      <c r="R26" s="96">
        <v>10</v>
      </c>
      <c r="S26" s="96"/>
      <c r="T26" s="112">
        <v>5.45</v>
      </c>
      <c r="U26" s="269"/>
      <c r="V26" s="291">
        <v>9.2999999999999999E-2</v>
      </c>
      <c r="W26" s="292">
        <v>0.186</v>
      </c>
      <c r="X26" s="293">
        <v>99.492999999999995</v>
      </c>
      <c r="Y26" s="16"/>
      <c r="Z26" s="263"/>
      <c r="AA26" s="197"/>
      <c r="AB26" s="244">
        <f t="shared" si="7"/>
        <v>25.132741228718345</v>
      </c>
      <c r="AC26" s="244">
        <f t="shared" si="8"/>
        <v>37.699111843077517</v>
      </c>
      <c r="AD26" s="335">
        <f t="shared" si="9"/>
        <v>116</v>
      </c>
      <c r="AE26" s="335">
        <f t="shared" si="10"/>
        <v>88.243600000000001</v>
      </c>
      <c r="AF26" s="335">
        <f t="shared" si="11"/>
        <v>43</v>
      </c>
      <c r="AG26" s="335">
        <f t="shared" si="12"/>
        <v>43</v>
      </c>
      <c r="AH26" s="335">
        <f t="shared" si="13"/>
        <v>14</v>
      </c>
      <c r="AI26" s="195">
        <f t="shared" si="14"/>
        <v>69.931905307179591</v>
      </c>
      <c r="AJ26" s="336">
        <f t="shared" si="17"/>
        <v>0.99382391620416421</v>
      </c>
      <c r="AK26" s="195">
        <f t="shared" si="15"/>
        <v>1</v>
      </c>
      <c r="AL26" s="195">
        <f t="shared" si="16"/>
        <v>6.176083795835785E-3</v>
      </c>
    </row>
    <row r="27" spans="1:40" ht="15" customHeight="1" x14ac:dyDescent="0.25">
      <c r="A27" s="72" t="str">
        <f t="shared" si="18"/>
        <v>SIGMA200x2,5</v>
      </c>
      <c r="B27" s="11" t="str">
        <f t="shared" si="19"/>
        <v>200</v>
      </c>
      <c r="C27" s="3">
        <f t="shared" si="20"/>
        <v>55</v>
      </c>
      <c r="D27" s="3">
        <f t="shared" si="21"/>
        <v>55</v>
      </c>
      <c r="E27" s="3">
        <f t="shared" si="22"/>
        <v>22</v>
      </c>
      <c r="F27" s="4" t="str">
        <f t="shared" si="23"/>
        <v>SIGMA200</v>
      </c>
      <c r="G27" s="81" t="s">
        <v>103</v>
      </c>
      <c r="H27" s="117">
        <v>2.5</v>
      </c>
      <c r="I27" s="112">
        <v>8.73</v>
      </c>
      <c r="J27" s="112">
        <v>478.11</v>
      </c>
      <c r="K27" s="112">
        <v>47.81</v>
      </c>
      <c r="L27" s="112">
        <v>29.79</v>
      </c>
      <c r="M27" s="112">
        <v>8.0299999999999994</v>
      </c>
      <c r="N27" s="112">
        <v>7.39</v>
      </c>
      <c r="O27" s="112">
        <v>1.84</v>
      </c>
      <c r="P27" s="96">
        <v>1.79</v>
      </c>
      <c r="Q27" s="96"/>
      <c r="R27" s="96">
        <v>10</v>
      </c>
      <c r="S27" s="96"/>
      <c r="T27" s="112">
        <v>6.85</v>
      </c>
      <c r="U27" s="269"/>
      <c r="V27" s="291">
        <v>0.183</v>
      </c>
      <c r="W27" s="292">
        <v>0.36599999999999999</v>
      </c>
      <c r="X27" s="293">
        <v>128.66999999999999</v>
      </c>
      <c r="Y27" s="16"/>
      <c r="Z27" s="263"/>
      <c r="AA27" s="197"/>
      <c r="AB27" s="244">
        <f t="shared" si="7"/>
        <v>25.132741228718345</v>
      </c>
      <c r="AC27" s="244">
        <f t="shared" si="8"/>
        <v>40.840704496667314</v>
      </c>
      <c r="AD27" s="335">
        <f t="shared" si="9"/>
        <v>115</v>
      </c>
      <c r="AE27" s="335">
        <f t="shared" si="10"/>
        <v>88.346599999999995</v>
      </c>
      <c r="AF27" s="335">
        <f t="shared" si="11"/>
        <v>42</v>
      </c>
      <c r="AG27" s="335">
        <f t="shared" si="12"/>
        <v>42</v>
      </c>
      <c r="AH27" s="335">
        <f t="shared" si="13"/>
        <v>15.5</v>
      </c>
      <c r="AI27" s="195">
        <f t="shared" si="14"/>
        <v>70.266664572538559</v>
      </c>
      <c r="AJ27" s="336">
        <f t="shared" si="17"/>
        <v>1.242409904199699</v>
      </c>
      <c r="AK27" s="195">
        <f t="shared" si="15"/>
        <v>1.25</v>
      </c>
      <c r="AL27" s="195">
        <f t="shared" si="16"/>
        <v>7.5900958003010111E-3</v>
      </c>
    </row>
    <row r="28" spans="1:40" ht="15" customHeight="1" thickBot="1" x14ac:dyDescent="0.3">
      <c r="A28" s="73" t="str">
        <f t="shared" si="18"/>
        <v>SIGMA200x3,0</v>
      </c>
      <c r="B28" s="12" t="str">
        <f t="shared" si="19"/>
        <v>200</v>
      </c>
      <c r="C28" s="5">
        <f t="shared" si="20"/>
        <v>55</v>
      </c>
      <c r="D28" s="5">
        <f t="shared" si="21"/>
        <v>55</v>
      </c>
      <c r="E28" s="5">
        <f t="shared" si="22"/>
        <v>24</v>
      </c>
      <c r="F28" s="6" t="str">
        <f t="shared" si="23"/>
        <v>SIGMA200</v>
      </c>
      <c r="G28" s="82" t="s">
        <v>104</v>
      </c>
      <c r="H28" s="118">
        <v>3</v>
      </c>
      <c r="I28" s="113">
        <v>10.52</v>
      </c>
      <c r="J28" s="113">
        <v>572.38</v>
      </c>
      <c r="K28" s="113">
        <v>57.23</v>
      </c>
      <c r="L28" s="113">
        <v>36.14</v>
      </c>
      <c r="M28" s="113">
        <v>9.8699999999999992</v>
      </c>
      <c r="N28" s="113">
        <v>7.37</v>
      </c>
      <c r="O28" s="113">
        <v>1.85</v>
      </c>
      <c r="P28" s="98">
        <v>1.84</v>
      </c>
      <c r="Q28" s="98"/>
      <c r="R28" s="98">
        <v>10</v>
      </c>
      <c r="S28" s="98"/>
      <c r="T28" s="113">
        <v>8.25</v>
      </c>
      <c r="U28" s="270"/>
      <c r="V28" s="294">
        <v>0.317</v>
      </c>
      <c r="W28" s="295">
        <v>0.63500000000000001</v>
      </c>
      <c r="X28" s="296">
        <v>159.49100000000001</v>
      </c>
      <c r="Y28" s="16"/>
      <c r="Z28" s="263"/>
      <c r="AA28" s="197"/>
      <c r="AB28" s="244">
        <f t="shared" si="7"/>
        <v>25.132741228718345</v>
      </c>
      <c r="AC28" s="244">
        <f t="shared" si="8"/>
        <v>43.982297150257104</v>
      </c>
      <c r="AD28" s="335">
        <f t="shared" si="9"/>
        <v>114</v>
      </c>
      <c r="AE28" s="335">
        <f t="shared" si="10"/>
        <v>88.452600000000004</v>
      </c>
      <c r="AF28" s="335">
        <f t="shared" si="11"/>
        <v>41</v>
      </c>
      <c r="AG28" s="335">
        <f t="shared" si="12"/>
        <v>41</v>
      </c>
      <c r="AH28" s="335">
        <f t="shared" si="13"/>
        <v>17</v>
      </c>
      <c r="AI28" s="195">
        <f t="shared" si="14"/>
        <v>70.602023837897548</v>
      </c>
      <c r="AJ28" s="336">
        <f t="shared" si="17"/>
        <v>1.4900422718977504</v>
      </c>
      <c r="AK28" s="195">
        <f t="shared" si="15"/>
        <v>1.5</v>
      </c>
      <c r="AL28" s="195">
        <f t="shared" si="16"/>
        <v>9.9577281022495967E-3</v>
      </c>
    </row>
    <row r="29" spans="1:40" ht="15" customHeight="1" x14ac:dyDescent="0.25">
      <c r="A29" s="71" t="str">
        <f t="shared" si="18"/>
        <v>SIGMA220x1,5</v>
      </c>
      <c r="B29" s="10" t="str">
        <f>LEFT(G29,3)</f>
        <v>220</v>
      </c>
      <c r="C29" s="1">
        <f t="shared" si="20"/>
        <v>55</v>
      </c>
      <c r="D29" s="1">
        <f t="shared" si="21"/>
        <v>55</v>
      </c>
      <c r="E29" s="1">
        <f t="shared" si="22"/>
        <v>18</v>
      </c>
      <c r="F29" s="2" t="str">
        <f t="shared" si="23"/>
        <v>SIGMA220</v>
      </c>
      <c r="G29" s="80" t="s">
        <v>105</v>
      </c>
      <c r="H29" s="116">
        <v>1.5</v>
      </c>
      <c r="I29" s="111">
        <v>5.49</v>
      </c>
      <c r="J29" s="111">
        <v>361.18</v>
      </c>
      <c r="K29" s="111">
        <v>32.83</v>
      </c>
      <c r="L29" s="111">
        <v>18.13</v>
      </c>
      <c r="M29" s="111">
        <v>4.6500000000000004</v>
      </c>
      <c r="N29" s="111">
        <v>8.1</v>
      </c>
      <c r="O29" s="111">
        <v>1.81</v>
      </c>
      <c r="P29" s="94">
        <v>1.61</v>
      </c>
      <c r="Q29" s="94"/>
      <c r="R29" s="94">
        <v>11</v>
      </c>
      <c r="S29" s="94"/>
      <c r="T29" s="111">
        <v>4.3099999999999996</v>
      </c>
      <c r="U29" s="276"/>
      <c r="V29" s="297">
        <v>4.1000000000000002E-2</v>
      </c>
      <c r="W29" s="298">
        <v>8.3000000000000004E-2</v>
      </c>
      <c r="X29" s="299">
        <v>76.123999999999995</v>
      </c>
      <c r="Y29" s="16"/>
      <c r="Z29" s="263"/>
      <c r="AA29" s="197"/>
      <c r="AB29" s="244">
        <f t="shared" si="7"/>
        <v>25.132741228718345</v>
      </c>
      <c r="AC29" s="244">
        <f t="shared" si="8"/>
        <v>34.557519189487721</v>
      </c>
      <c r="AD29" s="335">
        <f t="shared" si="9"/>
        <v>137</v>
      </c>
      <c r="AE29" s="335">
        <f t="shared" si="10"/>
        <v>88.143600000000006</v>
      </c>
      <c r="AF29" s="335">
        <f t="shared" si="11"/>
        <v>44</v>
      </c>
      <c r="AG29" s="335">
        <f t="shared" si="12"/>
        <v>44</v>
      </c>
      <c r="AH29" s="335">
        <f t="shared" si="13"/>
        <v>12.5</v>
      </c>
      <c r="AI29" s="195">
        <f t="shared" si="14"/>
        <v>73.597746041820614</v>
      </c>
      <c r="AJ29" s="336">
        <f t="shared" si="17"/>
        <v>0.74594675723906079</v>
      </c>
      <c r="AK29" s="195">
        <f t="shared" si="15"/>
        <v>0.75</v>
      </c>
      <c r="AL29" s="195">
        <f t="shared" si="16"/>
        <v>4.053242760939213E-3</v>
      </c>
    </row>
    <row r="30" spans="1:40" ht="15" customHeight="1" x14ac:dyDescent="0.25">
      <c r="A30" s="72" t="str">
        <f t="shared" si="18"/>
        <v>SIGMA220x2,0</v>
      </c>
      <c r="B30" s="11" t="str">
        <f t="shared" ref="B30:B31" si="30">LEFT(G30,3)</f>
        <v>220</v>
      </c>
      <c r="C30" s="3">
        <f t="shared" si="20"/>
        <v>55</v>
      </c>
      <c r="D30" s="3">
        <f t="shared" si="21"/>
        <v>55</v>
      </c>
      <c r="E30" s="3">
        <f t="shared" si="22"/>
        <v>20</v>
      </c>
      <c r="F30" s="4" t="str">
        <f t="shared" si="23"/>
        <v>SIGMA220</v>
      </c>
      <c r="G30" s="81" t="s">
        <v>106</v>
      </c>
      <c r="H30" s="117">
        <v>2</v>
      </c>
      <c r="I30" s="112">
        <v>7.35</v>
      </c>
      <c r="J30" s="112">
        <v>481.35</v>
      </c>
      <c r="K30" s="112">
        <v>43.75</v>
      </c>
      <c r="L30" s="112">
        <v>24.55</v>
      </c>
      <c r="M30" s="112">
        <v>6.38</v>
      </c>
      <c r="N30" s="112">
        <v>8.08</v>
      </c>
      <c r="O30" s="112">
        <v>1.82</v>
      </c>
      <c r="P30" s="96">
        <v>1.66</v>
      </c>
      <c r="Q30" s="96"/>
      <c r="R30" s="96">
        <v>11</v>
      </c>
      <c r="S30" s="96"/>
      <c r="T30" s="112">
        <v>5.77</v>
      </c>
      <c r="U30" s="269"/>
      <c r="V30" s="291">
        <v>9.8000000000000004E-2</v>
      </c>
      <c r="W30" s="292">
        <v>0.19700000000000001</v>
      </c>
      <c r="X30" s="293">
        <v>105.169</v>
      </c>
      <c r="Y30" s="16"/>
      <c r="Z30" s="263"/>
      <c r="AA30" s="197"/>
      <c r="AB30" s="244">
        <f t="shared" si="7"/>
        <v>25.132741228718345</v>
      </c>
      <c r="AC30" s="244">
        <f t="shared" si="8"/>
        <v>37.699111843077517</v>
      </c>
      <c r="AD30" s="335">
        <f t="shared" si="9"/>
        <v>136</v>
      </c>
      <c r="AE30" s="335">
        <f t="shared" si="10"/>
        <v>88.243600000000001</v>
      </c>
      <c r="AF30" s="335">
        <f t="shared" si="11"/>
        <v>43</v>
      </c>
      <c r="AG30" s="335">
        <f t="shared" si="12"/>
        <v>43</v>
      </c>
      <c r="AH30" s="335">
        <f t="shared" si="13"/>
        <v>14</v>
      </c>
      <c r="AI30" s="195">
        <f t="shared" si="14"/>
        <v>73.931905307179591</v>
      </c>
      <c r="AJ30" s="336">
        <f t="shared" si="17"/>
        <v>0.99415806605571611</v>
      </c>
      <c r="AK30" s="195">
        <f t="shared" si="15"/>
        <v>1</v>
      </c>
      <c r="AL30" s="195">
        <f t="shared" si="16"/>
        <v>5.8419339442838947E-3</v>
      </c>
    </row>
    <row r="31" spans="1:40" ht="15" customHeight="1" x14ac:dyDescent="0.25">
      <c r="A31" s="72" t="str">
        <f t="shared" si="18"/>
        <v>SIGMA220x2,5</v>
      </c>
      <c r="B31" s="11" t="str">
        <f t="shared" si="30"/>
        <v>220</v>
      </c>
      <c r="C31" s="3">
        <f t="shared" si="20"/>
        <v>55</v>
      </c>
      <c r="D31" s="3">
        <f t="shared" si="21"/>
        <v>55</v>
      </c>
      <c r="E31" s="3">
        <f t="shared" si="22"/>
        <v>22</v>
      </c>
      <c r="F31" s="4" t="str">
        <f t="shared" si="23"/>
        <v>SIGMA220</v>
      </c>
      <c r="G31" s="81" t="s">
        <v>107</v>
      </c>
      <c r="H31" s="117">
        <v>2.5</v>
      </c>
      <c r="I31" s="112">
        <v>9.23</v>
      </c>
      <c r="J31" s="112">
        <v>601.11</v>
      </c>
      <c r="K31" s="112">
        <v>54.64</v>
      </c>
      <c r="L31" s="112">
        <v>31.1</v>
      </c>
      <c r="M31" s="112">
        <v>8.19</v>
      </c>
      <c r="N31" s="112">
        <v>8.06</v>
      </c>
      <c r="O31" s="112">
        <v>1.83</v>
      </c>
      <c r="P31" s="96">
        <v>1.7</v>
      </c>
      <c r="Q31" s="96"/>
      <c r="R31" s="96">
        <v>11</v>
      </c>
      <c r="S31" s="96"/>
      <c r="T31" s="112">
        <v>7.24</v>
      </c>
      <c r="U31" s="269"/>
      <c r="V31" s="291">
        <v>0.193</v>
      </c>
      <c r="W31" s="292">
        <v>0.38600000000000001</v>
      </c>
      <c r="X31" s="293">
        <v>135.98500000000001</v>
      </c>
      <c r="Y31" s="16"/>
      <c r="Z31" s="263"/>
      <c r="AA31" s="197"/>
      <c r="AB31" s="244">
        <f t="shared" si="7"/>
        <v>25.132741228718345</v>
      </c>
      <c r="AC31" s="244">
        <f t="shared" si="8"/>
        <v>40.840704496667314</v>
      </c>
      <c r="AD31" s="335">
        <f t="shared" si="9"/>
        <v>135</v>
      </c>
      <c r="AE31" s="335">
        <f t="shared" si="10"/>
        <v>88.346599999999995</v>
      </c>
      <c r="AF31" s="335">
        <f t="shared" si="11"/>
        <v>42</v>
      </c>
      <c r="AG31" s="335">
        <f t="shared" si="12"/>
        <v>42</v>
      </c>
      <c r="AH31" s="335">
        <f t="shared" si="13"/>
        <v>15.5</v>
      </c>
      <c r="AI31" s="195">
        <f t="shared" si="14"/>
        <v>74.266664572538559</v>
      </c>
      <c r="AJ31" s="336">
        <f t="shared" si="17"/>
        <v>1.2428187064984955</v>
      </c>
      <c r="AK31" s="195">
        <f t="shared" si="15"/>
        <v>1.25</v>
      </c>
      <c r="AL31" s="195">
        <f t="shared" si="16"/>
        <v>7.1812935015045376E-3</v>
      </c>
    </row>
    <row r="32" spans="1:40" ht="15" customHeight="1" thickBot="1" x14ac:dyDescent="0.3">
      <c r="A32" s="126" t="str">
        <f t="shared" si="18"/>
        <v>SIGMA220x3,0</v>
      </c>
      <c r="B32" s="150" t="str">
        <f t="shared" ref="B32:B45" si="31">LEFT(G32,3)</f>
        <v>220</v>
      </c>
      <c r="C32" s="14">
        <f t="shared" si="20"/>
        <v>55</v>
      </c>
      <c r="D32" s="14">
        <f t="shared" si="21"/>
        <v>55</v>
      </c>
      <c r="E32" s="14">
        <f t="shared" si="22"/>
        <v>24</v>
      </c>
      <c r="F32" s="7" t="str">
        <f t="shared" si="23"/>
        <v>SIGMA220</v>
      </c>
      <c r="G32" s="151" t="s">
        <v>108</v>
      </c>
      <c r="H32" s="152">
        <v>3</v>
      </c>
      <c r="I32" s="199">
        <v>11.12</v>
      </c>
      <c r="J32" s="199">
        <v>720.3</v>
      </c>
      <c r="K32" s="199">
        <v>65.48</v>
      </c>
      <c r="L32" s="199">
        <v>37.770000000000003</v>
      </c>
      <c r="M32" s="199">
        <v>10.06</v>
      </c>
      <c r="N32" s="199">
        <v>8.0399999999999991</v>
      </c>
      <c r="O32" s="199">
        <v>1.84</v>
      </c>
      <c r="P32" s="108">
        <v>1.75</v>
      </c>
      <c r="Q32" s="108"/>
      <c r="R32" s="108">
        <v>11</v>
      </c>
      <c r="S32" s="108"/>
      <c r="T32" s="199">
        <v>8.7200000000000006</v>
      </c>
      <c r="U32" s="277"/>
      <c r="V32" s="300">
        <v>0.33500000000000002</v>
      </c>
      <c r="W32" s="301">
        <v>0.67100000000000004</v>
      </c>
      <c r="X32" s="302">
        <v>168.53100000000001</v>
      </c>
      <c r="Y32" s="16"/>
      <c r="Z32" s="263"/>
      <c r="AA32" s="197"/>
      <c r="AB32" s="244">
        <f t="shared" si="7"/>
        <v>25.132741228718345</v>
      </c>
      <c r="AC32" s="244">
        <f t="shared" si="8"/>
        <v>43.982297150257104</v>
      </c>
      <c r="AD32" s="335">
        <f t="shared" si="9"/>
        <v>134</v>
      </c>
      <c r="AE32" s="335">
        <f t="shared" si="10"/>
        <v>88.452600000000004</v>
      </c>
      <c r="AF32" s="335">
        <f t="shared" si="11"/>
        <v>41</v>
      </c>
      <c r="AG32" s="335">
        <f t="shared" si="12"/>
        <v>41</v>
      </c>
      <c r="AH32" s="335">
        <f t="shared" si="13"/>
        <v>17</v>
      </c>
      <c r="AI32" s="195">
        <f t="shared" si="14"/>
        <v>74.602023837897548</v>
      </c>
      <c r="AJ32" s="336">
        <f t="shared" si="17"/>
        <v>1.4905761838529479</v>
      </c>
      <c r="AK32" s="195">
        <f t="shared" si="15"/>
        <v>1.5</v>
      </c>
      <c r="AL32" s="195">
        <f t="shared" si="16"/>
        <v>9.423816147052122E-3</v>
      </c>
    </row>
    <row r="33" spans="1:40" ht="15" customHeight="1" x14ac:dyDescent="0.25">
      <c r="A33" s="71" t="str">
        <f t="shared" ref="A33:A34" si="32">CONCATENATE(F33,"x",(IF(H33=INT(H33),CONCATENATE(H33,",",0),H33)))</f>
        <v>SIGMA250x1,0</v>
      </c>
      <c r="B33" s="10" t="str">
        <f t="shared" si="31"/>
        <v>250</v>
      </c>
      <c r="C33" s="1">
        <f t="shared" ref="C33:C34" si="33">VALUE(MID(G33,(SEARCH("/",G33,1)+1),(SEARCH("/",G33,(SEARCH("/",G33,1)+1))-SEARCH("/",G33,1)-1)))</f>
        <v>66</v>
      </c>
      <c r="D33" s="1">
        <f t="shared" ref="D33:D34" si="34">VALUE(MID(G33,(SEARCH("/",G33,(SEARCH("/",G33,1)+1))+1),(SEARCH("/",G33,SEARCH("/",G33,(SEARCH("/",G33,1)+1))+1))-(SEARCH("/",G33,(SEARCH("/",G33,1)+1))+1)))</f>
        <v>66</v>
      </c>
      <c r="E33" s="1">
        <f t="shared" ref="E33:E34" si="35">VALUE(MID(G33,(SEARCH("/",G33,SEARCH("/",G33,(SEARCH("/",G33,1)+1))+1)+1),4))</f>
        <v>20</v>
      </c>
      <c r="F33" s="2" t="str">
        <f t="shared" ref="F33:F34" si="36">CONCATENATE("SIGMA",LEFT(G33,3))</f>
        <v>SIGMA250</v>
      </c>
      <c r="G33" s="80" t="s">
        <v>109</v>
      </c>
      <c r="H33" s="116">
        <v>1</v>
      </c>
      <c r="I33" s="111">
        <v>8.23</v>
      </c>
      <c r="J33" s="111">
        <v>371.86</v>
      </c>
      <c r="K33" s="111">
        <v>41.31</v>
      </c>
      <c r="L33" s="111">
        <v>28.31</v>
      </c>
      <c r="M33" s="111">
        <v>7.85</v>
      </c>
      <c r="N33" s="111">
        <v>6.72</v>
      </c>
      <c r="O33" s="111">
        <v>1.85</v>
      </c>
      <c r="P33" s="94">
        <v>1.89</v>
      </c>
      <c r="Q33" s="94"/>
      <c r="R33" s="94">
        <v>9</v>
      </c>
      <c r="S33" s="94"/>
      <c r="T33" s="111">
        <v>3.46</v>
      </c>
      <c r="U33" s="276"/>
      <c r="V33" s="289"/>
      <c r="W33" s="290"/>
      <c r="X33" s="194"/>
      <c r="Y33" s="16"/>
      <c r="Z33" s="263"/>
      <c r="AA33" s="197"/>
      <c r="AB33" s="244">
        <f t="shared" si="7"/>
        <v>25.132741228718345</v>
      </c>
      <c r="AC33" s="244">
        <f t="shared" si="8"/>
        <v>31.415926535897931</v>
      </c>
      <c r="AD33" s="335">
        <f t="shared" si="9"/>
        <v>168</v>
      </c>
      <c r="AE33" s="335">
        <f t="shared" si="10"/>
        <v>88.046400000000006</v>
      </c>
      <c r="AF33" s="335">
        <f t="shared" si="11"/>
        <v>56</v>
      </c>
      <c r="AG33" s="335">
        <f t="shared" si="12"/>
        <v>56</v>
      </c>
      <c r="AH33" s="335">
        <f t="shared" si="13"/>
        <v>15</v>
      </c>
      <c r="AI33" s="195">
        <f t="shared" si="14"/>
        <v>85.264146776461629</v>
      </c>
      <c r="AJ33" s="336">
        <f t="shared" si="17"/>
        <v>0.9652357187806877</v>
      </c>
      <c r="AK33" s="195">
        <f t="shared" si="15"/>
        <v>0.5</v>
      </c>
      <c r="AL33" s="195">
        <f t="shared" si="16"/>
        <v>0.4652357187806877</v>
      </c>
    </row>
    <row r="34" spans="1:40" ht="15" customHeight="1" x14ac:dyDescent="0.25">
      <c r="A34" s="72" t="str">
        <f t="shared" si="32"/>
        <v>SIGMA250x1,2</v>
      </c>
      <c r="B34" s="11" t="str">
        <f t="shared" si="31"/>
        <v>250</v>
      </c>
      <c r="C34" s="3">
        <f t="shared" si="33"/>
        <v>66</v>
      </c>
      <c r="D34" s="3">
        <f t="shared" si="34"/>
        <v>66</v>
      </c>
      <c r="E34" s="3">
        <f t="shared" si="35"/>
        <v>20</v>
      </c>
      <c r="F34" s="4" t="str">
        <f t="shared" si="36"/>
        <v>SIGMA250</v>
      </c>
      <c r="G34" s="81" t="s">
        <v>109</v>
      </c>
      <c r="H34" s="117">
        <v>1.2</v>
      </c>
      <c r="I34" s="112">
        <v>9.92</v>
      </c>
      <c r="J34" s="112">
        <v>444.65</v>
      </c>
      <c r="K34" s="112">
        <v>49.4</v>
      </c>
      <c r="L34" s="112">
        <v>34.32</v>
      </c>
      <c r="M34" s="112">
        <v>9.64</v>
      </c>
      <c r="N34" s="112">
        <v>6.69</v>
      </c>
      <c r="O34" s="112">
        <v>1.85</v>
      </c>
      <c r="P34" s="96">
        <v>1.94</v>
      </c>
      <c r="Q34" s="96"/>
      <c r="R34" s="96">
        <v>9</v>
      </c>
      <c r="S34" s="96"/>
      <c r="T34" s="112">
        <v>4.1100000000000003</v>
      </c>
      <c r="U34" s="269"/>
      <c r="V34" s="138"/>
      <c r="W34" s="139"/>
      <c r="X34" s="86"/>
      <c r="Y34" s="16"/>
      <c r="Z34" s="263"/>
      <c r="AA34" s="197"/>
      <c r="AB34" s="244">
        <f t="shared" si="7"/>
        <v>25.132741228718345</v>
      </c>
      <c r="AC34" s="244">
        <f t="shared" si="8"/>
        <v>32.672563597333848</v>
      </c>
      <c r="AD34" s="335">
        <f t="shared" si="9"/>
        <v>167.6</v>
      </c>
      <c r="AE34" s="335">
        <f t="shared" si="10"/>
        <v>88.084900000000005</v>
      </c>
      <c r="AF34" s="335">
        <f t="shared" si="11"/>
        <v>55.6</v>
      </c>
      <c r="AG34" s="335">
        <f t="shared" si="12"/>
        <v>55.6</v>
      </c>
      <c r="AH34" s="335">
        <f t="shared" si="13"/>
        <v>14.8</v>
      </c>
      <c r="AI34" s="195">
        <f t="shared" si="14"/>
        <v>85.07751048260522</v>
      </c>
      <c r="AJ34" s="336">
        <f t="shared" si="17"/>
        <v>1.1659955661288683</v>
      </c>
      <c r="AK34" s="195">
        <f t="shared" si="15"/>
        <v>0.6</v>
      </c>
      <c r="AL34" s="195">
        <f t="shared" si="16"/>
        <v>0.56599556612886837</v>
      </c>
    </row>
    <row r="35" spans="1:40" ht="15" customHeight="1" x14ac:dyDescent="0.25">
      <c r="A35" s="72" t="str">
        <f t="shared" si="18"/>
        <v>SIGMA250x2,0</v>
      </c>
      <c r="B35" s="11" t="str">
        <f t="shared" si="31"/>
        <v>250</v>
      </c>
      <c r="C35" s="3">
        <f t="shared" si="20"/>
        <v>66</v>
      </c>
      <c r="D35" s="3">
        <f t="shared" si="21"/>
        <v>66</v>
      </c>
      <c r="E35" s="3">
        <f t="shared" si="22"/>
        <v>20</v>
      </c>
      <c r="F35" s="4" t="str">
        <f t="shared" si="23"/>
        <v>SIGMA250</v>
      </c>
      <c r="G35" s="81" t="s">
        <v>109</v>
      </c>
      <c r="H35" s="117">
        <v>2</v>
      </c>
      <c r="I35" s="112">
        <v>8.39</v>
      </c>
      <c r="J35" s="112">
        <v>723.01</v>
      </c>
      <c r="K35" s="112">
        <v>57.84</v>
      </c>
      <c r="L35" s="112">
        <v>40.17</v>
      </c>
      <c r="M35" s="112">
        <v>8.4700000000000006</v>
      </c>
      <c r="N35" s="112">
        <v>9.2799999999999994</v>
      </c>
      <c r="O35" s="112">
        <v>2.1800000000000002</v>
      </c>
      <c r="P35" s="96">
        <v>1.86</v>
      </c>
      <c r="Q35" s="96"/>
      <c r="R35" s="96">
        <v>12.5</v>
      </c>
      <c r="S35" s="96"/>
      <c r="T35" s="112">
        <v>6.58</v>
      </c>
      <c r="U35" s="269"/>
      <c r="V35" s="291">
        <v>0.112</v>
      </c>
      <c r="W35" s="292">
        <v>0.22500000000000001</v>
      </c>
      <c r="X35" s="293">
        <v>158.232</v>
      </c>
      <c r="Z35" s="263"/>
      <c r="AA35" s="197"/>
      <c r="AB35" s="244">
        <f t="shared" si="7"/>
        <v>25.132741228718345</v>
      </c>
      <c r="AC35" s="244">
        <f t="shared" si="8"/>
        <v>37.699111843077517</v>
      </c>
      <c r="AD35" s="335">
        <f t="shared" si="9"/>
        <v>166</v>
      </c>
      <c r="AE35" s="335">
        <f t="shared" si="10"/>
        <v>88.243600000000001</v>
      </c>
      <c r="AF35" s="335">
        <f t="shared" si="11"/>
        <v>54</v>
      </c>
      <c r="AG35" s="335">
        <f t="shared" si="12"/>
        <v>54</v>
      </c>
      <c r="AH35" s="335">
        <f t="shared" si="13"/>
        <v>14</v>
      </c>
      <c r="AI35" s="195">
        <f t="shared" si="14"/>
        <v>84.331905307179596</v>
      </c>
      <c r="AJ35" s="336">
        <f t="shared" si="17"/>
        <v>0.99487850647265264</v>
      </c>
      <c r="AK35" s="195">
        <f t="shared" si="15"/>
        <v>1</v>
      </c>
      <c r="AL35" s="195">
        <f t="shared" si="16"/>
        <v>5.121493527347365E-3</v>
      </c>
    </row>
    <row r="36" spans="1:40" ht="15" customHeight="1" x14ac:dyDescent="0.25">
      <c r="A36" s="72" t="str">
        <f t="shared" si="18"/>
        <v>SIGMA250x2,5</v>
      </c>
      <c r="B36" s="11" t="str">
        <f t="shared" si="31"/>
        <v>250</v>
      </c>
      <c r="C36" s="3">
        <f t="shared" si="20"/>
        <v>67</v>
      </c>
      <c r="D36" s="3">
        <f t="shared" si="21"/>
        <v>67</v>
      </c>
      <c r="E36" s="3">
        <f t="shared" si="22"/>
        <v>20</v>
      </c>
      <c r="F36" s="4" t="str">
        <f t="shared" si="23"/>
        <v>SIGMA250</v>
      </c>
      <c r="G36" s="81" t="s">
        <v>110</v>
      </c>
      <c r="H36" s="117">
        <v>2.5</v>
      </c>
      <c r="I36" s="112">
        <v>10.48</v>
      </c>
      <c r="J36" s="112">
        <v>900.28</v>
      </c>
      <c r="K36" s="112">
        <v>72.02</v>
      </c>
      <c r="L36" s="112">
        <v>50.71</v>
      </c>
      <c r="M36" s="112">
        <v>10.55</v>
      </c>
      <c r="N36" s="112">
        <v>9.26</v>
      </c>
      <c r="O36" s="112">
        <v>2.19</v>
      </c>
      <c r="P36" s="96">
        <v>1.89</v>
      </c>
      <c r="Q36" s="96"/>
      <c r="R36" s="96">
        <v>12.5</v>
      </c>
      <c r="S36" s="96"/>
      <c r="T36" s="112">
        <v>8.2200000000000006</v>
      </c>
      <c r="U36" s="269"/>
      <c r="V36" s="291">
        <v>0.219</v>
      </c>
      <c r="W36" s="292">
        <v>0.438</v>
      </c>
      <c r="X36" s="293">
        <v>201.86099999999999</v>
      </c>
      <c r="Z36" s="263"/>
      <c r="AA36" s="197"/>
      <c r="AB36" s="244">
        <f t="shared" si="7"/>
        <v>25.132741228718345</v>
      </c>
      <c r="AC36" s="244">
        <f t="shared" si="8"/>
        <v>40.840704496667314</v>
      </c>
      <c r="AD36" s="335">
        <f t="shared" si="9"/>
        <v>165</v>
      </c>
      <c r="AE36" s="335">
        <f t="shared" si="10"/>
        <v>88.346599999999995</v>
      </c>
      <c r="AF36" s="335">
        <f t="shared" si="11"/>
        <v>54</v>
      </c>
      <c r="AG36" s="335">
        <f t="shared" si="12"/>
        <v>54</v>
      </c>
      <c r="AH36" s="335">
        <f t="shared" si="13"/>
        <v>13.5</v>
      </c>
      <c r="AI36" s="195">
        <f t="shared" si="14"/>
        <v>84.266664572538559</v>
      </c>
      <c r="AJ36" s="336">
        <f t="shared" si="17"/>
        <v>1.243670916982669</v>
      </c>
      <c r="AK36" s="195">
        <f t="shared" si="15"/>
        <v>1.25</v>
      </c>
      <c r="AL36" s="195">
        <f t="shared" si="16"/>
        <v>6.3290830173310386E-3</v>
      </c>
    </row>
    <row r="37" spans="1:40" ht="15" customHeight="1" x14ac:dyDescent="0.25">
      <c r="A37" s="72" t="str">
        <f t="shared" si="18"/>
        <v>SIGMA250x3,0</v>
      </c>
      <c r="B37" s="11" t="str">
        <f t="shared" si="31"/>
        <v>250</v>
      </c>
      <c r="C37" s="3">
        <f t="shared" si="20"/>
        <v>68</v>
      </c>
      <c r="D37" s="3">
        <f t="shared" si="21"/>
        <v>68</v>
      </c>
      <c r="E37" s="3">
        <f t="shared" si="22"/>
        <v>20</v>
      </c>
      <c r="F37" s="4" t="str">
        <f t="shared" si="23"/>
        <v>SIGMA250</v>
      </c>
      <c r="G37" s="81" t="s">
        <v>111</v>
      </c>
      <c r="H37" s="117">
        <v>3</v>
      </c>
      <c r="I37" s="112">
        <v>12.56</v>
      </c>
      <c r="J37" s="112">
        <v>1076.17</v>
      </c>
      <c r="K37" s="112">
        <v>86.09</v>
      </c>
      <c r="L37" s="112">
        <v>61.44</v>
      </c>
      <c r="M37" s="112">
        <v>12.61</v>
      </c>
      <c r="N37" s="112">
        <v>9.25</v>
      </c>
      <c r="O37" s="112">
        <v>2.21</v>
      </c>
      <c r="P37" s="96">
        <v>1.93</v>
      </c>
      <c r="Q37" s="96"/>
      <c r="R37" s="96">
        <v>12.5</v>
      </c>
      <c r="S37" s="96"/>
      <c r="T37" s="112">
        <v>9.85</v>
      </c>
      <c r="U37" s="269"/>
      <c r="V37" s="291">
        <v>0.379</v>
      </c>
      <c r="W37" s="292">
        <v>0.75700000000000001</v>
      </c>
      <c r="X37" s="293">
        <v>247.167</v>
      </c>
      <c r="Z37" s="263"/>
      <c r="AA37" s="197"/>
      <c r="AB37" s="244">
        <f t="shared" si="7"/>
        <v>25.132741228718345</v>
      </c>
      <c r="AC37" s="244">
        <f t="shared" si="8"/>
        <v>43.982297150257104</v>
      </c>
      <c r="AD37" s="335">
        <f t="shared" si="9"/>
        <v>164</v>
      </c>
      <c r="AE37" s="335">
        <f t="shared" si="10"/>
        <v>88.452600000000004</v>
      </c>
      <c r="AF37" s="335">
        <f t="shared" si="11"/>
        <v>54</v>
      </c>
      <c r="AG37" s="335">
        <f t="shared" si="12"/>
        <v>54</v>
      </c>
      <c r="AH37" s="335">
        <f t="shared" si="13"/>
        <v>13</v>
      </c>
      <c r="AI37" s="195">
        <f t="shared" si="14"/>
        <v>84.202023837897542</v>
      </c>
      <c r="AJ37" s="336">
        <f t="shared" si="17"/>
        <v>1.4916506073749514</v>
      </c>
      <c r="AK37" s="195">
        <f t="shared" si="15"/>
        <v>1.5</v>
      </c>
      <c r="AL37" s="195">
        <f t="shared" si="16"/>
        <v>8.349392625048635E-3</v>
      </c>
    </row>
    <row r="38" spans="1:40" ht="15" customHeight="1" thickBot="1" x14ac:dyDescent="0.3">
      <c r="A38" s="73" t="str">
        <f t="shared" si="18"/>
        <v>SIGMA250x3,5</v>
      </c>
      <c r="B38" s="12" t="str">
        <f t="shared" si="31"/>
        <v>250</v>
      </c>
      <c r="C38" s="5">
        <f t="shared" si="20"/>
        <v>69</v>
      </c>
      <c r="D38" s="5">
        <f t="shared" si="21"/>
        <v>69</v>
      </c>
      <c r="E38" s="5">
        <f t="shared" si="22"/>
        <v>20</v>
      </c>
      <c r="F38" s="6" t="str">
        <f t="shared" si="23"/>
        <v>SIGMA250</v>
      </c>
      <c r="G38" s="82" t="s">
        <v>112</v>
      </c>
      <c r="H38" s="118">
        <v>3.5</v>
      </c>
      <c r="I38" s="113">
        <v>14.64</v>
      </c>
      <c r="J38" s="113">
        <v>1250.68</v>
      </c>
      <c r="K38" s="113">
        <v>100.05</v>
      </c>
      <c r="L38" s="113">
        <v>72.37</v>
      </c>
      <c r="M38" s="113">
        <v>14.66</v>
      </c>
      <c r="N38" s="113">
        <v>9.24</v>
      </c>
      <c r="O38" s="113">
        <v>2.2200000000000002</v>
      </c>
      <c r="P38" s="98">
        <v>1.97</v>
      </c>
      <c r="Q38" s="98"/>
      <c r="R38" s="98">
        <v>12.5</v>
      </c>
      <c r="S38" s="98"/>
      <c r="T38" s="113">
        <v>11.48</v>
      </c>
      <c r="U38" s="270"/>
      <c r="V38" s="294">
        <v>0.60099999999999998</v>
      </c>
      <c r="W38" s="295">
        <v>1.2010000000000001</v>
      </c>
      <c r="X38" s="296">
        <v>294.173</v>
      </c>
      <c r="Z38" s="263"/>
      <c r="AA38" s="197"/>
      <c r="AB38" s="244">
        <f t="shared" si="7"/>
        <v>25.132741228718345</v>
      </c>
      <c r="AC38" s="244">
        <f t="shared" si="8"/>
        <v>47.123889803846893</v>
      </c>
      <c r="AD38" s="335">
        <f t="shared" si="9"/>
        <v>163</v>
      </c>
      <c r="AE38" s="335">
        <f t="shared" si="10"/>
        <v>88.561899999999994</v>
      </c>
      <c r="AF38" s="335">
        <f t="shared" si="11"/>
        <v>54</v>
      </c>
      <c r="AG38" s="335">
        <f t="shared" si="12"/>
        <v>54</v>
      </c>
      <c r="AH38" s="335">
        <f t="shared" si="13"/>
        <v>12.5</v>
      </c>
      <c r="AI38" s="195">
        <f t="shared" si="14"/>
        <v>84.138043103256521</v>
      </c>
      <c r="AJ38" s="336">
        <f t="shared" si="17"/>
        <v>1.7399976823841019</v>
      </c>
      <c r="AK38" s="195">
        <f t="shared" si="15"/>
        <v>1.75</v>
      </c>
      <c r="AL38" s="195">
        <f t="shared" si="16"/>
        <v>1.0002317615898093E-2</v>
      </c>
    </row>
    <row r="39" spans="1:40" ht="15" customHeight="1" x14ac:dyDescent="0.25">
      <c r="A39" s="71" t="str">
        <f t="shared" si="18"/>
        <v>SIGMA300x2,0</v>
      </c>
      <c r="B39" s="10" t="str">
        <f t="shared" si="31"/>
        <v>300</v>
      </c>
      <c r="C39" s="1">
        <f t="shared" si="20"/>
        <v>91</v>
      </c>
      <c r="D39" s="1">
        <f t="shared" si="21"/>
        <v>91</v>
      </c>
      <c r="E39" s="1">
        <f t="shared" si="22"/>
        <v>20</v>
      </c>
      <c r="F39" s="2" t="str">
        <f t="shared" si="23"/>
        <v>SIGMA300</v>
      </c>
      <c r="G39" s="80" t="s">
        <v>113</v>
      </c>
      <c r="H39" s="116">
        <v>2</v>
      </c>
      <c r="I39" s="111">
        <v>10.39</v>
      </c>
      <c r="J39" s="111">
        <v>1343.07</v>
      </c>
      <c r="K39" s="111">
        <v>89.53</v>
      </c>
      <c r="L39" s="111">
        <v>95.08</v>
      </c>
      <c r="M39" s="111">
        <v>14.22</v>
      </c>
      <c r="N39" s="111">
        <v>11.36</v>
      </c>
      <c r="O39" s="111">
        <v>3.02</v>
      </c>
      <c r="P39" s="94">
        <v>2.42</v>
      </c>
      <c r="Q39" s="94"/>
      <c r="R39" s="94">
        <v>15</v>
      </c>
      <c r="S39" s="94"/>
      <c r="T39" s="111">
        <v>8.15</v>
      </c>
      <c r="U39" s="276"/>
      <c r="V39" s="297">
        <v>0.13900000000000001</v>
      </c>
      <c r="W39" s="298">
        <v>0.27800000000000002</v>
      </c>
      <c r="X39" s="299">
        <v>343.1</v>
      </c>
      <c r="Z39" s="263"/>
      <c r="AA39" s="197"/>
      <c r="AB39" s="244">
        <f t="shared" si="7"/>
        <v>25.132741228718345</v>
      </c>
      <c r="AC39" s="244">
        <f t="shared" si="8"/>
        <v>37.699111843077517</v>
      </c>
      <c r="AD39" s="335">
        <f t="shared" si="9"/>
        <v>216</v>
      </c>
      <c r="AE39" s="335">
        <f t="shared" si="10"/>
        <v>88.243600000000001</v>
      </c>
      <c r="AF39" s="335">
        <f t="shared" si="11"/>
        <v>79</v>
      </c>
      <c r="AG39" s="335">
        <f t="shared" si="12"/>
        <v>79</v>
      </c>
      <c r="AH39" s="335">
        <f t="shared" si="13"/>
        <v>14</v>
      </c>
      <c r="AI39" s="195">
        <f t="shared" si="14"/>
        <v>104.3319053071796</v>
      </c>
      <c r="AJ39" s="336">
        <f t="shared" si="17"/>
        <v>0.99586027585801351</v>
      </c>
      <c r="AK39" s="195">
        <f t="shared" si="15"/>
        <v>1</v>
      </c>
      <c r="AL39" s="195">
        <f t="shared" si="16"/>
        <v>4.1397241419864894E-3</v>
      </c>
    </row>
    <row r="40" spans="1:40" ht="15" customHeight="1" x14ac:dyDescent="0.25">
      <c r="A40" s="72" t="str">
        <f t="shared" si="18"/>
        <v>SIGMA300x2,5</v>
      </c>
      <c r="B40" s="11" t="str">
        <f t="shared" si="31"/>
        <v>300</v>
      </c>
      <c r="C40" s="3">
        <f t="shared" si="20"/>
        <v>92</v>
      </c>
      <c r="D40" s="3">
        <f t="shared" si="21"/>
        <v>92</v>
      </c>
      <c r="E40" s="3">
        <f t="shared" si="22"/>
        <v>20</v>
      </c>
      <c r="F40" s="4" t="str">
        <f t="shared" si="23"/>
        <v>SIGMA300</v>
      </c>
      <c r="G40" s="81" t="s">
        <v>114</v>
      </c>
      <c r="H40" s="117">
        <v>2.5</v>
      </c>
      <c r="I40" s="112">
        <v>12.98</v>
      </c>
      <c r="J40" s="112">
        <v>1673.32</v>
      </c>
      <c r="K40" s="112">
        <v>111.55</v>
      </c>
      <c r="L40" s="112">
        <v>119.61</v>
      </c>
      <c r="M40" s="112">
        <v>17.72</v>
      </c>
      <c r="N40" s="112">
        <v>11.35</v>
      </c>
      <c r="O40" s="112">
        <v>3.03</v>
      </c>
      <c r="P40" s="96">
        <v>2.4500000000000002</v>
      </c>
      <c r="Q40" s="96"/>
      <c r="R40" s="96">
        <v>15</v>
      </c>
      <c r="S40" s="96"/>
      <c r="T40" s="112">
        <v>10.18</v>
      </c>
      <c r="U40" s="269"/>
      <c r="V40" s="291">
        <v>0.27100000000000002</v>
      </c>
      <c r="W40" s="292">
        <v>0.54300000000000004</v>
      </c>
      <c r="X40" s="293">
        <v>435.18299999999999</v>
      </c>
      <c r="Z40" s="263"/>
      <c r="AA40" s="197"/>
      <c r="AB40" s="244">
        <f t="shared" si="7"/>
        <v>25.132741228718345</v>
      </c>
      <c r="AC40" s="244">
        <f t="shared" si="8"/>
        <v>40.840704496667314</v>
      </c>
      <c r="AD40" s="335">
        <f t="shared" si="9"/>
        <v>215</v>
      </c>
      <c r="AE40" s="335">
        <f t="shared" si="10"/>
        <v>88.346599999999995</v>
      </c>
      <c r="AF40" s="335">
        <f t="shared" si="11"/>
        <v>79</v>
      </c>
      <c r="AG40" s="335">
        <f t="shared" si="12"/>
        <v>79</v>
      </c>
      <c r="AH40" s="335">
        <f t="shared" si="13"/>
        <v>13.5</v>
      </c>
      <c r="AI40" s="195">
        <f t="shared" si="14"/>
        <v>104.26666457253855</v>
      </c>
      <c r="AJ40" s="336">
        <f t="shared" si="17"/>
        <v>1.2448849354886371</v>
      </c>
      <c r="AK40" s="195">
        <f t="shared" si="15"/>
        <v>1.25</v>
      </c>
      <c r="AL40" s="195">
        <f t="shared" si="16"/>
        <v>5.115064511362899E-3</v>
      </c>
    </row>
    <row r="41" spans="1:40" ht="15" customHeight="1" x14ac:dyDescent="0.25">
      <c r="A41" s="72" t="str">
        <f t="shared" si="18"/>
        <v>SIGMA300x3,0</v>
      </c>
      <c r="B41" s="11" t="str">
        <f t="shared" si="31"/>
        <v>300</v>
      </c>
      <c r="C41" s="3">
        <f t="shared" si="20"/>
        <v>93</v>
      </c>
      <c r="D41" s="3">
        <f t="shared" si="21"/>
        <v>93</v>
      </c>
      <c r="E41" s="3">
        <f t="shared" si="22"/>
        <v>20</v>
      </c>
      <c r="F41" s="4" t="str">
        <f t="shared" si="23"/>
        <v>SIGMA300</v>
      </c>
      <c r="G41" s="81" t="s">
        <v>115</v>
      </c>
      <c r="H41" s="117">
        <v>3</v>
      </c>
      <c r="I41" s="112">
        <v>15.56</v>
      </c>
      <c r="J41" s="112">
        <v>2001.39</v>
      </c>
      <c r="K41" s="112">
        <v>133.41999999999999</v>
      </c>
      <c r="L41" s="112">
        <v>144.44999999999999</v>
      </c>
      <c r="M41" s="112">
        <v>21.2</v>
      </c>
      <c r="N41" s="112">
        <v>11.33</v>
      </c>
      <c r="O41" s="112">
        <v>3.04</v>
      </c>
      <c r="P41" s="96">
        <v>2.4900000000000002</v>
      </c>
      <c r="Q41" s="96"/>
      <c r="R41" s="96">
        <v>15</v>
      </c>
      <c r="S41" s="96"/>
      <c r="T41" s="112">
        <v>12.21</v>
      </c>
      <c r="U41" s="269"/>
      <c r="V41" s="291">
        <v>0.46899999999999997</v>
      </c>
      <c r="W41" s="292">
        <v>0.93700000000000006</v>
      </c>
      <c r="X41" s="293">
        <v>529.84400000000005</v>
      </c>
      <c r="Z41" s="263"/>
      <c r="AA41" s="197"/>
      <c r="AB41" s="244">
        <f t="shared" si="7"/>
        <v>25.132741228718345</v>
      </c>
      <c r="AC41" s="244">
        <f t="shared" si="8"/>
        <v>43.982297150257104</v>
      </c>
      <c r="AD41" s="335">
        <f t="shared" si="9"/>
        <v>214</v>
      </c>
      <c r="AE41" s="335">
        <f t="shared" si="10"/>
        <v>88.452600000000004</v>
      </c>
      <c r="AF41" s="335">
        <f t="shared" si="11"/>
        <v>79</v>
      </c>
      <c r="AG41" s="335">
        <f t="shared" si="12"/>
        <v>79</v>
      </c>
      <c r="AH41" s="335">
        <f t="shared" si="13"/>
        <v>13</v>
      </c>
      <c r="AI41" s="195">
        <f t="shared" si="14"/>
        <v>104.20202383789756</v>
      </c>
      <c r="AJ41" s="336">
        <f t="shared" si="17"/>
        <v>1.4932531468108525</v>
      </c>
      <c r="AK41" s="195">
        <f t="shared" si="15"/>
        <v>1.5</v>
      </c>
      <c r="AL41" s="195">
        <f t="shared" si="16"/>
        <v>6.7468531891474726E-3</v>
      </c>
    </row>
    <row r="42" spans="1:40" ht="15" customHeight="1" thickBot="1" x14ac:dyDescent="0.3">
      <c r="A42" s="73" t="str">
        <f t="shared" si="18"/>
        <v>SIGMA300x3,5</v>
      </c>
      <c r="B42" s="12" t="str">
        <f t="shared" si="31"/>
        <v>300</v>
      </c>
      <c r="C42" s="14">
        <f t="shared" si="20"/>
        <v>94</v>
      </c>
      <c r="D42" s="14">
        <f t="shared" si="21"/>
        <v>94</v>
      </c>
      <c r="E42" s="14">
        <f t="shared" si="22"/>
        <v>20</v>
      </c>
      <c r="F42" s="7" t="str">
        <f t="shared" si="23"/>
        <v>SIGMA300</v>
      </c>
      <c r="G42" s="82" t="s">
        <v>116</v>
      </c>
      <c r="H42" s="118">
        <v>3.5</v>
      </c>
      <c r="I42" s="113">
        <v>18.14</v>
      </c>
      <c r="J42" s="113">
        <v>2327.27</v>
      </c>
      <c r="K42" s="113">
        <v>155.15</v>
      </c>
      <c r="L42" s="113">
        <v>169.58</v>
      </c>
      <c r="M42" s="113">
        <v>24.66</v>
      </c>
      <c r="N42" s="113">
        <v>11.32</v>
      </c>
      <c r="O42" s="113">
        <v>3.05</v>
      </c>
      <c r="P42" s="98">
        <v>2.52</v>
      </c>
      <c r="Q42" s="98"/>
      <c r="R42" s="98">
        <v>15</v>
      </c>
      <c r="S42" s="98"/>
      <c r="T42" s="113">
        <v>14.23</v>
      </c>
      <c r="U42" s="270"/>
      <c r="V42" s="300">
        <v>0.74399999999999999</v>
      </c>
      <c r="W42" s="301">
        <v>1.4870000000000001</v>
      </c>
      <c r="X42" s="302">
        <v>627.10699999999997</v>
      </c>
      <c r="Z42" s="263"/>
      <c r="AA42" s="197"/>
      <c r="AB42" s="244">
        <f t="shared" si="7"/>
        <v>25.132741228718345</v>
      </c>
      <c r="AC42" s="244">
        <f t="shared" si="8"/>
        <v>47.123889803846893</v>
      </c>
      <c r="AD42" s="335">
        <f t="shared" si="9"/>
        <v>213</v>
      </c>
      <c r="AE42" s="335">
        <f t="shared" si="10"/>
        <v>88.561899999999994</v>
      </c>
      <c r="AF42" s="335">
        <f t="shared" si="11"/>
        <v>79</v>
      </c>
      <c r="AG42" s="335">
        <f t="shared" si="12"/>
        <v>79</v>
      </c>
      <c r="AH42" s="335">
        <f t="shared" si="13"/>
        <v>12.5</v>
      </c>
      <c r="AI42" s="195">
        <f t="shared" si="14"/>
        <v>104.13804310325652</v>
      </c>
      <c r="AJ42" s="336">
        <f t="shared" si="17"/>
        <v>1.7419186552231978</v>
      </c>
      <c r="AK42" s="195">
        <f t="shared" si="15"/>
        <v>1.75</v>
      </c>
      <c r="AL42" s="195">
        <f t="shared" si="16"/>
        <v>8.081344776802224E-3</v>
      </c>
    </row>
    <row r="43" spans="1:40" s="198" customFormat="1" ht="15" customHeight="1" x14ac:dyDescent="0.25">
      <c r="A43" s="129" t="str">
        <f t="shared" si="18"/>
        <v>SIGMA350x2,0</v>
      </c>
      <c r="B43" s="57" t="str">
        <f t="shared" si="31"/>
        <v>350</v>
      </c>
      <c r="C43" s="59">
        <f t="shared" si="20"/>
        <v>100</v>
      </c>
      <c r="D43" s="59">
        <f t="shared" si="21"/>
        <v>100</v>
      </c>
      <c r="E43" s="59">
        <f t="shared" si="22"/>
        <v>20</v>
      </c>
      <c r="F43" s="60" t="str">
        <f t="shared" si="23"/>
        <v>SIGMA350</v>
      </c>
      <c r="G43" s="127" t="s">
        <v>117</v>
      </c>
      <c r="H43" s="128">
        <v>2</v>
      </c>
      <c r="I43" s="189">
        <v>11.75</v>
      </c>
      <c r="J43" s="189">
        <v>2044.72</v>
      </c>
      <c r="K43" s="189">
        <v>116.84</v>
      </c>
      <c r="L43" s="189">
        <v>126.75</v>
      </c>
      <c r="M43" s="189">
        <v>16.87</v>
      </c>
      <c r="N43" s="189">
        <v>13.18</v>
      </c>
      <c r="O43" s="189">
        <v>3.28</v>
      </c>
      <c r="P43" s="131">
        <v>2.4900000000000002</v>
      </c>
      <c r="Q43" s="131"/>
      <c r="R43" s="131">
        <v>17.5</v>
      </c>
      <c r="S43" s="131"/>
      <c r="T43" s="189">
        <v>9.2200000000000006</v>
      </c>
      <c r="U43" s="288"/>
      <c r="V43" s="303">
        <v>0.157</v>
      </c>
      <c r="W43" s="304">
        <v>0.314</v>
      </c>
      <c r="X43" s="305">
        <v>435.42599999999999</v>
      </c>
      <c r="Z43" s="264"/>
      <c r="AA43" s="243"/>
      <c r="AB43" s="244">
        <f t="shared" si="7"/>
        <v>25.132741228718345</v>
      </c>
      <c r="AC43" s="244">
        <f t="shared" si="8"/>
        <v>37.699111843077517</v>
      </c>
      <c r="AD43" s="335">
        <f t="shared" si="9"/>
        <v>266</v>
      </c>
      <c r="AE43" s="335">
        <f t="shared" si="10"/>
        <v>88.243600000000001</v>
      </c>
      <c r="AF43" s="335">
        <f t="shared" si="11"/>
        <v>88</v>
      </c>
      <c r="AG43" s="335">
        <f t="shared" si="12"/>
        <v>88</v>
      </c>
      <c r="AH43" s="335">
        <f t="shared" si="13"/>
        <v>14</v>
      </c>
      <c r="AI43" s="195">
        <f t="shared" si="14"/>
        <v>117.93190530717959</v>
      </c>
      <c r="AJ43" s="336">
        <f t="shared" si="17"/>
        <v>0.99633767209938151</v>
      </c>
      <c r="AK43" s="195">
        <f t="shared" si="15"/>
        <v>1</v>
      </c>
      <c r="AL43" s="195">
        <f t="shared" si="16"/>
        <v>3.6623279006184895E-3</v>
      </c>
      <c r="AM43" s="195"/>
      <c r="AN43" s="195"/>
    </row>
    <row r="44" spans="1:40" ht="15" customHeight="1" x14ac:dyDescent="0.25">
      <c r="A44" s="72" t="str">
        <f t="shared" si="18"/>
        <v>SIGMA350x2,5</v>
      </c>
      <c r="B44" s="11" t="str">
        <f t="shared" si="31"/>
        <v>350</v>
      </c>
      <c r="C44" s="3">
        <f t="shared" si="20"/>
        <v>100</v>
      </c>
      <c r="D44" s="3">
        <f t="shared" si="21"/>
        <v>100</v>
      </c>
      <c r="E44" s="3">
        <f t="shared" si="22"/>
        <v>22</v>
      </c>
      <c r="F44" s="4" t="str">
        <f t="shared" si="23"/>
        <v>SIGMA350</v>
      </c>
      <c r="G44" s="81" t="s">
        <v>118</v>
      </c>
      <c r="H44" s="117">
        <v>2.5</v>
      </c>
      <c r="I44" s="112">
        <v>14.73</v>
      </c>
      <c r="J44" s="112">
        <v>2557.2199999999998</v>
      </c>
      <c r="K44" s="112">
        <v>146.12</v>
      </c>
      <c r="L44" s="112">
        <v>160.79</v>
      </c>
      <c r="M44" s="112">
        <v>21.55</v>
      </c>
      <c r="N44" s="112">
        <v>13.17</v>
      </c>
      <c r="O44" s="112">
        <v>3.3</v>
      </c>
      <c r="P44" s="96">
        <v>2.54</v>
      </c>
      <c r="Q44" s="96"/>
      <c r="R44" s="96">
        <v>17.5</v>
      </c>
      <c r="S44" s="96"/>
      <c r="T44" s="112">
        <v>11.56</v>
      </c>
      <c r="U44" s="269"/>
      <c r="V44" s="291">
        <v>0.308</v>
      </c>
      <c r="W44" s="292">
        <v>0.61599999999999999</v>
      </c>
      <c r="X44" s="293">
        <v>558.45399999999995</v>
      </c>
      <c r="Z44" s="263"/>
      <c r="AA44" s="197"/>
      <c r="AB44" s="244">
        <f t="shared" si="7"/>
        <v>25.132741228718345</v>
      </c>
      <c r="AC44" s="244">
        <f t="shared" si="8"/>
        <v>40.840704496667314</v>
      </c>
      <c r="AD44" s="335">
        <f t="shared" si="9"/>
        <v>265</v>
      </c>
      <c r="AE44" s="335">
        <f t="shared" si="10"/>
        <v>88.346599999999995</v>
      </c>
      <c r="AF44" s="335">
        <f t="shared" si="11"/>
        <v>87</v>
      </c>
      <c r="AG44" s="335">
        <f t="shared" si="12"/>
        <v>87</v>
      </c>
      <c r="AH44" s="335">
        <f t="shared" si="13"/>
        <v>15.5</v>
      </c>
      <c r="AI44" s="195">
        <f t="shared" si="14"/>
        <v>118.26666457253855</v>
      </c>
      <c r="AJ44" s="336">
        <f t="shared" si="17"/>
        <v>1.2454904391901063</v>
      </c>
      <c r="AK44" s="195">
        <f t="shared" si="15"/>
        <v>1.25</v>
      </c>
      <c r="AL44" s="195">
        <f t="shared" si="16"/>
        <v>4.5095608098937312E-3</v>
      </c>
    </row>
    <row r="45" spans="1:40" ht="15" customHeight="1" x14ac:dyDescent="0.25">
      <c r="A45" s="72" t="str">
        <f t="shared" si="18"/>
        <v>SIGMA350x3,0</v>
      </c>
      <c r="B45" s="11" t="str">
        <f t="shared" si="31"/>
        <v>350</v>
      </c>
      <c r="C45" s="3">
        <f t="shared" si="20"/>
        <v>100</v>
      </c>
      <c r="D45" s="3">
        <f t="shared" si="21"/>
        <v>100</v>
      </c>
      <c r="E45" s="3">
        <f t="shared" si="22"/>
        <v>24</v>
      </c>
      <c r="F45" s="4" t="str">
        <f t="shared" si="23"/>
        <v>SIGMA350</v>
      </c>
      <c r="G45" s="81" t="s">
        <v>119</v>
      </c>
      <c r="H45" s="117">
        <v>3</v>
      </c>
      <c r="I45" s="112">
        <v>17.72</v>
      </c>
      <c r="J45" s="112">
        <v>3069.63</v>
      </c>
      <c r="K45" s="112">
        <v>175.4</v>
      </c>
      <c r="L45" s="112">
        <v>195.63</v>
      </c>
      <c r="M45" s="112">
        <v>26.41</v>
      </c>
      <c r="N45" s="112">
        <v>13.15</v>
      </c>
      <c r="O45" s="112">
        <v>3.32</v>
      </c>
      <c r="P45" s="96">
        <v>2.6</v>
      </c>
      <c r="Q45" s="96"/>
      <c r="R45" s="96">
        <v>17.5</v>
      </c>
      <c r="S45" s="96"/>
      <c r="T45" s="112">
        <v>13.9</v>
      </c>
      <c r="U45" s="269"/>
      <c r="V45" s="291">
        <v>0.53300000000000003</v>
      </c>
      <c r="W45" s="292">
        <v>1.0669999999999999</v>
      </c>
      <c r="X45" s="293">
        <v>687.00199999999995</v>
      </c>
      <c r="Z45" s="263"/>
      <c r="AA45" s="197"/>
      <c r="AB45" s="244">
        <f t="shared" si="7"/>
        <v>25.132741228718345</v>
      </c>
      <c r="AC45" s="244">
        <f t="shared" si="8"/>
        <v>43.982297150257104</v>
      </c>
      <c r="AD45" s="335">
        <f t="shared" si="9"/>
        <v>264</v>
      </c>
      <c r="AE45" s="335">
        <f t="shared" si="10"/>
        <v>88.452600000000004</v>
      </c>
      <c r="AF45" s="335">
        <f t="shared" si="11"/>
        <v>86</v>
      </c>
      <c r="AG45" s="335">
        <f t="shared" si="12"/>
        <v>86</v>
      </c>
      <c r="AH45" s="335">
        <f t="shared" si="13"/>
        <v>17</v>
      </c>
      <c r="AI45" s="195">
        <f t="shared" si="14"/>
        <v>118.60202383789756</v>
      </c>
      <c r="AJ45" s="336">
        <f t="shared" si="17"/>
        <v>1.4940723123088757</v>
      </c>
      <c r="AK45" s="195">
        <f t="shared" si="15"/>
        <v>1.5</v>
      </c>
      <c r="AL45" s="195">
        <f t="shared" si="16"/>
        <v>5.9276876911242837E-3</v>
      </c>
    </row>
    <row r="46" spans="1:40" ht="15" customHeight="1" thickBot="1" x14ac:dyDescent="0.3">
      <c r="A46" s="126" t="str">
        <f t="shared" si="18"/>
        <v>SIGMA350x3,5</v>
      </c>
      <c r="B46" s="12" t="str">
        <f t="shared" ref="B46:B51" si="37">LEFT(G46,3)</f>
        <v>350</v>
      </c>
      <c r="C46" s="14">
        <f t="shared" si="20"/>
        <v>100</v>
      </c>
      <c r="D46" s="14">
        <f t="shared" si="21"/>
        <v>100</v>
      </c>
      <c r="E46" s="14">
        <f t="shared" si="22"/>
        <v>26</v>
      </c>
      <c r="F46" s="7" t="str">
        <f t="shared" si="23"/>
        <v>SIGMA350</v>
      </c>
      <c r="G46" s="82" t="s">
        <v>120</v>
      </c>
      <c r="H46" s="118">
        <v>3.5</v>
      </c>
      <c r="I46" s="113">
        <v>20.73</v>
      </c>
      <c r="J46" s="113">
        <v>3581.67</v>
      </c>
      <c r="K46" s="113">
        <v>204.66</v>
      </c>
      <c r="L46" s="113">
        <v>231.2</v>
      </c>
      <c r="M46" s="113">
        <v>31.44</v>
      </c>
      <c r="N46" s="113">
        <v>13.14</v>
      </c>
      <c r="O46" s="113">
        <v>3.33</v>
      </c>
      <c r="P46" s="98">
        <v>2.65</v>
      </c>
      <c r="Q46" s="98"/>
      <c r="R46" s="98">
        <v>17.5</v>
      </c>
      <c r="S46" s="98"/>
      <c r="T46" s="113">
        <v>16.260000000000002</v>
      </c>
      <c r="U46" s="270"/>
      <c r="V46" s="294">
        <v>0.84899999999999998</v>
      </c>
      <c r="W46" s="295">
        <v>1.6990000000000001</v>
      </c>
      <c r="X46" s="296">
        <v>820.99599999999998</v>
      </c>
      <c r="Z46" s="263"/>
      <c r="AA46" s="197"/>
      <c r="AB46" s="244">
        <f t="shared" si="7"/>
        <v>25.132741228718345</v>
      </c>
      <c r="AC46" s="244">
        <f t="shared" si="8"/>
        <v>47.123889803846893</v>
      </c>
      <c r="AD46" s="335">
        <f t="shared" si="9"/>
        <v>263</v>
      </c>
      <c r="AE46" s="335">
        <f t="shared" si="10"/>
        <v>88.561899999999994</v>
      </c>
      <c r="AF46" s="335">
        <f t="shared" si="11"/>
        <v>85</v>
      </c>
      <c r="AG46" s="335">
        <f t="shared" si="12"/>
        <v>85</v>
      </c>
      <c r="AH46" s="335">
        <f t="shared" si="13"/>
        <v>18.5</v>
      </c>
      <c r="AI46" s="195">
        <f t="shared" si="14"/>
        <v>118.93804310325652</v>
      </c>
      <c r="AJ46" s="336">
        <f t="shared" si="17"/>
        <v>1.742924253596738</v>
      </c>
      <c r="AK46" s="195">
        <f t="shared" si="15"/>
        <v>1.75</v>
      </c>
      <c r="AL46" s="195">
        <f t="shared" si="16"/>
        <v>7.0757464032620287E-3</v>
      </c>
    </row>
    <row r="47" spans="1:40" ht="15" customHeight="1" x14ac:dyDescent="0.25">
      <c r="A47" s="71" t="str">
        <f t="shared" si="18"/>
        <v>SIGMA400x2,0</v>
      </c>
      <c r="B47" s="13" t="str">
        <f t="shared" si="37"/>
        <v>400</v>
      </c>
      <c r="C47" s="1">
        <f t="shared" si="20"/>
        <v>100</v>
      </c>
      <c r="D47" s="1">
        <f t="shared" si="21"/>
        <v>100</v>
      </c>
      <c r="E47" s="1">
        <f t="shared" si="22"/>
        <v>20</v>
      </c>
      <c r="F47" s="2" t="str">
        <f t="shared" si="23"/>
        <v>SIGMA400</v>
      </c>
      <c r="G47" s="83" t="s">
        <v>121</v>
      </c>
      <c r="H47" s="116">
        <v>2</v>
      </c>
      <c r="I47" s="111">
        <v>12.75</v>
      </c>
      <c r="J47" s="111">
        <v>2809.8</v>
      </c>
      <c r="K47" s="111">
        <v>140.49</v>
      </c>
      <c r="L47" s="111">
        <v>132.01</v>
      </c>
      <c r="M47" s="111">
        <v>17.14</v>
      </c>
      <c r="N47" s="111">
        <v>14.84</v>
      </c>
      <c r="O47" s="111">
        <v>3.21</v>
      </c>
      <c r="P47" s="94">
        <v>2.2999999999999998</v>
      </c>
      <c r="Q47" s="94"/>
      <c r="R47" s="94">
        <v>20</v>
      </c>
      <c r="S47" s="94"/>
      <c r="T47" s="111">
        <v>10.01</v>
      </c>
      <c r="U47" s="276"/>
      <c r="V47" s="297">
        <v>0.17</v>
      </c>
      <c r="W47" s="298">
        <v>0.34100000000000003</v>
      </c>
      <c r="X47" s="299">
        <v>435.75299999999999</v>
      </c>
      <c r="Z47" s="263"/>
      <c r="AA47" s="197"/>
      <c r="AB47" s="244">
        <f t="shared" si="7"/>
        <v>25.132741228718345</v>
      </c>
      <c r="AC47" s="244">
        <f t="shared" si="8"/>
        <v>37.699111843077517</v>
      </c>
      <c r="AD47" s="335">
        <f t="shared" si="9"/>
        <v>316</v>
      </c>
      <c r="AE47" s="335">
        <f t="shared" si="10"/>
        <v>88.243600000000001</v>
      </c>
      <c r="AF47" s="335">
        <f t="shared" si="11"/>
        <v>88</v>
      </c>
      <c r="AG47" s="335">
        <f t="shared" si="12"/>
        <v>88</v>
      </c>
      <c r="AH47" s="335">
        <f t="shared" si="13"/>
        <v>14</v>
      </c>
      <c r="AI47" s="195">
        <f t="shared" si="14"/>
        <v>127.93190530717959</v>
      </c>
      <c r="AJ47" s="336">
        <f t="shared" si="17"/>
        <v>0.99662394376021735</v>
      </c>
      <c r="AK47" s="195">
        <f t="shared" si="15"/>
        <v>1</v>
      </c>
      <c r="AL47" s="195">
        <f t="shared" si="16"/>
        <v>3.3760562397826543E-3</v>
      </c>
    </row>
    <row r="48" spans="1:40" ht="15" customHeight="1" x14ac:dyDescent="0.25">
      <c r="A48" s="72" t="str">
        <f t="shared" si="18"/>
        <v>SIGMA400x2,5</v>
      </c>
      <c r="B48" s="11" t="str">
        <f t="shared" si="37"/>
        <v>400</v>
      </c>
      <c r="C48" s="3">
        <f t="shared" si="20"/>
        <v>100</v>
      </c>
      <c r="D48" s="3">
        <f t="shared" si="21"/>
        <v>100</v>
      </c>
      <c r="E48" s="3">
        <f t="shared" si="22"/>
        <v>22</v>
      </c>
      <c r="F48" s="4" t="str">
        <f t="shared" si="23"/>
        <v>SIGMA400</v>
      </c>
      <c r="G48" s="81" t="s">
        <v>122</v>
      </c>
      <c r="H48" s="117">
        <v>2.5</v>
      </c>
      <c r="I48" s="112">
        <v>15.98</v>
      </c>
      <c r="J48" s="112">
        <v>3515.65</v>
      </c>
      <c r="K48" s="112">
        <v>175.78</v>
      </c>
      <c r="L48" s="112">
        <v>167.52</v>
      </c>
      <c r="M48" s="112">
        <v>21.9</v>
      </c>
      <c r="N48" s="112">
        <v>14.83</v>
      </c>
      <c r="O48" s="112">
        <v>3.23</v>
      </c>
      <c r="P48" s="96">
        <v>2.35</v>
      </c>
      <c r="Q48" s="96"/>
      <c r="R48" s="96">
        <v>20</v>
      </c>
      <c r="S48" s="96"/>
      <c r="T48" s="112">
        <v>12.54</v>
      </c>
      <c r="U48" s="269"/>
      <c r="V48" s="291">
        <v>0.33400000000000002</v>
      </c>
      <c r="W48" s="292">
        <v>0.66800000000000004</v>
      </c>
      <c r="X48" s="293">
        <v>558.91800000000001</v>
      </c>
      <c r="Z48" s="16"/>
      <c r="AB48" s="244">
        <f t="shared" si="7"/>
        <v>25.132741228718345</v>
      </c>
      <c r="AC48" s="244">
        <f t="shared" si="8"/>
        <v>40.840704496667314</v>
      </c>
      <c r="AD48" s="335">
        <f t="shared" si="9"/>
        <v>315</v>
      </c>
      <c r="AE48" s="335">
        <f t="shared" si="10"/>
        <v>88.346599999999995</v>
      </c>
      <c r="AF48" s="335">
        <f t="shared" si="11"/>
        <v>87</v>
      </c>
      <c r="AG48" s="335">
        <f t="shared" si="12"/>
        <v>87</v>
      </c>
      <c r="AH48" s="335">
        <f t="shared" si="13"/>
        <v>15.5</v>
      </c>
      <c r="AI48" s="195">
        <f t="shared" si="14"/>
        <v>128.26666457253856</v>
      </c>
      <c r="AJ48" s="336">
        <f t="shared" si="17"/>
        <v>1.2458420161820642</v>
      </c>
      <c r="AK48" s="195">
        <f t="shared" si="15"/>
        <v>1.25</v>
      </c>
      <c r="AL48" s="195">
        <f t="shared" si="16"/>
        <v>4.1579838179357509E-3</v>
      </c>
    </row>
    <row r="49" spans="1:38" ht="15" customHeight="1" x14ac:dyDescent="0.25">
      <c r="A49" s="72" t="str">
        <f t="shared" si="18"/>
        <v>SIGMA400x3,0</v>
      </c>
      <c r="B49" s="11" t="str">
        <f t="shared" si="37"/>
        <v>400</v>
      </c>
      <c r="C49" s="3">
        <f t="shared" si="20"/>
        <v>100</v>
      </c>
      <c r="D49" s="3">
        <f t="shared" si="21"/>
        <v>100</v>
      </c>
      <c r="E49" s="3">
        <f t="shared" si="22"/>
        <v>24</v>
      </c>
      <c r="F49" s="4" t="str">
        <f t="shared" si="23"/>
        <v>SIGMA400</v>
      </c>
      <c r="G49" s="81" t="s">
        <v>123</v>
      </c>
      <c r="H49" s="117">
        <v>3</v>
      </c>
      <c r="I49" s="112">
        <v>19.22</v>
      </c>
      <c r="J49" s="112">
        <v>4222.1400000000003</v>
      </c>
      <c r="K49" s="112">
        <v>211.1</v>
      </c>
      <c r="L49" s="112">
        <v>203.9</v>
      </c>
      <c r="M49" s="112">
        <v>26.84</v>
      </c>
      <c r="N49" s="112">
        <v>14.81</v>
      </c>
      <c r="O49" s="112">
        <v>3.25</v>
      </c>
      <c r="P49" s="96">
        <v>2.4</v>
      </c>
      <c r="Q49" s="96"/>
      <c r="R49" s="96">
        <v>20</v>
      </c>
      <c r="S49" s="96"/>
      <c r="T49" s="112">
        <v>15.08</v>
      </c>
      <c r="U49" s="269"/>
      <c r="V49" s="291">
        <v>0.57799999999999996</v>
      </c>
      <c r="W49" s="292">
        <v>1.157</v>
      </c>
      <c r="X49" s="293">
        <v>687.63199999999995</v>
      </c>
      <c r="Z49" s="16"/>
      <c r="AB49" s="244">
        <f t="shared" si="7"/>
        <v>25.132741228718345</v>
      </c>
      <c r="AC49" s="244">
        <f t="shared" si="8"/>
        <v>43.982297150257104</v>
      </c>
      <c r="AD49" s="335">
        <f t="shared" si="9"/>
        <v>314</v>
      </c>
      <c r="AE49" s="335">
        <f t="shared" si="10"/>
        <v>88.452600000000004</v>
      </c>
      <c r="AF49" s="335">
        <f t="shared" si="11"/>
        <v>86</v>
      </c>
      <c r="AG49" s="335">
        <f t="shared" si="12"/>
        <v>86</v>
      </c>
      <c r="AH49" s="335">
        <f t="shared" si="13"/>
        <v>17</v>
      </c>
      <c r="AI49" s="195">
        <f t="shared" si="14"/>
        <v>128.60202383789755</v>
      </c>
      <c r="AJ49" s="336">
        <f t="shared" si="17"/>
        <v>1.4945332449998414</v>
      </c>
      <c r="AK49" s="195">
        <f t="shared" si="15"/>
        <v>1.5</v>
      </c>
      <c r="AL49" s="195">
        <f t="shared" si="16"/>
        <v>5.4667550001585852E-3</v>
      </c>
    </row>
    <row r="50" spans="1:38" ht="15" customHeight="1" x14ac:dyDescent="0.25">
      <c r="A50" s="72" t="str">
        <f t="shared" si="18"/>
        <v>SIGMA400x3,5</v>
      </c>
      <c r="B50" s="11" t="str">
        <f t="shared" si="37"/>
        <v>400</v>
      </c>
      <c r="C50" s="3">
        <f t="shared" si="20"/>
        <v>100</v>
      </c>
      <c r="D50" s="3">
        <f t="shared" si="21"/>
        <v>100</v>
      </c>
      <c r="E50" s="3">
        <f t="shared" si="22"/>
        <v>26</v>
      </c>
      <c r="F50" s="4" t="str">
        <f t="shared" si="23"/>
        <v>SIGMA400</v>
      </c>
      <c r="G50" s="81" t="s">
        <v>124</v>
      </c>
      <c r="H50" s="117">
        <v>3.5</v>
      </c>
      <c r="I50" s="112">
        <v>22.48</v>
      </c>
      <c r="J50" s="112">
        <v>4928.9399999999996</v>
      </c>
      <c r="K50" s="112">
        <v>246.44</v>
      </c>
      <c r="L50" s="112">
        <v>241.09</v>
      </c>
      <c r="M50" s="112">
        <v>31.95</v>
      </c>
      <c r="N50" s="112">
        <v>14.8</v>
      </c>
      <c r="O50" s="112">
        <v>3.27</v>
      </c>
      <c r="P50" s="96">
        <v>2.46</v>
      </c>
      <c r="Q50" s="96"/>
      <c r="R50" s="96">
        <v>20</v>
      </c>
      <c r="S50" s="96"/>
      <c r="T50" s="112">
        <v>17.64</v>
      </c>
      <c r="U50" s="269"/>
      <c r="V50" s="291">
        <v>0.92100000000000004</v>
      </c>
      <c r="W50" s="292">
        <v>1.841</v>
      </c>
      <c r="X50" s="293">
        <v>821.822</v>
      </c>
      <c r="Z50" s="16"/>
      <c r="AB50" s="244">
        <f t="shared" si="7"/>
        <v>25.132741228718345</v>
      </c>
      <c r="AC50" s="244">
        <f t="shared" si="8"/>
        <v>47.123889803846893</v>
      </c>
      <c r="AD50" s="335">
        <f t="shared" si="9"/>
        <v>313</v>
      </c>
      <c r="AE50" s="335">
        <f t="shared" si="10"/>
        <v>88.561899999999994</v>
      </c>
      <c r="AF50" s="335">
        <f t="shared" si="11"/>
        <v>85</v>
      </c>
      <c r="AG50" s="335">
        <f t="shared" si="12"/>
        <v>85</v>
      </c>
      <c r="AH50" s="335">
        <f t="shared" si="13"/>
        <v>18.5</v>
      </c>
      <c r="AI50" s="195">
        <f t="shared" si="14"/>
        <v>128.93804310325652</v>
      </c>
      <c r="AJ50" s="336">
        <f t="shared" si="17"/>
        <v>1.7434730246369186</v>
      </c>
      <c r="AK50" s="195">
        <f t="shared" si="15"/>
        <v>1.75</v>
      </c>
      <c r="AL50" s="195">
        <f t="shared" si="16"/>
        <v>6.5269753630814442E-3</v>
      </c>
    </row>
    <row r="51" spans="1:38" ht="15" customHeight="1" thickBot="1" x14ac:dyDescent="0.3">
      <c r="A51" s="73" t="str">
        <f t="shared" si="18"/>
        <v>SIGMA400x4,0</v>
      </c>
      <c r="B51" s="12" t="str">
        <f t="shared" si="37"/>
        <v>400</v>
      </c>
      <c r="C51" s="5">
        <f t="shared" si="20"/>
        <v>100</v>
      </c>
      <c r="D51" s="5">
        <f t="shared" si="21"/>
        <v>100</v>
      </c>
      <c r="E51" s="5">
        <f t="shared" si="22"/>
        <v>28</v>
      </c>
      <c r="F51" s="6" t="str">
        <f t="shared" si="23"/>
        <v>SIGMA400</v>
      </c>
      <c r="G51" s="82" t="s">
        <v>125</v>
      </c>
      <c r="H51" s="118">
        <v>4</v>
      </c>
      <c r="I51" s="113">
        <v>25.75</v>
      </c>
      <c r="J51" s="113">
        <v>5635.84</v>
      </c>
      <c r="K51" s="113">
        <v>281.79000000000002</v>
      </c>
      <c r="L51" s="113">
        <v>280.81</v>
      </c>
      <c r="M51" s="113">
        <v>37.47</v>
      </c>
      <c r="N51" s="113">
        <v>14.79</v>
      </c>
      <c r="O51" s="113">
        <v>3.3</v>
      </c>
      <c r="P51" s="98">
        <v>2.5099999999999998</v>
      </c>
      <c r="Q51" s="98"/>
      <c r="R51" s="98">
        <v>20</v>
      </c>
      <c r="S51" s="98"/>
      <c r="T51" s="113">
        <v>20.21</v>
      </c>
      <c r="U51" s="270"/>
      <c r="V51" s="140"/>
      <c r="W51" s="141"/>
      <c r="X51" s="87"/>
      <c r="Y51" s="16"/>
      <c r="Z51" s="16"/>
      <c r="AB51" s="244">
        <f t="shared" si="7"/>
        <v>25.132741228718345</v>
      </c>
      <c r="AC51" s="244">
        <f t="shared" si="8"/>
        <v>50.26548245743669</v>
      </c>
      <c r="AD51" s="335">
        <f t="shared" si="9"/>
        <v>312</v>
      </c>
      <c r="AE51" s="335">
        <f t="shared" si="10"/>
        <v>88.674700000000001</v>
      </c>
      <c r="AF51" s="335">
        <f t="shared" si="11"/>
        <v>84</v>
      </c>
      <c r="AG51" s="335">
        <f t="shared" si="12"/>
        <v>84</v>
      </c>
      <c r="AH51" s="335">
        <f t="shared" si="13"/>
        <v>20</v>
      </c>
      <c r="AI51" s="195">
        <f t="shared" si="14"/>
        <v>129.27476236861551</v>
      </c>
      <c r="AJ51" s="336">
        <f t="shared" si="17"/>
        <v>1.9918814413733874</v>
      </c>
      <c r="AK51" s="195">
        <f t="shared" si="15"/>
        <v>2</v>
      </c>
      <c r="AL51" s="195">
        <f t="shared" si="16"/>
        <v>8.1185586266125931E-3</v>
      </c>
    </row>
  </sheetData>
  <mergeCells count="33">
    <mergeCell ref="P7:S8"/>
    <mergeCell ref="F6:G6"/>
    <mergeCell ref="U6:U10"/>
    <mergeCell ref="A6:A10"/>
    <mergeCell ref="B6:B10"/>
    <mergeCell ref="C6:C10"/>
    <mergeCell ref="D6:D10"/>
    <mergeCell ref="E6:E10"/>
    <mergeCell ref="Y6:Y10"/>
    <mergeCell ref="Z6:Z10"/>
    <mergeCell ref="X6:X10"/>
    <mergeCell ref="F7:F10"/>
    <mergeCell ref="G7:G10"/>
    <mergeCell ref="I7:I8"/>
    <mergeCell ref="J7:J8"/>
    <mergeCell ref="K7:K8"/>
    <mergeCell ref="L7:L8"/>
    <mergeCell ref="M7:M8"/>
    <mergeCell ref="H6:H10"/>
    <mergeCell ref="I6:S6"/>
    <mergeCell ref="T6:T10"/>
    <mergeCell ref="V6:V10"/>
    <mergeCell ref="W6:W10"/>
    <mergeCell ref="N7:O8"/>
    <mergeCell ref="AG6:AG10"/>
    <mergeCell ref="AH6:AH10"/>
    <mergeCell ref="AI6:AI10"/>
    <mergeCell ref="AJ6:AJ10"/>
    <mergeCell ref="AB6:AB10"/>
    <mergeCell ref="AC6:AC10"/>
    <mergeCell ref="AD6:AD10"/>
    <mergeCell ref="AE6:AE10"/>
    <mergeCell ref="AF6:AF10"/>
  </mergeCells>
  <conditionalFormatting sqref="AL11:AL5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verticalDpi="1200" r:id="rId1"/>
  <ignoredErrors>
    <ignoredError sqref="H17 H19 H21 H25 H27 H29 H31 H36 H38 H40 H42 H44 H46 H48 H5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9"/>
  <sheetViews>
    <sheetView zoomScale="80" zoomScaleNormal="80" workbookViewId="0"/>
  </sheetViews>
  <sheetFormatPr defaultColWidth="8.85546875" defaultRowHeight="15" customHeight="1" x14ac:dyDescent="0.25"/>
  <cols>
    <col min="1" max="1" width="12.7109375" style="153" customWidth="1"/>
    <col min="2" max="5" width="6.7109375" style="153" customWidth="1"/>
    <col min="6" max="6" width="8.7109375" style="153" customWidth="1"/>
    <col min="7" max="7" width="15.7109375" style="153" customWidth="1"/>
    <col min="8" max="26" width="8.7109375" style="153" customWidth="1"/>
    <col min="27" max="16384" width="8.85546875" style="153"/>
  </cols>
  <sheetData>
    <row r="1" spans="1:45" ht="15" customHeight="1" thickBot="1" x14ac:dyDescent="0.3">
      <c r="A1" s="106">
        <v>280</v>
      </c>
    </row>
    <row r="2" spans="1:45" ht="15" customHeight="1" thickBot="1" x14ac:dyDescent="0.3">
      <c r="A2" s="102" t="str">
        <f>Сводная!A19</f>
        <v>Z250x2,5</v>
      </c>
      <c r="B2" s="93" t="str">
        <f>INDEX(B11:B48,MATCH($A$2,$A$11:$A$48))</f>
        <v>250</v>
      </c>
      <c r="C2" s="105">
        <f>INDEX(C11:C48,MATCH($A$2,$A$11:$A$48))</f>
        <v>68</v>
      </c>
      <c r="D2" s="105">
        <f t="shared" ref="D2:Z2" si="0">INDEX(D11:D48,MATCH($A$2,$A$11:$A$48))</f>
        <v>79</v>
      </c>
      <c r="E2" s="105">
        <f t="shared" si="0"/>
        <v>22</v>
      </c>
      <c r="F2" s="93" t="str">
        <f t="shared" si="0"/>
        <v>Z250</v>
      </c>
      <c r="G2" s="103" t="str">
        <f t="shared" si="0"/>
        <v>250/68/79/22</v>
      </c>
      <c r="H2" s="105">
        <f t="shared" si="0"/>
        <v>2.5</v>
      </c>
      <c r="I2" s="103">
        <f t="shared" si="0"/>
        <v>8.2799999999999994</v>
      </c>
      <c r="J2" s="103">
        <f t="shared" si="0"/>
        <v>7.31</v>
      </c>
      <c r="K2" s="103">
        <f t="shared" si="0"/>
        <v>2.77</v>
      </c>
      <c r="L2" s="103">
        <f t="shared" si="0"/>
        <v>10.54</v>
      </c>
      <c r="M2" s="103">
        <f t="shared" si="0"/>
        <v>957.29</v>
      </c>
      <c r="N2" s="103">
        <f t="shared" si="0"/>
        <v>74.650000000000006</v>
      </c>
      <c r="O2" s="103">
        <f t="shared" si="0"/>
        <v>9.52</v>
      </c>
      <c r="P2" s="103">
        <f t="shared" si="0"/>
        <v>12.18</v>
      </c>
      <c r="Q2" s="103">
        <f t="shared" si="0"/>
        <v>10.54</v>
      </c>
      <c r="R2" s="103">
        <f>INDEX(R11:R48,MATCH($A$2,$A$11:$A$48))</f>
        <v>957.29</v>
      </c>
      <c r="S2" s="103">
        <f t="shared" si="0"/>
        <v>74.650000000000006</v>
      </c>
      <c r="T2" s="103">
        <f t="shared" si="0"/>
        <v>9.52</v>
      </c>
      <c r="U2" s="103">
        <f t="shared" si="0"/>
        <v>12.18</v>
      </c>
      <c r="V2" s="103">
        <f t="shared" si="0"/>
        <v>10.55</v>
      </c>
      <c r="W2" s="103">
        <f t="shared" si="0"/>
        <v>106.98</v>
      </c>
      <c r="X2" s="103">
        <f t="shared" si="0"/>
        <v>13.73</v>
      </c>
      <c r="Y2" s="103">
        <f t="shared" si="0"/>
        <v>3.18</v>
      </c>
      <c r="Z2" s="104">
        <f t="shared" si="0"/>
        <v>6.91</v>
      </c>
    </row>
    <row r="3" spans="1:45" ht="15" customHeight="1" thickBot="1" x14ac:dyDescent="0.3"/>
    <row r="4" spans="1:45" ht="15" customHeight="1" x14ac:dyDescent="0.25">
      <c r="A4" s="361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04" t="s">
        <v>165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45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45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 t="s">
        <v>18</v>
      </c>
      <c r="R6" s="345"/>
      <c r="S6" s="345"/>
      <c r="T6" s="345"/>
      <c r="U6" s="345"/>
      <c r="V6" s="345"/>
      <c r="W6" s="345"/>
      <c r="X6" s="345"/>
      <c r="Y6" s="345"/>
      <c r="Z6" s="357"/>
    </row>
    <row r="7" spans="1:45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 t="s">
        <v>21</v>
      </c>
      <c r="R7" s="364" t="s">
        <v>3</v>
      </c>
      <c r="S7" s="364" t="s">
        <v>156</v>
      </c>
      <c r="T7" s="364" t="s">
        <v>20</v>
      </c>
      <c r="U7" s="381" t="s">
        <v>168</v>
      </c>
      <c r="V7" s="364" t="s">
        <v>21</v>
      </c>
      <c r="W7" s="381" t="s">
        <v>3</v>
      </c>
      <c r="X7" s="364" t="s">
        <v>156</v>
      </c>
      <c r="Y7" s="364" t="s">
        <v>20</v>
      </c>
      <c r="Z7" s="400" t="s">
        <v>168</v>
      </c>
    </row>
    <row r="8" spans="1:45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401"/>
    </row>
    <row r="9" spans="1:45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 t="s">
        <v>172</v>
      </c>
      <c r="R9" s="154" t="s">
        <v>174</v>
      </c>
      <c r="S9" s="154" t="s">
        <v>175</v>
      </c>
      <c r="T9" s="154" t="s">
        <v>176</v>
      </c>
      <c r="U9" s="154" t="s">
        <v>177</v>
      </c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45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 t="s">
        <v>182</v>
      </c>
      <c r="R10" s="156" t="s">
        <v>183</v>
      </c>
      <c r="S10" s="156" t="s">
        <v>184</v>
      </c>
      <c r="T10" s="156" t="s">
        <v>6</v>
      </c>
      <c r="U10" s="156" t="s">
        <v>6</v>
      </c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45" ht="15" customHeight="1" x14ac:dyDescent="0.25">
      <c r="A11" s="144" t="str">
        <f t="shared" ref="A11:A12" si="1">CONCATENATE(F11,"x",(IF(H11=INT(H11),CONCATENATE(H11,",",0),H11)))</f>
        <v>Z140x1,0</v>
      </c>
      <c r="B11" s="145" t="str">
        <f t="shared" ref="B11:B12" si="2">LEFT(G11,3)</f>
        <v>140</v>
      </c>
      <c r="C11" s="146">
        <f t="shared" ref="C11:C12" si="3">VALUE(MID(G11,(SEARCH("/",G11,1)+1),(SEARCH("/",G11,(SEARCH("/",G11,1)+1))-SEARCH("/",G11,1)-1)))</f>
        <v>59.5</v>
      </c>
      <c r="D11" s="146">
        <f t="shared" ref="D11:D12" si="4">VALUE(MID(G11,(SEARCH("/",G11,(SEARCH("/",G11,1)+1))+1),(SEARCH("/",G11,SEARCH("/",G11,(SEARCH("/",G11,1)+1))+1))-(SEARCH("/",G11,(SEARCH("/",G11,1)+1))+1)))</f>
        <v>65.5</v>
      </c>
      <c r="E11" s="146">
        <f t="shared" ref="E11:E12" si="5">VALUE(MID(G11,(SEARCH("/",G11,SEARCH("/",G11,(SEARCH("/",G11,1)+1))+1)+1),4))</f>
        <v>20</v>
      </c>
      <c r="F11" s="158" t="str">
        <f t="shared" ref="F11:F12" si="6">CONCATENATE("Z",LEFT(G11,3))</f>
        <v>Z140</v>
      </c>
      <c r="G11" s="159" t="s">
        <v>27</v>
      </c>
      <c r="H11" s="160">
        <v>1</v>
      </c>
      <c r="I11" s="161">
        <v>2.38</v>
      </c>
      <c r="J11" s="161">
        <v>1.43</v>
      </c>
      <c r="K11" s="161">
        <v>3.01</v>
      </c>
      <c r="L11" s="161">
        <v>2.62</v>
      </c>
      <c r="M11" s="161">
        <v>81.17</v>
      </c>
      <c r="N11" s="161">
        <v>10.44</v>
      </c>
      <c r="O11" s="161">
        <v>5.56</v>
      </c>
      <c r="P11" s="161">
        <v>6.23</v>
      </c>
      <c r="Q11" s="161">
        <v>2.57</v>
      </c>
      <c r="R11" s="161">
        <v>79.38</v>
      </c>
      <c r="S11" s="161">
        <v>10.44</v>
      </c>
      <c r="T11" s="161">
        <v>5.54</v>
      </c>
      <c r="U11" s="161">
        <v>7.6</v>
      </c>
      <c r="V11" s="161">
        <v>2.69</v>
      </c>
      <c r="W11" s="161">
        <v>24.41</v>
      </c>
      <c r="X11" s="161">
        <v>3.65</v>
      </c>
      <c r="Y11" s="161">
        <v>3</v>
      </c>
      <c r="Z11" s="162">
        <v>5.72</v>
      </c>
    </row>
    <row r="12" spans="1:45" ht="15" customHeight="1" x14ac:dyDescent="0.25">
      <c r="A12" s="147" t="str">
        <f t="shared" si="1"/>
        <v>Z140x1,2</v>
      </c>
      <c r="B12" s="148" t="str">
        <f t="shared" si="2"/>
        <v>140</v>
      </c>
      <c r="C12" s="149">
        <f t="shared" si="3"/>
        <v>59.5</v>
      </c>
      <c r="D12" s="149">
        <f t="shared" si="4"/>
        <v>65.5</v>
      </c>
      <c r="E12" s="149">
        <f t="shared" si="5"/>
        <v>20</v>
      </c>
      <c r="F12" s="154" t="str">
        <f t="shared" si="6"/>
        <v>Z140</v>
      </c>
      <c r="G12" s="155" t="s">
        <v>27</v>
      </c>
      <c r="H12" s="164">
        <v>1.2</v>
      </c>
      <c r="I12" s="165">
        <v>2.83</v>
      </c>
      <c r="J12" s="165">
        <v>1.98</v>
      </c>
      <c r="K12" s="165">
        <v>2.96</v>
      </c>
      <c r="L12" s="165">
        <v>3.34</v>
      </c>
      <c r="M12" s="165">
        <v>103.24</v>
      </c>
      <c r="N12" s="165">
        <v>13.91</v>
      </c>
      <c r="O12" s="165">
        <v>5.55</v>
      </c>
      <c r="P12" s="165">
        <v>6.58</v>
      </c>
      <c r="Q12" s="165">
        <v>3.29</v>
      </c>
      <c r="R12" s="165">
        <v>101.05</v>
      </c>
      <c r="S12" s="165">
        <v>13.93</v>
      </c>
      <c r="T12" s="165">
        <v>5.53</v>
      </c>
      <c r="U12" s="165">
        <v>7.25</v>
      </c>
      <c r="V12" s="165">
        <v>3.32</v>
      </c>
      <c r="W12" s="165">
        <v>31.2</v>
      </c>
      <c r="X12" s="165">
        <v>4.7699999999999996</v>
      </c>
      <c r="Y12" s="165">
        <v>3.06</v>
      </c>
      <c r="Z12" s="166">
        <v>5.85</v>
      </c>
    </row>
    <row r="13" spans="1:45" s="185" customFormat="1" ht="15" customHeight="1" x14ac:dyDescent="0.25">
      <c r="A13" s="72" t="str">
        <f>CONCATENATE(F13,"x",(IF(H13=INT(H13),CONCATENATE(H13,",",0),H13)))</f>
        <v>Z140x1,5</v>
      </c>
      <c r="B13" s="11" t="str">
        <f>LEFT(G13,3)</f>
        <v>140</v>
      </c>
      <c r="C13" s="90">
        <f>VALUE(MID(G13,(SEARCH("/",G13,1)+1),(SEARCH("/",G13,(SEARCH("/",G13,1)+1))-SEARCH("/",G13,1)-1)))</f>
        <v>59.5</v>
      </c>
      <c r="D13" s="90">
        <f>VALUE(MID(G13,(SEARCH("/",G13,(SEARCH("/",G13,1)+1))+1),(SEARCH("/",G13,SEARCH("/",G13,(SEARCH("/",G13,1)+1))+1))-(SEARCH("/",G13,(SEARCH("/",G13,1)+1))+1)))</f>
        <v>65.5</v>
      </c>
      <c r="E13" s="90">
        <f>VALUE(MID(G13,(SEARCH("/",G13,SEARCH("/",G13,(SEARCH("/",G13,1)+1))+1)+1),4))</f>
        <v>20</v>
      </c>
      <c r="F13" s="134" t="str">
        <f>CONCATENATE("Z",LEFT(G13,3))</f>
        <v>Z140</v>
      </c>
      <c r="G13" s="81" t="s">
        <v>27</v>
      </c>
      <c r="H13" s="117">
        <v>1.5</v>
      </c>
      <c r="I13" s="96">
        <v>3.42</v>
      </c>
      <c r="J13" s="96">
        <v>3.25</v>
      </c>
      <c r="K13" s="96">
        <v>2.92</v>
      </c>
      <c r="L13" s="96">
        <v>4.34</v>
      </c>
      <c r="M13" s="96">
        <v>134.52000000000001</v>
      </c>
      <c r="N13" s="96">
        <v>18.739999999999998</v>
      </c>
      <c r="O13" s="96">
        <v>5.56</v>
      </c>
      <c r="P13" s="96">
        <v>6.82</v>
      </c>
      <c r="Q13" s="96">
        <v>4.28</v>
      </c>
      <c r="R13" s="96">
        <v>132.07</v>
      </c>
      <c r="S13" s="96">
        <v>18.8</v>
      </c>
      <c r="T13" s="96">
        <v>5.55</v>
      </c>
      <c r="U13" s="96">
        <v>6.98</v>
      </c>
      <c r="V13" s="96">
        <v>4.29</v>
      </c>
      <c r="W13" s="96">
        <v>41.15</v>
      </c>
      <c r="X13" s="96">
        <v>6.47</v>
      </c>
      <c r="Y13" s="96">
        <v>3.1</v>
      </c>
      <c r="Z13" s="97">
        <v>5.99</v>
      </c>
      <c r="AB13" s="186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</row>
    <row r="14" spans="1:45" ht="15" customHeight="1" x14ac:dyDescent="0.25">
      <c r="A14" s="72" t="str">
        <f>CONCATENATE(F14,"x",(IF(H14=INT(H14),CONCATENATE(H14,",",0),H14)))</f>
        <v>Z140x2,0</v>
      </c>
      <c r="B14" s="11" t="str">
        <f t="shared" ref="B14:B31" si="7">LEFT(G14,3)</f>
        <v>140</v>
      </c>
      <c r="C14" s="90">
        <f t="shared" ref="C14:C48" si="8">VALUE(MID(G14,(SEARCH("/",G14,1)+1),(SEARCH("/",G14,(SEARCH("/",G14,1)+1))-SEARCH("/",G14,1)-1)))</f>
        <v>59.5</v>
      </c>
      <c r="D14" s="90">
        <f t="shared" ref="D14:D48" si="9">VALUE(MID(G14,(SEARCH("/",G14,(SEARCH("/",G14,1)+1))+1),(SEARCH("/",G14,SEARCH("/",G14,(SEARCH("/",G14,1)+1))+1))-(SEARCH("/",G14,(SEARCH("/",G14,1)+1))+1)))</f>
        <v>65.5</v>
      </c>
      <c r="E14" s="90">
        <f t="shared" ref="E14:E48" si="10">VALUE(MID(G14,(SEARCH("/",G14,SEARCH("/",G14,(SEARCH("/",G14,1)+1))+1)+1),4))</f>
        <v>20.5</v>
      </c>
      <c r="F14" s="134" t="str">
        <f t="shared" ref="F14:F31" si="11">CONCATENATE("Z",LEFT(G14,3))</f>
        <v>Z140</v>
      </c>
      <c r="G14" s="81" t="s">
        <v>28</v>
      </c>
      <c r="H14" s="121">
        <v>2</v>
      </c>
      <c r="I14" s="96">
        <v>4.54</v>
      </c>
      <c r="J14" s="96">
        <v>4.8099999999999996</v>
      </c>
      <c r="K14" s="96">
        <v>2.78</v>
      </c>
      <c r="L14" s="96">
        <v>5.78</v>
      </c>
      <c r="M14" s="96">
        <v>178.2</v>
      </c>
      <c r="N14" s="96">
        <v>24.94</v>
      </c>
      <c r="O14" s="96">
        <v>5.54</v>
      </c>
      <c r="P14" s="96">
        <v>6.86</v>
      </c>
      <c r="Q14" s="96">
        <v>5.78</v>
      </c>
      <c r="R14" s="96">
        <v>178.2</v>
      </c>
      <c r="S14" s="96">
        <v>24.94</v>
      </c>
      <c r="T14" s="96">
        <v>5.54</v>
      </c>
      <c r="U14" s="96">
        <v>6.86</v>
      </c>
      <c r="V14" s="96">
        <v>5.79</v>
      </c>
      <c r="W14" s="96">
        <v>55</v>
      </c>
      <c r="X14" s="96">
        <v>8.48</v>
      </c>
      <c r="Y14" s="96">
        <v>3.08</v>
      </c>
      <c r="Z14" s="97">
        <v>6.01</v>
      </c>
      <c r="AB14" s="186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</row>
    <row r="15" spans="1:45" ht="15" customHeight="1" x14ac:dyDescent="0.25">
      <c r="A15" s="72" t="str">
        <f>CONCATENATE(F15,"x",(IF(H15=INT(H15),CONCATENATE(H15,",",0),H15)))</f>
        <v>Z140x2,5</v>
      </c>
      <c r="B15" s="11" t="str">
        <f t="shared" si="7"/>
        <v>140</v>
      </c>
      <c r="C15" s="90">
        <f t="shared" si="8"/>
        <v>59.5</v>
      </c>
      <c r="D15" s="90">
        <f t="shared" si="9"/>
        <v>65.5</v>
      </c>
      <c r="E15" s="90">
        <f t="shared" si="10"/>
        <v>21</v>
      </c>
      <c r="F15" s="134" t="str">
        <f t="shared" si="11"/>
        <v>Z140</v>
      </c>
      <c r="G15" s="81" t="s">
        <v>29</v>
      </c>
      <c r="H15" s="117">
        <v>2.5</v>
      </c>
      <c r="I15" s="96">
        <v>5.65</v>
      </c>
      <c r="J15" s="96">
        <v>6.39</v>
      </c>
      <c r="K15" s="96">
        <v>2.67</v>
      </c>
      <c r="L15" s="96">
        <v>7.19</v>
      </c>
      <c r="M15" s="96">
        <v>219.52</v>
      </c>
      <c r="N15" s="96">
        <v>30.73</v>
      </c>
      <c r="O15" s="96">
        <v>5.52</v>
      </c>
      <c r="P15" s="96">
        <v>6.86</v>
      </c>
      <c r="Q15" s="96">
        <v>7.19</v>
      </c>
      <c r="R15" s="96">
        <v>219.52</v>
      </c>
      <c r="S15" s="96">
        <v>30.73</v>
      </c>
      <c r="T15" s="96">
        <v>5.52</v>
      </c>
      <c r="U15" s="96">
        <v>6.86</v>
      </c>
      <c r="V15" s="96">
        <v>7.2</v>
      </c>
      <c r="W15" s="96">
        <v>67.59</v>
      </c>
      <c r="X15" s="96">
        <v>10.38</v>
      </c>
      <c r="Y15" s="96">
        <v>3.06</v>
      </c>
      <c r="Z15" s="97">
        <v>5.99</v>
      </c>
      <c r="AB15" s="186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</row>
    <row r="16" spans="1:45" ht="15" customHeight="1" thickBot="1" x14ac:dyDescent="0.3">
      <c r="A16" s="73" t="str">
        <f>CONCATENATE(F16,"x",(IF(H16=INT(H16),CONCATENATE(H16,",",0),H16)))</f>
        <v>Z140x3,0</v>
      </c>
      <c r="B16" s="12" t="str">
        <f t="shared" si="7"/>
        <v>140</v>
      </c>
      <c r="C16" s="91">
        <f t="shared" si="8"/>
        <v>59.5</v>
      </c>
      <c r="D16" s="91">
        <f t="shared" si="9"/>
        <v>65.5</v>
      </c>
      <c r="E16" s="91">
        <f t="shared" si="10"/>
        <v>22</v>
      </c>
      <c r="F16" s="135" t="str">
        <f t="shared" si="11"/>
        <v>Z140</v>
      </c>
      <c r="G16" s="82" t="s">
        <v>30</v>
      </c>
      <c r="H16" s="118">
        <v>3</v>
      </c>
      <c r="I16" s="98">
        <v>6.77</v>
      </c>
      <c r="J16" s="98">
        <v>8.09</v>
      </c>
      <c r="K16" s="98">
        <v>2.59</v>
      </c>
      <c r="L16" s="98">
        <v>8.6199999999999992</v>
      </c>
      <c r="M16" s="98">
        <v>260.29000000000002</v>
      </c>
      <c r="N16" s="98">
        <v>36.44</v>
      </c>
      <c r="O16" s="98">
        <v>5.49</v>
      </c>
      <c r="P16" s="98">
        <v>6.86</v>
      </c>
      <c r="Q16" s="98">
        <v>8.6199999999999992</v>
      </c>
      <c r="R16" s="98">
        <v>260.29000000000002</v>
      </c>
      <c r="S16" s="98">
        <v>36.44</v>
      </c>
      <c r="T16" s="98">
        <v>5.49</v>
      </c>
      <c r="U16" s="98">
        <v>6.86</v>
      </c>
      <c r="V16" s="98">
        <v>8.4700000000000006</v>
      </c>
      <c r="W16" s="98">
        <v>78.89</v>
      </c>
      <c r="X16" s="98">
        <v>12.36</v>
      </c>
      <c r="Y16" s="98">
        <v>3.06</v>
      </c>
      <c r="Z16" s="99">
        <v>5.9</v>
      </c>
      <c r="AB16" s="186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7"/>
    </row>
    <row r="17" spans="1:45" ht="15" customHeight="1" x14ac:dyDescent="0.25">
      <c r="A17" s="71" t="str">
        <f t="shared" ref="A17:A18" si="12">CONCATENATE(F17,"x",(IF(H17=INT(H17),CONCATENATE(H17,",",0),H17)))</f>
        <v>Z160x1,0</v>
      </c>
      <c r="B17" s="10" t="str">
        <f t="shared" ref="B17:B18" si="13">LEFT(G17,3)</f>
        <v>160</v>
      </c>
      <c r="C17" s="88">
        <f t="shared" ref="C17:C18" si="14">VALUE(MID(G17,(SEARCH("/",G17,1)+1),(SEARCH("/",G17,(SEARCH("/",G17,1)+1))-SEARCH("/",G17,1)-1)))</f>
        <v>59.5</v>
      </c>
      <c r="D17" s="88">
        <f t="shared" ref="D17:D18" si="15">VALUE(MID(G17,(SEARCH("/",G17,(SEARCH("/",G17,1)+1))+1),(SEARCH("/",G17,SEARCH("/",G17,(SEARCH("/",G17,1)+1))+1))-(SEARCH("/",G17,(SEARCH("/",G17,1)+1))+1)))</f>
        <v>65.5</v>
      </c>
      <c r="E17" s="88">
        <f t="shared" ref="E17:E18" si="16">VALUE(MID(G17,(SEARCH("/",G17,SEARCH("/",G17,(SEARCH("/",G17,1)+1))+1)+1),4))</f>
        <v>20</v>
      </c>
      <c r="F17" s="133" t="str">
        <f t="shared" ref="F17:F18" si="17">CONCATENATE("Z",LEFT(G17,3))</f>
        <v>Z160</v>
      </c>
      <c r="G17" s="80" t="s">
        <v>31</v>
      </c>
      <c r="H17" s="116">
        <v>1</v>
      </c>
      <c r="I17" s="94">
        <v>2.54</v>
      </c>
      <c r="J17" s="94">
        <v>1.43</v>
      </c>
      <c r="K17" s="94">
        <v>2.89</v>
      </c>
      <c r="L17" s="94">
        <v>2.72</v>
      </c>
      <c r="M17" s="94">
        <v>108.78</v>
      </c>
      <c r="N17" s="94">
        <v>12.1</v>
      </c>
      <c r="O17" s="94">
        <v>6.31</v>
      </c>
      <c r="P17" s="94">
        <v>7.01</v>
      </c>
      <c r="Q17" s="94">
        <v>2.68</v>
      </c>
      <c r="R17" s="94">
        <v>106.56</v>
      </c>
      <c r="S17" s="94">
        <v>12.09</v>
      </c>
      <c r="T17" s="94">
        <v>6.29</v>
      </c>
      <c r="U17" s="94">
        <v>8.81</v>
      </c>
      <c r="V17" s="94">
        <v>2.89</v>
      </c>
      <c r="W17" s="94">
        <v>24.42</v>
      </c>
      <c r="X17" s="94">
        <v>3.66</v>
      </c>
      <c r="Y17" s="94">
        <v>2.9</v>
      </c>
      <c r="Z17" s="95">
        <v>5.73</v>
      </c>
      <c r="AB17" s="186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7"/>
    </row>
    <row r="18" spans="1:45" ht="15" customHeight="1" x14ac:dyDescent="0.25">
      <c r="A18" s="72" t="str">
        <f t="shared" si="12"/>
        <v>Z160x1,2</v>
      </c>
      <c r="B18" s="11" t="str">
        <f t="shared" si="13"/>
        <v>160</v>
      </c>
      <c r="C18" s="90">
        <f t="shared" si="14"/>
        <v>59.5</v>
      </c>
      <c r="D18" s="90">
        <f t="shared" si="15"/>
        <v>65.5</v>
      </c>
      <c r="E18" s="90">
        <f t="shared" si="16"/>
        <v>20</v>
      </c>
      <c r="F18" s="134" t="str">
        <f t="shared" si="17"/>
        <v>Z160</v>
      </c>
      <c r="G18" s="81" t="s">
        <v>31</v>
      </c>
      <c r="H18" s="117">
        <v>1.2</v>
      </c>
      <c r="I18" s="96">
        <v>3.02</v>
      </c>
      <c r="J18" s="96">
        <v>1.99</v>
      </c>
      <c r="K18" s="96">
        <v>2.84</v>
      </c>
      <c r="L18" s="96">
        <v>3.47</v>
      </c>
      <c r="M18" s="96">
        <v>138.47</v>
      </c>
      <c r="N18" s="96">
        <v>16.100000000000001</v>
      </c>
      <c r="O18" s="96">
        <v>6.3</v>
      </c>
      <c r="P18" s="96">
        <v>7.4</v>
      </c>
      <c r="Q18" s="96">
        <v>3.43</v>
      </c>
      <c r="R18" s="96">
        <v>135.78</v>
      </c>
      <c r="S18" s="96">
        <v>16.14</v>
      </c>
      <c r="T18" s="96">
        <v>6.29</v>
      </c>
      <c r="U18" s="96">
        <v>8.41</v>
      </c>
      <c r="V18" s="96">
        <v>3.56</v>
      </c>
      <c r="W18" s="96">
        <v>31.2</v>
      </c>
      <c r="X18" s="96">
        <v>4.7699999999999996</v>
      </c>
      <c r="Y18" s="96">
        <v>2.95</v>
      </c>
      <c r="Z18" s="97">
        <v>5.85</v>
      </c>
      <c r="AB18" s="186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</row>
    <row r="19" spans="1:45" ht="15" customHeight="1" x14ac:dyDescent="0.25">
      <c r="A19" s="72" t="str">
        <f t="shared" ref="A19:A48" si="18">CONCATENATE(F19,"x",(IF(H19=INT(H19),CONCATENATE(H19,",",0),H19)))</f>
        <v>Z160x1,5</v>
      </c>
      <c r="B19" s="11" t="str">
        <f t="shared" si="7"/>
        <v>160</v>
      </c>
      <c r="C19" s="90">
        <f t="shared" si="8"/>
        <v>59.5</v>
      </c>
      <c r="D19" s="90">
        <f t="shared" si="9"/>
        <v>65.5</v>
      </c>
      <c r="E19" s="90">
        <f t="shared" si="10"/>
        <v>20</v>
      </c>
      <c r="F19" s="134" t="str">
        <f t="shared" si="11"/>
        <v>Z160</v>
      </c>
      <c r="G19" s="81" t="s">
        <v>31</v>
      </c>
      <c r="H19" s="117">
        <v>1.5</v>
      </c>
      <c r="I19" s="96">
        <v>3.66</v>
      </c>
      <c r="J19" s="96">
        <v>3.27</v>
      </c>
      <c r="K19" s="96">
        <v>2.8</v>
      </c>
      <c r="L19" s="96">
        <v>4.6399999999999997</v>
      </c>
      <c r="M19" s="96">
        <v>183.54</v>
      </c>
      <c r="N19" s="96">
        <v>22.4</v>
      </c>
      <c r="O19" s="96">
        <v>6.28</v>
      </c>
      <c r="P19" s="96">
        <v>7.81</v>
      </c>
      <c r="Q19" s="96">
        <v>4.58</v>
      </c>
      <c r="R19" s="96">
        <v>180.32</v>
      </c>
      <c r="S19" s="96">
        <v>22.47</v>
      </c>
      <c r="T19" s="96">
        <v>6.26</v>
      </c>
      <c r="U19" s="96">
        <v>7.98</v>
      </c>
      <c r="V19" s="96">
        <v>4.5999999999999996</v>
      </c>
      <c r="W19" s="96">
        <v>41.19</v>
      </c>
      <c r="X19" s="96">
        <v>6.46</v>
      </c>
      <c r="Y19" s="96">
        <v>3</v>
      </c>
      <c r="Z19" s="97">
        <v>5.98</v>
      </c>
      <c r="AB19" s="186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</row>
    <row r="20" spans="1:45" ht="15" customHeight="1" x14ac:dyDescent="0.25">
      <c r="A20" s="72" t="str">
        <f t="shared" si="18"/>
        <v>Z160x2,0</v>
      </c>
      <c r="B20" s="11" t="str">
        <f t="shared" si="7"/>
        <v>160</v>
      </c>
      <c r="C20" s="90">
        <f t="shared" si="8"/>
        <v>59.5</v>
      </c>
      <c r="D20" s="90">
        <f t="shared" si="9"/>
        <v>65.5</v>
      </c>
      <c r="E20" s="90">
        <f t="shared" si="10"/>
        <v>20.5</v>
      </c>
      <c r="F20" s="134" t="str">
        <f t="shared" si="11"/>
        <v>Z160</v>
      </c>
      <c r="G20" s="81" t="s">
        <v>32</v>
      </c>
      <c r="H20" s="117">
        <v>2</v>
      </c>
      <c r="I20" s="96">
        <v>4.8600000000000003</v>
      </c>
      <c r="J20" s="96">
        <v>4.8600000000000003</v>
      </c>
      <c r="K20" s="96">
        <v>2.66</v>
      </c>
      <c r="L20" s="96">
        <v>6.18</v>
      </c>
      <c r="M20" s="96">
        <v>243.39</v>
      </c>
      <c r="N20" s="96">
        <v>29.85</v>
      </c>
      <c r="O20" s="96">
        <v>6.27</v>
      </c>
      <c r="P20" s="96">
        <v>7.85</v>
      </c>
      <c r="Q20" s="96">
        <v>6.18</v>
      </c>
      <c r="R20" s="96">
        <v>243.39</v>
      </c>
      <c r="S20" s="96">
        <v>29.85</v>
      </c>
      <c r="T20" s="96">
        <v>6.27</v>
      </c>
      <c r="U20" s="96">
        <v>7.85</v>
      </c>
      <c r="V20" s="96">
        <v>6.19</v>
      </c>
      <c r="W20" s="96">
        <v>55.01</v>
      </c>
      <c r="X20" s="96">
        <v>8.4700000000000006</v>
      </c>
      <c r="Y20" s="96">
        <v>2.98</v>
      </c>
      <c r="Z20" s="97">
        <v>6</v>
      </c>
      <c r="AB20" s="186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</row>
    <row r="21" spans="1:45" ht="15" customHeight="1" x14ac:dyDescent="0.25">
      <c r="A21" s="72" t="str">
        <f t="shared" si="18"/>
        <v>Z160x2,5</v>
      </c>
      <c r="B21" s="11" t="str">
        <f t="shared" si="7"/>
        <v>160</v>
      </c>
      <c r="C21" s="90">
        <f t="shared" si="8"/>
        <v>59.5</v>
      </c>
      <c r="D21" s="90">
        <f t="shared" si="9"/>
        <v>65.5</v>
      </c>
      <c r="E21" s="90">
        <f t="shared" si="10"/>
        <v>21</v>
      </c>
      <c r="F21" s="134" t="str">
        <f t="shared" si="11"/>
        <v>Z160</v>
      </c>
      <c r="G21" s="81" t="s">
        <v>33</v>
      </c>
      <c r="H21" s="117">
        <v>2.5</v>
      </c>
      <c r="I21" s="96">
        <v>6.04</v>
      </c>
      <c r="J21" s="96">
        <v>6.48</v>
      </c>
      <c r="K21" s="96">
        <v>2.5499999999999998</v>
      </c>
      <c r="L21" s="96">
        <v>7.69</v>
      </c>
      <c r="M21" s="96">
        <v>300.24</v>
      </c>
      <c r="N21" s="96">
        <v>36.82</v>
      </c>
      <c r="O21" s="96">
        <v>6.24</v>
      </c>
      <c r="P21" s="96">
        <v>7.85</v>
      </c>
      <c r="Q21" s="96">
        <v>7.69</v>
      </c>
      <c r="R21" s="96">
        <v>300.24</v>
      </c>
      <c r="S21" s="96">
        <v>36.82</v>
      </c>
      <c r="T21" s="96">
        <v>6.24</v>
      </c>
      <c r="U21" s="96">
        <v>7.85</v>
      </c>
      <c r="V21" s="96">
        <v>7.7</v>
      </c>
      <c r="W21" s="96">
        <v>67.599999999999994</v>
      </c>
      <c r="X21" s="96">
        <v>10.36</v>
      </c>
      <c r="Y21" s="96">
        <v>2.96</v>
      </c>
      <c r="Z21" s="97">
        <v>5.98</v>
      </c>
      <c r="AB21" s="186"/>
      <c r="AC21" s="187"/>
      <c r="AD21" s="187"/>
      <c r="AE21" s="187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</row>
    <row r="22" spans="1:45" ht="15" customHeight="1" thickBot="1" x14ac:dyDescent="0.3">
      <c r="A22" s="73" t="str">
        <f t="shared" si="18"/>
        <v>Z160x3,0</v>
      </c>
      <c r="B22" s="12" t="str">
        <f t="shared" si="7"/>
        <v>160</v>
      </c>
      <c r="C22" s="91">
        <f t="shared" si="8"/>
        <v>59.5</v>
      </c>
      <c r="D22" s="91">
        <f t="shared" si="9"/>
        <v>65.5</v>
      </c>
      <c r="E22" s="91">
        <f t="shared" si="10"/>
        <v>22</v>
      </c>
      <c r="F22" s="135" t="str">
        <f t="shared" si="11"/>
        <v>Z160</v>
      </c>
      <c r="G22" s="82" t="s">
        <v>34</v>
      </c>
      <c r="H22" s="118">
        <v>3</v>
      </c>
      <c r="I22" s="98">
        <v>7.24</v>
      </c>
      <c r="J22" s="98">
        <v>8.25</v>
      </c>
      <c r="K22" s="98">
        <v>2.4700000000000002</v>
      </c>
      <c r="L22" s="98">
        <v>9.2200000000000006</v>
      </c>
      <c r="M22" s="98">
        <v>356.55</v>
      </c>
      <c r="N22" s="98">
        <v>43.73</v>
      </c>
      <c r="O22" s="98">
        <v>6.21</v>
      </c>
      <c r="P22" s="98">
        <v>7.85</v>
      </c>
      <c r="Q22" s="98">
        <v>9.2200000000000006</v>
      </c>
      <c r="R22" s="98">
        <v>356.55</v>
      </c>
      <c r="S22" s="98">
        <v>43.73</v>
      </c>
      <c r="T22" s="98">
        <v>6.21</v>
      </c>
      <c r="U22" s="98">
        <v>7.85</v>
      </c>
      <c r="V22" s="98">
        <v>9.07</v>
      </c>
      <c r="W22" s="98">
        <v>78.95</v>
      </c>
      <c r="X22" s="98">
        <v>12.34</v>
      </c>
      <c r="Y22" s="98">
        <v>2.95</v>
      </c>
      <c r="Z22" s="99">
        <v>5.9</v>
      </c>
      <c r="AB22" s="186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</row>
    <row r="23" spans="1:45" ht="15" customHeight="1" x14ac:dyDescent="0.25">
      <c r="A23" s="71" t="str">
        <f t="shared" ref="A23:A24" si="19">CONCATENATE(F23,"x",(IF(H23=INT(H23),CONCATENATE(H23,",",0),H23)))</f>
        <v>Z200x1,0</v>
      </c>
      <c r="B23" s="10" t="str">
        <f t="shared" ref="B23:B24" si="20">LEFT(G23,3)</f>
        <v>200</v>
      </c>
      <c r="C23" s="88">
        <f t="shared" ref="C23:C24" si="21">VALUE(MID(G23,(SEARCH("/",G23,1)+1),(SEARCH("/",G23,(SEARCH("/",G23,1)+1))-SEARCH("/",G23,1)-1)))</f>
        <v>59.5</v>
      </c>
      <c r="D23" s="88">
        <f t="shared" ref="D23:D24" si="22">VALUE(MID(G23,(SEARCH("/",G23,(SEARCH("/",G23,1)+1))+1),(SEARCH("/",G23,SEARCH("/",G23,(SEARCH("/",G23,1)+1))+1))-(SEARCH("/",G23,(SEARCH("/",G23,1)+1))+1)))</f>
        <v>65.5</v>
      </c>
      <c r="E23" s="88">
        <f t="shared" ref="E23:E24" si="23">VALUE(MID(G23,(SEARCH("/",G23,SEARCH("/",G23,(SEARCH("/",G23,1)+1))+1)+1),4))</f>
        <v>20</v>
      </c>
      <c r="F23" s="133" t="str">
        <f t="shared" ref="F23:F24" si="24">CONCATENATE("Z",LEFT(G23,3))</f>
        <v>Z200</v>
      </c>
      <c r="G23" s="80" t="s">
        <v>35</v>
      </c>
      <c r="H23" s="116">
        <v>1</v>
      </c>
      <c r="I23" s="94">
        <v>2.87</v>
      </c>
      <c r="J23" s="94">
        <v>1.44</v>
      </c>
      <c r="K23" s="94">
        <v>2.67</v>
      </c>
      <c r="L23" s="94">
        <v>2.93</v>
      </c>
      <c r="M23" s="94">
        <v>177.32</v>
      </c>
      <c r="N23" s="94">
        <v>15.43</v>
      </c>
      <c r="O23" s="94">
        <v>7.77</v>
      </c>
      <c r="P23" s="94">
        <v>8.51</v>
      </c>
      <c r="Q23" s="94">
        <v>2.89</v>
      </c>
      <c r="R23" s="94">
        <v>174.16</v>
      </c>
      <c r="S23" s="94">
        <v>15.44</v>
      </c>
      <c r="T23" s="94">
        <v>7.75</v>
      </c>
      <c r="U23" s="94">
        <v>11.28</v>
      </c>
      <c r="V23" s="94">
        <v>3.29</v>
      </c>
      <c r="W23" s="94">
        <v>24.43</v>
      </c>
      <c r="X23" s="94">
        <v>3.67</v>
      </c>
      <c r="Y23" s="94">
        <v>2.72</v>
      </c>
      <c r="Z23" s="95">
        <v>5.75</v>
      </c>
      <c r="AB23" s="186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</row>
    <row r="24" spans="1:45" ht="15" customHeight="1" x14ac:dyDescent="0.25">
      <c r="A24" s="72" t="str">
        <f t="shared" si="19"/>
        <v>Z200x1,2</v>
      </c>
      <c r="B24" s="11" t="str">
        <f t="shared" si="20"/>
        <v>200</v>
      </c>
      <c r="C24" s="90">
        <f t="shared" si="21"/>
        <v>59.5</v>
      </c>
      <c r="D24" s="90">
        <f t="shared" si="22"/>
        <v>65.5</v>
      </c>
      <c r="E24" s="90">
        <f t="shared" si="23"/>
        <v>20</v>
      </c>
      <c r="F24" s="134" t="str">
        <f t="shared" si="24"/>
        <v>Z200</v>
      </c>
      <c r="G24" s="81" t="s">
        <v>35</v>
      </c>
      <c r="H24" s="117">
        <v>1.2</v>
      </c>
      <c r="I24" s="96">
        <v>3.41</v>
      </c>
      <c r="J24" s="96">
        <v>2</v>
      </c>
      <c r="K24" s="96">
        <v>2.63</v>
      </c>
      <c r="L24" s="96">
        <v>3.73</v>
      </c>
      <c r="M24" s="96">
        <v>226.2</v>
      </c>
      <c r="N24" s="96">
        <v>20.5</v>
      </c>
      <c r="O24" s="96">
        <v>7.78</v>
      </c>
      <c r="P24" s="96">
        <v>8.9700000000000006</v>
      </c>
      <c r="Q24" s="96">
        <v>3.69</v>
      </c>
      <c r="R24" s="96">
        <v>222.45</v>
      </c>
      <c r="S24" s="96">
        <v>20.59</v>
      </c>
      <c r="T24" s="96">
        <v>7.76</v>
      </c>
      <c r="U24" s="96">
        <v>10.8</v>
      </c>
      <c r="V24" s="96">
        <v>4.04</v>
      </c>
      <c r="W24" s="96">
        <v>31.2</v>
      </c>
      <c r="X24" s="96">
        <v>4.78</v>
      </c>
      <c r="Y24" s="96">
        <v>2.77</v>
      </c>
      <c r="Z24" s="97">
        <v>5.86</v>
      </c>
      <c r="AB24" s="186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</row>
    <row r="25" spans="1:45" ht="15" customHeight="1" x14ac:dyDescent="0.25">
      <c r="A25" s="72" t="str">
        <f t="shared" si="18"/>
        <v>Z200x1,5</v>
      </c>
      <c r="B25" s="11" t="str">
        <f t="shared" si="7"/>
        <v>200</v>
      </c>
      <c r="C25" s="90">
        <f t="shared" si="8"/>
        <v>59.5</v>
      </c>
      <c r="D25" s="90">
        <f t="shared" si="9"/>
        <v>65.5</v>
      </c>
      <c r="E25" s="90">
        <f t="shared" si="10"/>
        <v>20</v>
      </c>
      <c r="F25" s="134" t="str">
        <f t="shared" si="11"/>
        <v>Z200</v>
      </c>
      <c r="G25" s="81" t="s">
        <v>35</v>
      </c>
      <c r="H25" s="117">
        <v>1.5</v>
      </c>
      <c r="I25" s="96">
        <v>4.13</v>
      </c>
      <c r="J25" s="96">
        <v>3.29</v>
      </c>
      <c r="K25" s="96">
        <v>2.58</v>
      </c>
      <c r="L25" s="96">
        <v>4.99</v>
      </c>
      <c r="M25" s="96">
        <v>301.11</v>
      </c>
      <c r="N25" s="96">
        <v>28.67</v>
      </c>
      <c r="O25" s="96">
        <v>7.76</v>
      </c>
      <c r="P25" s="96">
        <v>9.5</v>
      </c>
      <c r="Q25" s="96">
        <v>4.96</v>
      </c>
      <c r="R25" s="96">
        <v>297.47000000000003</v>
      </c>
      <c r="S25" s="96">
        <v>29.09</v>
      </c>
      <c r="T25" s="96">
        <v>7.73</v>
      </c>
      <c r="U25" s="96">
        <v>10.220000000000001</v>
      </c>
      <c r="V25" s="96">
        <v>5.2</v>
      </c>
      <c r="W25" s="96">
        <v>41.25</v>
      </c>
      <c r="X25" s="96">
        <v>6.47</v>
      </c>
      <c r="Y25" s="96">
        <v>2.82</v>
      </c>
      <c r="Z25" s="97">
        <v>5.97</v>
      </c>
      <c r="AB25" s="186"/>
      <c r="AC25" s="188"/>
      <c r="AD25" s="187"/>
      <c r="AE25" s="187"/>
      <c r="AF25" s="187"/>
      <c r="AG25" s="187"/>
      <c r="AH25" s="187"/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7"/>
    </row>
    <row r="26" spans="1:45" ht="15" customHeight="1" x14ac:dyDescent="0.25">
      <c r="A26" s="72" t="str">
        <f t="shared" si="18"/>
        <v>Z200x2,0</v>
      </c>
      <c r="B26" s="11" t="str">
        <f t="shared" si="7"/>
        <v>200</v>
      </c>
      <c r="C26" s="90">
        <f t="shared" si="8"/>
        <v>59.5</v>
      </c>
      <c r="D26" s="90">
        <f t="shared" si="9"/>
        <v>65.5</v>
      </c>
      <c r="E26" s="90">
        <f t="shared" si="10"/>
        <v>20.5</v>
      </c>
      <c r="F26" s="134" t="str">
        <f t="shared" si="11"/>
        <v>Z200</v>
      </c>
      <c r="G26" s="81" t="s">
        <v>36</v>
      </c>
      <c r="H26" s="117">
        <v>2</v>
      </c>
      <c r="I26" s="96">
        <v>5.49</v>
      </c>
      <c r="J26" s="96">
        <v>4.92</v>
      </c>
      <c r="K26" s="96">
        <v>2.46</v>
      </c>
      <c r="L26" s="96">
        <v>6.98</v>
      </c>
      <c r="M26" s="96">
        <v>411.68</v>
      </c>
      <c r="N26" s="96">
        <v>40.479999999999997</v>
      </c>
      <c r="O26" s="96">
        <v>7.67</v>
      </c>
      <c r="P26" s="96">
        <v>9.83</v>
      </c>
      <c r="Q26" s="96">
        <v>6.98</v>
      </c>
      <c r="R26" s="96">
        <v>411.68</v>
      </c>
      <c r="S26" s="96">
        <v>40.479999999999997</v>
      </c>
      <c r="T26" s="96">
        <v>7.67</v>
      </c>
      <c r="U26" s="96">
        <v>9.83</v>
      </c>
      <c r="V26" s="96">
        <v>6.99</v>
      </c>
      <c r="W26" s="96">
        <v>55.03</v>
      </c>
      <c r="X26" s="96">
        <v>8.4499999999999993</v>
      </c>
      <c r="Y26" s="96">
        <v>2.8</v>
      </c>
      <c r="Z26" s="97">
        <v>5.98</v>
      </c>
      <c r="AB26" s="186"/>
      <c r="AC26" s="188"/>
      <c r="AD26" s="187"/>
      <c r="AE26" s="187"/>
      <c r="AF26" s="187"/>
      <c r="AG26" s="187"/>
      <c r="AH26" s="187"/>
      <c r="AI26" s="187"/>
      <c r="AJ26" s="187"/>
      <c r="AK26" s="187"/>
      <c r="AL26" s="187"/>
      <c r="AM26" s="187"/>
      <c r="AN26" s="187"/>
      <c r="AO26" s="187"/>
      <c r="AP26" s="187"/>
      <c r="AQ26" s="187"/>
      <c r="AR26" s="187"/>
      <c r="AS26" s="187"/>
    </row>
    <row r="27" spans="1:45" ht="15" customHeight="1" x14ac:dyDescent="0.25">
      <c r="A27" s="72" t="str">
        <f t="shared" si="18"/>
        <v>Z200x2,5</v>
      </c>
      <c r="B27" s="11" t="str">
        <f t="shared" si="7"/>
        <v>200</v>
      </c>
      <c r="C27" s="90">
        <f t="shared" si="8"/>
        <v>59.5</v>
      </c>
      <c r="D27" s="90">
        <f t="shared" si="9"/>
        <v>65.5</v>
      </c>
      <c r="E27" s="90">
        <f t="shared" si="10"/>
        <v>21</v>
      </c>
      <c r="F27" s="134" t="str">
        <f t="shared" si="11"/>
        <v>Z200</v>
      </c>
      <c r="G27" s="81" t="s">
        <v>37</v>
      </c>
      <c r="H27" s="117">
        <v>2.5</v>
      </c>
      <c r="I27" s="96">
        <v>6.83</v>
      </c>
      <c r="J27" s="96">
        <v>6.61</v>
      </c>
      <c r="K27" s="96">
        <v>2.35</v>
      </c>
      <c r="L27" s="96">
        <v>8.69</v>
      </c>
      <c r="M27" s="96">
        <v>508.87</v>
      </c>
      <c r="N27" s="96">
        <v>50.03</v>
      </c>
      <c r="O27" s="96">
        <v>7.64</v>
      </c>
      <c r="P27" s="96">
        <v>9.83</v>
      </c>
      <c r="Q27" s="96">
        <v>8.69</v>
      </c>
      <c r="R27" s="96">
        <v>508.87</v>
      </c>
      <c r="S27" s="96">
        <v>50.03</v>
      </c>
      <c r="T27" s="96">
        <v>7.64</v>
      </c>
      <c r="U27" s="96">
        <v>9.83</v>
      </c>
      <c r="V27" s="96">
        <v>8.6999999999999993</v>
      </c>
      <c r="W27" s="96">
        <v>67.63</v>
      </c>
      <c r="X27" s="96">
        <v>10.34</v>
      </c>
      <c r="Y27" s="96">
        <v>2.78</v>
      </c>
      <c r="Z27" s="97">
        <v>5.96</v>
      </c>
      <c r="AB27" s="186"/>
      <c r="AC27" s="188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</row>
    <row r="28" spans="1:45" ht="15" customHeight="1" x14ac:dyDescent="0.25">
      <c r="A28" s="72" t="str">
        <f t="shared" si="18"/>
        <v>Z200x3,0</v>
      </c>
      <c r="B28" s="11" t="str">
        <f t="shared" si="7"/>
        <v>200</v>
      </c>
      <c r="C28" s="90">
        <f t="shared" si="8"/>
        <v>59.5</v>
      </c>
      <c r="D28" s="90">
        <f t="shared" si="9"/>
        <v>65.5</v>
      </c>
      <c r="E28" s="90">
        <f t="shared" si="10"/>
        <v>22</v>
      </c>
      <c r="F28" s="134" t="str">
        <f t="shared" si="11"/>
        <v>Z200</v>
      </c>
      <c r="G28" s="81" t="s">
        <v>38</v>
      </c>
      <c r="H28" s="117">
        <v>3</v>
      </c>
      <c r="I28" s="96">
        <v>8.18</v>
      </c>
      <c r="J28" s="96">
        <v>8.4600000000000009</v>
      </c>
      <c r="K28" s="96">
        <v>2.27</v>
      </c>
      <c r="L28" s="96">
        <v>10.42</v>
      </c>
      <c r="M28" s="96">
        <v>605.64</v>
      </c>
      <c r="N28" s="96">
        <v>59.55</v>
      </c>
      <c r="O28" s="96">
        <v>7.62</v>
      </c>
      <c r="P28" s="96">
        <v>9.83</v>
      </c>
      <c r="Q28" s="96">
        <v>10.42</v>
      </c>
      <c r="R28" s="96">
        <v>605.64</v>
      </c>
      <c r="S28" s="96">
        <v>59.55</v>
      </c>
      <c r="T28" s="96">
        <v>7.62</v>
      </c>
      <c r="U28" s="96">
        <v>9.83</v>
      </c>
      <c r="V28" s="96">
        <v>10.28</v>
      </c>
      <c r="W28" s="96">
        <v>79.06</v>
      </c>
      <c r="X28" s="96">
        <v>12.31</v>
      </c>
      <c r="Y28" s="96">
        <v>2.78</v>
      </c>
      <c r="Z28" s="97">
        <v>5.89</v>
      </c>
      <c r="AB28" s="186"/>
      <c r="AC28" s="188"/>
      <c r="AD28" s="187"/>
      <c r="AE28" s="187"/>
      <c r="AF28" s="187"/>
      <c r="AG28" s="187"/>
      <c r="AH28" s="187"/>
      <c r="AI28" s="187"/>
      <c r="AJ28" s="187"/>
      <c r="AK28" s="187"/>
      <c r="AL28" s="187"/>
      <c r="AM28" s="187"/>
      <c r="AN28" s="187"/>
      <c r="AO28" s="187"/>
      <c r="AP28" s="187"/>
      <c r="AQ28" s="187"/>
      <c r="AR28" s="187"/>
      <c r="AS28" s="187"/>
    </row>
    <row r="29" spans="1:45" ht="15" customHeight="1" thickBot="1" x14ac:dyDescent="0.3">
      <c r="A29" s="73" t="str">
        <f t="shared" si="18"/>
        <v>Z200x3,5</v>
      </c>
      <c r="B29" s="12" t="str">
        <f t="shared" si="7"/>
        <v>200</v>
      </c>
      <c r="C29" s="91">
        <f t="shared" si="8"/>
        <v>59.5</v>
      </c>
      <c r="D29" s="91">
        <f t="shared" si="9"/>
        <v>65.5</v>
      </c>
      <c r="E29" s="91">
        <f t="shared" si="10"/>
        <v>23</v>
      </c>
      <c r="F29" s="135" t="str">
        <f t="shared" si="11"/>
        <v>Z200</v>
      </c>
      <c r="G29" s="82" t="s">
        <v>39</v>
      </c>
      <c r="H29" s="118">
        <v>3.5</v>
      </c>
      <c r="I29" s="98">
        <v>9.5399999999999991</v>
      </c>
      <c r="J29" s="98">
        <v>10.44</v>
      </c>
      <c r="K29" s="98">
        <v>2.2000000000000002</v>
      </c>
      <c r="L29" s="98">
        <v>12.14</v>
      </c>
      <c r="M29" s="98">
        <v>700.71</v>
      </c>
      <c r="N29" s="98">
        <v>68.900000000000006</v>
      </c>
      <c r="O29" s="98">
        <v>7.59</v>
      </c>
      <c r="P29" s="98">
        <v>9.83</v>
      </c>
      <c r="Q29" s="98">
        <v>12.14</v>
      </c>
      <c r="R29" s="98">
        <v>700.71</v>
      </c>
      <c r="S29" s="98">
        <v>68.900000000000006</v>
      </c>
      <c r="T29" s="98">
        <v>7.59</v>
      </c>
      <c r="U29" s="98">
        <v>9.83</v>
      </c>
      <c r="V29" s="98">
        <v>11.53</v>
      </c>
      <c r="W29" s="98">
        <v>85.89</v>
      </c>
      <c r="X29" s="98">
        <v>13.37</v>
      </c>
      <c r="Y29" s="98">
        <v>2.72</v>
      </c>
      <c r="Z29" s="99">
        <v>5.73</v>
      </c>
      <c r="AB29" s="186"/>
      <c r="AC29" s="188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187"/>
      <c r="AR29" s="187"/>
      <c r="AS29" s="187"/>
    </row>
    <row r="30" spans="1:45" ht="15" customHeight="1" x14ac:dyDescent="0.25">
      <c r="A30" s="71" t="str">
        <f t="shared" ref="A30:A31" si="25">CONCATENATE(F30,"x",(IF(H30=INT(H30),CONCATENATE(H30,",",0),H30)))</f>
        <v>Z250x1,0</v>
      </c>
      <c r="B30" s="10" t="str">
        <f t="shared" si="7"/>
        <v>250</v>
      </c>
      <c r="C30" s="88">
        <f t="shared" ref="C30:C31" si="26">VALUE(MID(G30,(SEARCH("/",G30,1)+1),(SEARCH("/",G30,(SEARCH("/",G30,1)+1))-SEARCH("/",G30,1)-1)))</f>
        <v>67</v>
      </c>
      <c r="D30" s="88">
        <f t="shared" ref="D30:D31" si="27">VALUE(MID(G30,(SEARCH("/",G30,(SEARCH("/",G30,1)+1))+1),(SEARCH("/",G30,SEARCH("/",G30,(SEARCH("/",G30,1)+1))+1))-(SEARCH("/",G30,(SEARCH("/",G30,1)+1))+1)))</f>
        <v>78</v>
      </c>
      <c r="E30" s="88">
        <f t="shared" ref="E30:E31" si="28">VALUE(MID(G30,(SEARCH("/",G30,SEARCH("/",G30,(SEARCH("/",G30,1)+1))+1)+1),4))</f>
        <v>21.5</v>
      </c>
      <c r="F30" s="133" t="str">
        <f t="shared" si="11"/>
        <v>Z250</v>
      </c>
      <c r="G30" s="80" t="s">
        <v>40</v>
      </c>
      <c r="H30" s="116">
        <v>1</v>
      </c>
      <c r="I30" s="94">
        <v>3.46</v>
      </c>
      <c r="J30" s="94">
        <v>1.46</v>
      </c>
      <c r="K30" s="94">
        <v>3.04</v>
      </c>
      <c r="L30" s="94">
        <v>3.32</v>
      </c>
      <c r="M30" s="94">
        <v>306.87</v>
      </c>
      <c r="N30" s="94">
        <v>20.37</v>
      </c>
      <c r="O30" s="94">
        <v>9.6</v>
      </c>
      <c r="P30" s="94">
        <v>9.94</v>
      </c>
      <c r="Q30" s="94">
        <v>3.25</v>
      </c>
      <c r="R30" s="94">
        <v>298.83</v>
      </c>
      <c r="S30" s="94">
        <v>20.420000000000002</v>
      </c>
      <c r="T30" s="94">
        <v>9.57</v>
      </c>
      <c r="U30" s="94">
        <v>14.63</v>
      </c>
      <c r="V30" s="94">
        <v>3.9</v>
      </c>
      <c r="W30" s="94">
        <v>34.83</v>
      </c>
      <c r="X30" s="94">
        <v>4.38</v>
      </c>
      <c r="Y30" s="94">
        <v>2.98</v>
      </c>
      <c r="Z30" s="95">
        <v>6.46</v>
      </c>
      <c r="AB30" s="186"/>
      <c r="AC30" s="188"/>
      <c r="AD30" s="187"/>
      <c r="AE30" s="187"/>
      <c r="AF30" s="187"/>
      <c r="AG30" s="187"/>
      <c r="AH30" s="187"/>
      <c r="AI30" s="187"/>
      <c r="AJ30" s="187"/>
      <c r="AK30" s="187"/>
      <c r="AL30" s="187"/>
      <c r="AM30" s="187"/>
      <c r="AN30" s="187"/>
      <c r="AO30" s="187"/>
      <c r="AP30" s="187"/>
      <c r="AQ30" s="187"/>
      <c r="AR30" s="187"/>
      <c r="AS30" s="187"/>
    </row>
    <row r="31" spans="1:45" ht="15" customHeight="1" x14ac:dyDescent="0.25">
      <c r="A31" s="72" t="str">
        <f t="shared" si="25"/>
        <v>Z250x1,2</v>
      </c>
      <c r="B31" s="11" t="str">
        <f t="shared" si="7"/>
        <v>250</v>
      </c>
      <c r="C31" s="90">
        <f t="shared" si="26"/>
        <v>67</v>
      </c>
      <c r="D31" s="90">
        <f t="shared" si="27"/>
        <v>78</v>
      </c>
      <c r="E31" s="90">
        <f t="shared" si="28"/>
        <v>21.5</v>
      </c>
      <c r="F31" s="134" t="str">
        <f t="shared" si="11"/>
        <v>Z250</v>
      </c>
      <c r="G31" s="81" t="s">
        <v>40</v>
      </c>
      <c r="H31" s="117">
        <v>1.2</v>
      </c>
      <c r="I31" s="96">
        <v>4.12</v>
      </c>
      <c r="J31" s="96">
        <v>2.04</v>
      </c>
      <c r="K31" s="96">
        <v>2.99</v>
      </c>
      <c r="L31" s="96">
        <v>4.21</v>
      </c>
      <c r="M31" s="96">
        <v>393.9</v>
      </c>
      <c r="N31" s="96">
        <v>27.18</v>
      </c>
      <c r="O31" s="96">
        <v>9.66</v>
      </c>
      <c r="P31" s="96">
        <v>10.51</v>
      </c>
      <c r="Q31" s="96">
        <v>4.1399999999999997</v>
      </c>
      <c r="R31" s="96">
        <v>383.98</v>
      </c>
      <c r="S31" s="96">
        <v>27.34</v>
      </c>
      <c r="T31" s="96">
        <v>9.6199999999999992</v>
      </c>
      <c r="U31" s="96">
        <v>14.04</v>
      </c>
      <c r="V31" s="96">
        <v>4.78</v>
      </c>
      <c r="W31" s="96">
        <v>44.86</v>
      </c>
      <c r="X31" s="96">
        <v>5.75</v>
      </c>
      <c r="Y31" s="96">
        <v>3.06</v>
      </c>
      <c r="Z31" s="97">
        <v>6.58</v>
      </c>
      <c r="AB31" s="186"/>
      <c r="AC31" s="188"/>
      <c r="AD31" s="187"/>
      <c r="AE31" s="187"/>
      <c r="AF31" s="187"/>
      <c r="AG31" s="187"/>
      <c r="AH31" s="187"/>
      <c r="AI31" s="187"/>
      <c r="AJ31" s="187"/>
      <c r="AK31" s="187"/>
      <c r="AL31" s="187"/>
      <c r="AM31" s="187"/>
      <c r="AN31" s="187"/>
      <c r="AO31" s="187"/>
      <c r="AP31" s="187"/>
      <c r="AQ31" s="187"/>
      <c r="AR31" s="187"/>
      <c r="AS31" s="187"/>
    </row>
    <row r="32" spans="1:45" ht="15" customHeight="1" x14ac:dyDescent="0.25">
      <c r="A32" s="72" t="str">
        <f t="shared" si="18"/>
        <v>Z250x1,5</v>
      </c>
      <c r="B32" s="11" t="str">
        <f t="shared" ref="B32:B48" si="29">LEFT(G32,3)</f>
        <v>250</v>
      </c>
      <c r="C32" s="90">
        <f t="shared" si="8"/>
        <v>67</v>
      </c>
      <c r="D32" s="90">
        <f t="shared" si="9"/>
        <v>78</v>
      </c>
      <c r="E32" s="90">
        <f t="shared" si="10"/>
        <v>21.5</v>
      </c>
      <c r="F32" s="134" t="str">
        <f t="shared" ref="F32:F48" si="30">CONCATENATE("Z",LEFT(G32,3))</f>
        <v>Z250</v>
      </c>
      <c r="G32" s="81" t="s">
        <v>40</v>
      </c>
      <c r="H32" s="117">
        <v>1.5</v>
      </c>
      <c r="I32" s="96">
        <v>4.99</v>
      </c>
      <c r="J32" s="96">
        <v>3.46</v>
      </c>
      <c r="K32" s="96">
        <v>3</v>
      </c>
      <c r="L32" s="96">
        <v>5.63</v>
      </c>
      <c r="M32" s="96">
        <v>528.91999999999996</v>
      </c>
      <c r="N32" s="96">
        <v>38.26</v>
      </c>
      <c r="O32" s="96">
        <v>9.68</v>
      </c>
      <c r="P32" s="96">
        <v>11.18</v>
      </c>
      <c r="Q32" s="96">
        <v>5.59</v>
      </c>
      <c r="R32" s="96">
        <v>518.37</v>
      </c>
      <c r="S32" s="96">
        <v>38.96</v>
      </c>
      <c r="T32" s="96">
        <v>9.6199999999999992</v>
      </c>
      <c r="U32" s="96">
        <v>13.3</v>
      </c>
      <c r="V32" s="96">
        <v>6.36</v>
      </c>
      <c r="W32" s="96">
        <v>64.5</v>
      </c>
      <c r="X32" s="96">
        <v>8.44</v>
      </c>
      <c r="Y32" s="96">
        <v>3.18</v>
      </c>
      <c r="Z32" s="97">
        <v>6.86</v>
      </c>
      <c r="AB32" s="186"/>
      <c r="AC32" s="188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7"/>
      <c r="AR32" s="187"/>
      <c r="AS32" s="187"/>
    </row>
    <row r="33" spans="1:45" ht="15" customHeight="1" x14ac:dyDescent="0.25">
      <c r="A33" s="72" t="str">
        <f t="shared" si="18"/>
        <v>Z250x2,0</v>
      </c>
      <c r="B33" s="11" t="str">
        <f t="shared" si="29"/>
        <v>250</v>
      </c>
      <c r="C33" s="90">
        <f t="shared" si="8"/>
        <v>67</v>
      </c>
      <c r="D33" s="90">
        <f t="shared" si="9"/>
        <v>78</v>
      </c>
      <c r="E33" s="90">
        <f t="shared" si="10"/>
        <v>21.5</v>
      </c>
      <c r="F33" s="134" t="str">
        <f t="shared" si="30"/>
        <v>Z250</v>
      </c>
      <c r="G33" s="81" t="s">
        <v>40</v>
      </c>
      <c r="H33" s="117">
        <v>2</v>
      </c>
      <c r="I33" s="96">
        <v>6.62</v>
      </c>
      <c r="J33" s="96">
        <v>5.38</v>
      </c>
      <c r="K33" s="96">
        <v>2.84</v>
      </c>
      <c r="L33" s="96">
        <v>8.1199999999999992</v>
      </c>
      <c r="M33" s="96">
        <v>749.35</v>
      </c>
      <c r="N33" s="96">
        <v>57.2</v>
      </c>
      <c r="O33" s="96">
        <v>9.6</v>
      </c>
      <c r="P33" s="96">
        <v>11.9</v>
      </c>
      <c r="Q33" s="96">
        <v>8.11</v>
      </c>
      <c r="R33" s="96">
        <v>747.42</v>
      </c>
      <c r="S33" s="96">
        <v>59.63</v>
      </c>
      <c r="T33" s="96">
        <v>9.59</v>
      </c>
      <c r="U33" s="96">
        <v>12.47</v>
      </c>
      <c r="V33" s="96">
        <v>8.41</v>
      </c>
      <c r="W33" s="96">
        <v>83.53</v>
      </c>
      <c r="X33" s="96">
        <v>10.92</v>
      </c>
      <c r="Y33" s="96">
        <v>3.15</v>
      </c>
      <c r="Z33" s="97">
        <v>6.83</v>
      </c>
      <c r="AB33" s="186"/>
      <c r="AC33" s="188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87"/>
      <c r="AO33" s="187"/>
      <c r="AP33" s="187"/>
      <c r="AQ33" s="187"/>
      <c r="AR33" s="187"/>
      <c r="AS33" s="187"/>
    </row>
    <row r="34" spans="1:45" ht="15" customHeight="1" x14ac:dyDescent="0.25">
      <c r="A34" s="72" t="str">
        <f t="shared" si="18"/>
        <v>Z250x2,5</v>
      </c>
      <c r="B34" s="11" t="str">
        <f t="shared" si="29"/>
        <v>250</v>
      </c>
      <c r="C34" s="90">
        <f t="shared" si="8"/>
        <v>68</v>
      </c>
      <c r="D34" s="90">
        <f t="shared" si="9"/>
        <v>79</v>
      </c>
      <c r="E34" s="90">
        <f t="shared" si="10"/>
        <v>22</v>
      </c>
      <c r="F34" s="134" t="str">
        <f t="shared" si="30"/>
        <v>Z250</v>
      </c>
      <c r="G34" s="81" t="s">
        <v>41</v>
      </c>
      <c r="H34" s="117">
        <v>2.5</v>
      </c>
      <c r="I34" s="96">
        <v>8.2799999999999994</v>
      </c>
      <c r="J34" s="96">
        <v>7.31</v>
      </c>
      <c r="K34" s="96">
        <v>2.77</v>
      </c>
      <c r="L34" s="96">
        <v>10.54</v>
      </c>
      <c r="M34" s="96">
        <v>957.29</v>
      </c>
      <c r="N34" s="96">
        <v>74.650000000000006</v>
      </c>
      <c r="O34" s="96">
        <v>9.52</v>
      </c>
      <c r="P34" s="96">
        <v>12.18</v>
      </c>
      <c r="Q34" s="96">
        <v>10.54</v>
      </c>
      <c r="R34" s="96">
        <v>957.29</v>
      </c>
      <c r="S34" s="96">
        <v>74.650000000000006</v>
      </c>
      <c r="T34" s="96">
        <v>9.52</v>
      </c>
      <c r="U34" s="96">
        <v>12.18</v>
      </c>
      <c r="V34" s="96">
        <v>10.55</v>
      </c>
      <c r="W34" s="96">
        <v>106.98</v>
      </c>
      <c r="X34" s="96">
        <v>13.73</v>
      </c>
      <c r="Y34" s="96">
        <v>3.18</v>
      </c>
      <c r="Z34" s="97">
        <v>6.91</v>
      </c>
      <c r="AB34" s="186"/>
      <c r="AC34" s="188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7"/>
      <c r="AR34" s="187"/>
      <c r="AS34" s="187"/>
    </row>
    <row r="35" spans="1:45" ht="15" customHeight="1" thickBot="1" x14ac:dyDescent="0.3">
      <c r="A35" s="73" t="str">
        <f t="shared" si="18"/>
        <v>Z250x3,0</v>
      </c>
      <c r="B35" s="12" t="str">
        <f t="shared" si="29"/>
        <v>250</v>
      </c>
      <c r="C35" s="91">
        <f t="shared" si="8"/>
        <v>69</v>
      </c>
      <c r="D35" s="91">
        <f t="shared" si="9"/>
        <v>80</v>
      </c>
      <c r="E35" s="91">
        <f t="shared" si="10"/>
        <v>22.5</v>
      </c>
      <c r="F35" s="135" t="str">
        <f t="shared" si="30"/>
        <v>Z250</v>
      </c>
      <c r="G35" s="82" t="s">
        <v>42</v>
      </c>
      <c r="H35" s="118">
        <v>3</v>
      </c>
      <c r="I35" s="98">
        <v>9.9499999999999993</v>
      </c>
      <c r="J35" s="98">
        <v>9.3800000000000008</v>
      </c>
      <c r="K35" s="98">
        <v>2.72</v>
      </c>
      <c r="L35" s="98">
        <v>12.67</v>
      </c>
      <c r="M35" s="98">
        <v>1147.5</v>
      </c>
      <c r="N35" s="98">
        <v>89.49</v>
      </c>
      <c r="O35" s="98">
        <v>9.51</v>
      </c>
      <c r="P35" s="98">
        <v>12.18</v>
      </c>
      <c r="Q35" s="98">
        <v>12.67</v>
      </c>
      <c r="R35" s="98">
        <v>1147.5</v>
      </c>
      <c r="S35" s="98">
        <v>89.49</v>
      </c>
      <c r="T35" s="98">
        <v>9.51</v>
      </c>
      <c r="U35" s="98">
        <v>12.18</v>
      </c>
      <c r="V35" s="98">
        <v>12.68</v>
      </c>
      <c r="W35" s="98">
        <v>131.16</v>
      </c>
      <c r="X35" s="98">
        <v>16.57</v>
      </c>
      <c r="Y35" s="98">
        <v>3.21</v>
      </c>
      <c r="Z35" s="99">
        <v>6.98</v>
      </c>
      <c r="AB35" s="186"/>
      <c r="AC35" s="188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</row>
    <row r="36" spans="1:45" ht="15" customHeight="1" x14ac:dyDescent="0.25">
      <c r="A36" s="74" t="str">
        <f t="shared" si="18"/>
        <v>Z300x2,0</v>
      </c>
      <c r="B36" s="10" t="str">
        <f t="shared" si="29"/>
        <v>300</v>
      </c>
      <c r="C36" s="88">
        <f t="shared" si="8"/>
        <v>85</v>
      </c>
      <c r="D36" s="88">
        <f t="shared" si="9"/>
        <v>93</v>
      </c>
      <c r="E36" s="89">
        <f t="shared" si="10"/>
        <v>29.5</v>
      </c>
      <c r="F36" s="9" t="str">
        <f t="shared" si="30"/>
        <v>Z300</v>
      </c>
      <c r="G36" s="80" t="s">
        <v>43</v>
      </c>
      <c r="H36" s="116">
        <v>2</v>
      </c>
      <c r="I36" s="94">
        <v>8.17</v>
      </c>
      <c r="J36" s="94">
        <v>6.05</v>
      </c>
      <c r="K36" s="94">
        <v>3.68</v>
      </c>
      <c r="L36" s="94">
        <v>9.52</v>
      </c>
      <c r="M36" s="94">
        <v>1292.5</v>
      </c>
      <c r="N36" s="94">
        <v>80.3</v>
      </c>
      <c r="O36" s="94">
        <v>11.64</v>
      </c>
      <c r="P36" s="94">
        <v>13.91</v>
      </c>
      <c r="Q36" s="94">
        <v>9.49</v>
      </c>
      <c r="R36" s="94">
        <v>1277.74</v>
      </c>
      <c r="S36" s="94">
        <v>81.25</v>
      </c>
      <c r="T36" s="94">
        <v>11.6</v>
      </c>
      <c r="U36" s="94">
        <v>15.72</v>
      </c>
      <c r="V36" s="94">
        <v>10.23</v>
      </c>
      <c r="W36" s="94">
        <v>162.26</v>
      </c>
      <c r="X36" s="94">
        <v>17.809999999999999</v>
      </c>
      <c r="Y36" s="94">
        <v>3.98</v>
      </c>
      <c r="Z36" s="95">
        <v>8.49</v>
      </c>
      <c r="AB36" s="186"/>
      <c r="AC36" s="188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7"/>
      <c r="AO36" s="187"/>
      <c r="AP36" s="187"/>
      <c r="AQ36" s="187"/>
      <c r="AR36" s="187"/>
      <c r="AS36" s="187"/>
    </row>
    <row r="37" spans="1:45" ht="15" customHeight="1" x14ac:dyDescent="0.25">
      <c r="A37" s="72" t="str">
        <f t="shared" si="18"/>
        <v>Z300x2,5</v>
      </c>
      <c r="B37" s="11" t="str">
        <f t="shared" si="29"/>
        <v>300</v>
      </c>
      <c r="C37" s="90">
        <f t="shared" si="8"/>
        <v>86</v>
      </c>
      <c r="D37" s="90">
        <f t="shared" si="9"/>
        <v>94</v>
      </c>
      <c r="E37" s="90">
        <f t="shared" si="10"/>
        <v>30</v>
      </c>
      <c r="F37" s="134" t="str">
        <f t="shared" si="30"/>
        <v>Z300</v>
      </c>
      <c r="G37" s="81" t="s">
        <v>44</v>
      </c>
      <c r="H37" s="117">
        <v>2.5</v>
      </c>
      <c r="I37" s="96">
        <v>10.220000000000001</v>
      </c>
      <c r="J37" s="96">
        <v>8.59</v>
      </c>
      <c r="K37" s="96">
        <v>3.61</v>
      </c>
      <c r="L37" s="96">
        <v>12.72</v>
      </c>
      <c r="M37" s="96">
        <v>1702.52</v>
      </c>
      <c r="N37" s="96">
        <v>110.31</v>
      </c>
      <c r="O37" s="96">
        <v>11.56</v>
      </c>
      <c r="P37" s="96">
        <v>14.57</v>
      </c>
      <c r="Q37" s="96">
        <v>12.73</v>
      </c>
      <c r="R37" s="96">
        <v>1702.84</v>
      </c>
      <c r="S37" s="96">
        <v>113.32</v>
      </c>
      <c r="T37" s="96">
        <v>11.56</v>
      </c>
      <c r="U37" s="96">
        <v>14.97</v>
      </c>
      <c r="V37" s="96">
        <v>13.03</v>
      </c>
      <c r="W37" s="96">
        <v>213.52</v>
      </c>
      <c r="X37" s="96">
        <v>22.84</v>
      </c>
      <c r="Y37" s="96">
        <v>4.04</v>
      </c>
      <c r="Z37" s="97">
        <v>8.65</v>
      </c>
      <c r="AB37" s="186"/>
      <c r="AC37" s="188"/>
      <c r="AD37" s="187"/>
      <c r="AE37" s="187"/>
      <c r="AF37" s="187"/>
      <c r="AG37" s="187"/>
      <c r="AH37" s="187"/>
      <c r="AI37" s="187"/>
      <c r="AJ37" s="187"/>
      <c r="AK37" s="187"/>
      <c r="AL37" s="187"/>
      <c r="AM37" s="187"/>
      <c r="AN37" s="187"/>
      <c r="AO37" s="187"/>
      <c r="AP37" s="187"/>
      <c r="AQ37" s="187"/>
      <c r="AR37" s="187"/>
      <c r="AS37" s="187"/>
    </row>
    <row r="38" spans="1:45" ht="15" customHeight="1" x14ac:dyDescent="0.25">
      <c r="A38" s="72" t="str">
        <f t="shared" si="18"/>
        <v>Z300x3,0</v>
      </c>
      <c r="B38" s="11" t="str">
        <f t="shared" si="29"/>
        <v>300</v>
      </c>
      <c r="C38" s="90">
        <f t="shared" si="8"/>
        <v>87</v>
      </c>
      <c r="D38" s="90">
        <f t="shared" si="9"/>
        <v>95</v>
      </c>
      <c r="E38" s="90">
        <f t="shared" si="10"/>
        <v>30.5</v>
      </c>
      <c r="F38" s="134" t="str">
        <f t="shared" si="30"/>
        <v>Z300</v>
      </c>
      <c r="G38" s="81" t="s">
        <v>45</v>
      </c>
      <c r="H38" s="117">
        <v>3</v>
      </c>
      <c r="I38" s="96">
        <v>12.28</v>
      </c>
      <c r="J38" s="96">
        <v>10.96</v>
      </c>
      <c r="K38" s="96">
        <v>3.54</v>
      </c>
      <c r="L38" s="96">
        <v>15.64</v>
      </c>
      <c r="M38" s="96">
        <v>2069.2199999999998</v>
      </c>
      <c r="N38" s="96">
        <v>135.88</v>
      </c>
      <c r="O38" s="96">
        <v>11.49</v>
      </c>
      <c r="P38" s="96">
        <v>14.77</v>
      </c>
      <c r="Q38" s="96">
        <v>15.64</v>
      </c>
      <c r="R38" s="96">
        <v>2069.2199999999998</v>
      </c>
      <c r="S38" s="96">
        <v>135.88</v>
      </c>
      <c r="T38" s="96">
        <v>11.49</v>
      </c>
      <c r="U38" s="96">
        <v>14.77</v>
      </c>
      <c r="V38" s="96">
        <v>15.65</v>
      </c>
      <c r="W38" s="96">
        <v>260.62</v>
      </c>
      <c r="X38" s="96">
        <v>27.51</v>
      </c>
      <c r="Y38" s="96">
        <v>4.08</v>
      </c>
      <c r="Z38" s="97">
        <v>8.73</v>
      </c>
      <c r="AB38" s="186"/>
      <c r="AC38" s="188"/>
      <c r="AD38" s="187"/>
      <c r="AE38" s="187"/>
      <c r="AF38" s="187"/>
      <c r="AG38" s="187"/>
      <c r="AH38" s="187"/>
      <c r="AI38" s="187"/>
      <c r="AJ38" s="187"/>
      <c r="AK38" s="187"/>
      <c r="AL38" s="187"/>
      <c r="AM38" s="187"/>
      <c r="AN38" s="187"/>
      <c r="AO38" s="187"/>
      <c r="AP38" s="187"/>
      <c r="AQ38" s="187"/>
      <c r="AR38" s="187"/>
      <c r="AS38" s="187"/>
    </row>
    <row r="39" spans="1:45" ht="15" customHeight="1" thickBot="1" x14ac:dyDescent="0.3">
      <c r="A39" s="73" t="str">
        <f t="shared" si="18"/>
        <v>Z300x3,5</v>
      </c>
      <c r="B39" s="12" t="str">
        <f t="shared" si="29"/>
        <v>300</v>
      </c>
      <c r="C39" s="92">
        <f t="shared" si="8"/>
        <v>88</v>
      </c>
      <c r="D39" s="92">
        <f t="shared" si="9"/>
        <v>96</v>
      </c>
      <c r="E39" s="91">
        <f t="shared" si="10"/>
        <v>31</v>
      </c>
      <c r="F39" s="135" t="str">
        <f t="shared" si="30"/>
        <v>Z300</v>
      </c>
      <c r="G39" s="82" t="s">
        <v>46</v>
      </c>
      <c r="H39" s="118">
        <v>3.5</v>
      </c>
      <c r="I39" s="98">
        <v>14.35</v>
      </c>
      <c r="J39" s="98">
        <v>13.51</v>
      </c>
      <c r="K39" s="98">
        <v>3.48</v>
      </c>
      <c r="L39" s="98">
        <v>18.27</v>
      </c>
      <c r="M39" s="98">
        <v>2411.48</v>
      </c>
      <c r="N39" s="98">
        <v>158.36000000000001</v>
      </c>
      <c r="O39" s="98">
        <v>11.48</v>
      </c>
      <c r="P39" s="98">
        <v>14.77</v>
      </c>
      <c r="Q39" s="98">
        <v>18.27</v>
      </c>
      <c r="R39" s="98">
        <v>2411.48</v>
      </c>
      <c r="S39" s="98">
        <v>158.36000000000001</v>
      </c>
      <c r="T39" s="98">
        <v>11.48</v>
      </c>
      <c r="U39" s="98">
        <v>14.77</v>
      </c>
      <c r="V39" s="98">
        <v>18.28</v>
      </c>
      <c r="W39" s="98">
        <v>309.25</v>
      </c>
      <c r="X39" s="98">
        <v>32.22</v>
      </c>
      <c r="Y39" s="98">
        <v>4.1100000000000003</v>
      </c>
      <c r="Z39" s="99">
        <v>8.8000000000000007</v>
      </c>
      <c r="AB39" s="186"/>
      <c r="AC39" s="188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7"/>
      <c r="AQ39" s="187"/>
      <c r="AR39" s="187"/>
      <c r="AS39" s="187"/>
    </row>
    <row r="40" spans="1:45" ht="15" customHeight="1" x14ac:dyDescent="0.25">
      <c r="A40" s="74" t="str">
        <f t="shared" si="18"/>
        <v>Z350x2,0</v>
      </c>
      <c r="B40" s="10" t="str">
        <f t="shared" si="29"/>
        <v>350</v>
      </c>
      <c r="C40" s="88">
        <f t="shared" si="8"/>
        <v>85</v>
      </c>
      <c r="D40" s="88">
        <f t="shared" si="9"/>
        <v>93</v>
      </c>
      <c r="E40" s="89">
        <f t="shared" si="10"/>
        <v>29.5</v>
      </c>
      <c r="F40" s="9" t="str">
        <f t="shared" si="30"/>
        <v>Z350</v>
      </c>
      <c r="G40" s="80" t="s">
        <v>47</v>
      </c>
      <c r="H40" s="116">
        <v>2</v>
      </c>
      <c r="I40" s="94">
        <v>8.9600000000000009</v>
      </c>
      <c r="J40" s="94">
        <v>6.08</v>
      </c>
      <c r="K40" s="94">
        <v>3.68</v>
      </c>
      <c r="L40" s="94">
        <v>10.06</v>
      </c>
      <c r="M40" s="94">
        <v>1817.09</v>
      </c>
      <c r="N40" s="94">
        <v>94.91</v>
      </c>
      <c r="O40" s="94">
        <v>13.43</v>
      </c>
      <c r="P40" s="94">
        <v>15.86</v>
      </c>
      <c r="Q40" s="94">
        <v>10.029999999999999</v>
      </c>
      <c r="R40" s="94">
        <v>1798.78</v>
      </c>
      <c r="S40" s="94">
        <v>96.03</v>
      </c>
      <c r="T40" s="94">
        <v>13.38</v>
      </c>
      <c r="U40" s="94">
        <v>18.73</v>
      </c>
      <c r="V40" s="94">
        <v>11.23</v>
      </c>
      <c r="W40" s="94">
        <v>162.35</v>
      </c>
      <c r="X40" s="94">
        <v>17.8</v>
      </c>
      <c r="Y40" s="94">
        <v>3.8</v>
      </c>
      <c r="Z40" s="95">
        <v>8.48</v>
      </c>
      <c r="AB40" s="186"/>
      <c r="AC40" s="188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</row>
    <row r="41" spans="1:45" ht="15" customHeight="1" x14ac:dyDescent="0.25">
      <c r="A41" s="72" t="str">
        <f t="shared" si="18"/>
        <v>Z350x2,5</v>
      </c>
      <c r="B41" s="11" t="str">
        <f t="shared" si="29"/>
        <v>350</v>
      </c>
      <c r="C41" s="90">
        <f t="shared" si="8"/>
        <v>86</v>
      </c>
      <c r="D41" s="90">
        <f t="shared" si="9"/>
        <v>94</v>
      </c>
      <c r="E41" s="90">
        <f t="shared" si="10"/>
        <v>30</v>
      </c>
      <c r="F41" s="134" t="str">
        <f t="shared" si="30"/>
        <v>Z350</v>
      </c>
      <c r="G41" s="81" t="s">
        <v>48</v>
      </c>
      <c r="H41" s="117">
        <v>2.5</v>
      </c>
      <c r="I41" s="96">
        <v>11.21</v>
      </c>
      <c r="J41" s="96">
        <v>8.6300000000000008</v>
      </c>
      <c r="K41" s="96">
        <v>3.46</v>
      </c>
      <c r="L41" s="96">
        <v>13.42</v>
      </c>
      <c r="M41" s="96">
        <v>2398.16</v>
      </c>
      <c r="N41" s="96">
        <v>130.44</v>
      </c>
      <c r="O41" s="96">
        <v>13.36</v>
      </c>
      <c r="P41" s="96">
        <v>16.62</v>
      </c>
      <c r="Q41" s="96">
        <v>13.44</v>
      </c>
      <c r="R41" s="96">
        <v>2403.2600000000002</v>
      </c>
      <c r="S41" s="96">
        <v>134.41999999999999</v>
      </c>
      <c r="T41" s="96">
        <v>13.37</v>
      </c>
      <c r="U41" s="96">
        <v>17.87</v>
      </c>
      <c r="V41" s="96">
        <v>14.28</v>
      </c>
      <c r="W41" s="96">
        <v>213.56</v>
      </c>
      <c r="X41" s="96">
        <v>22.8</v>
      </c>
      <c r="Y41" s="96">
        <v>3.86</v>
      </c>
      <c r="Z41" s="97">
        <v>8.6300000000000008</v>
      </c>
      <c r="AB41" s="186"/>
      <c r="AC41" s="188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</row>
    <row r="42" spans="1:45" ht="15" customHeight="1" x14ac:dyDescent="0.25">
      <c r="A42" s="72" t="str">
        <f t="shared" si="18"/>
        <v>Z350x3,0</v>
      </c>
      <c r="B42" s="11" t="str">
        <f t="shared" si="29"/>
        <v>350</v>
      </c>
      <c r="C42" s="90">
        <f t="shared" si="8"/>
        <v>87</v>
      </c>
      <c r="D42" s="90">
        <f t="shared" si="9"/>
        <v>95</v>
      </c>
      <c r="E42" s="90">
        <f t="shared" si="10"/>
        <v>30.5</v>
      </c>
      <c r="F42" s="134" t="str">
        <f t="shared" si="30"/>
        <v>Z350</v>
      </c>
      <c r="G42" s="81" t="s">
        <v>49</v>
      </c>
      <c r="H42" s="117">
        <v>3</v>
      </c>
      <c r="I42" s="96">
        <v>13.46</v>
      </c>
      <c r="J42" s="96">
        <v>11.04</v>
      </c>
      <c r="K42" s="96">
        <v>3.4</v>
      </c>
      <c r="L42" s="96">
        <v>16.86</v>
      </c>
      <c r="M42" s="96">
        <v>2956.91</v>
      </c>
      <c r="N42" s="96">
        <v>165.01</v>
      </c>
      <c r="O42" s="96">
        <v>13.24</v>
      </c>
      <c r="P42" s="96">
        <v>17.079999999999998</v>
      </c>
      <c r="Q42" s="96">
        <v>16.86</v>
      </c>
      <c r="R42" s="96">
        <v>2959.45</v>
      </c>
      <c r="S42" s="96">
        <v>168.37</v>
      </c>
      <c r="T42" s="96">
        <v>13.24</v>
      </c>
      <c r="U42" s="96">
        <v>17.420000000000002</v>
      </c>
      <c r="V42" s="96">
        <v>17.149999999999999</v>
      </c>
      <c r="W42" s="96">
        <v>260.67</v>
      </c>
      <c r="X42" s="96">
        <v>27.47</v>
      </c>
      <c r="Y42" s="96">
        <v>3.89</v>
      </c>
      <c r="Z42" s="97">
        <v>8.7100000000000009</v>
      </c>
      <c r="AB42" s="186"/>
      <c r="AC42" s="188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</row>
    <row r="43" spans="1:45" ht="15" customHeight="1" thickBot="1" x14ac:dyDescent="0.3">
      <c r="A43" s="73" t="str">
        <f t="shared" si="18"/>
        <v>Z350x3,5</v>
      </c>
      <c r="B43" s="12" t="str">
        <f t="shared" si="29"/>
        <v>350</v>
      </c>
      <c r="C43" s="91">
        <f t="shared" si="8"/>
        <v>88</v>
      </c>
      <c r="D43" s="91">
        <f t="shared" si="9"/>
        <v>96</v>
      </c>
      <c r="E43" s="92">
        <f t="shared" si="10"/>
        <v>31</v>
      </c>
      <c r="F43" s="136" t="str">
        <f t="shared" si="30"/>
        <v>Z350</v>
      </c>
      <c r="G43" s="82" t="s">
        <v>50</v>
      </c>
      <c r="H43" s="118">
        <v>3.5</v>
      </c>
      <c r="I43" s="98">
        <v>15.72</v>
      </c>
      <c r="J43" s="98">
        <v>13.64</v>
      </c>
      <c r="K43" s="98">
        <v>3.33</v>
      </c>
      <c r="L43" s="98">
        <v>20.02</v>
      </c>
      <c r="M43" s="98">
        <v>3484.03</v>
      </c>
      <c r="N43" s="98">
        <v>196.36</v>
      </c>
      <c r="O43" s="98">
        <v>13.19</v>
      </c>
      <c r="P43" s="98">
        <v>17.260000000000002</v>
      </c>
      <c r="Q43" s="98">
        <v>20.02</v>
      </c>
      <c r="R43" s="98">
        <v>3484.03</v>
      </c>
      <c r="S43" s="98">
        <v>196.36</v>
      </c>
      <c r="T43" s="98">
        <v>13.19</v>
      </c>
      <c r="U43" s="98">
        <v>17.260000000000002</v>
      </c>
      <c r="V43" s="98">
        <v>20.03</v>
      </c>
      <c r="W43" s="98">
        <v>309.32</v>
      </c>
      <c r="X43" s="98">
        <v>32.17</v>
      </c>
      <c r="Y43" s="98">
        <v>3.93</v>
      </c>
      <c r="Z43" s="99">
        <v>8.7899999999999991</v>
      </c>
      <c r="AB43" s="186"/>
      <c r="AC43" s="188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</row>
    <row r="44" spans="1:45" ht="15" customHeight="1" x14ac:dyDescent="0.25">
      <c r="A44" s="74" t="str">
        <f t="shared" si="18"/>
        <v>Z400x2,0</v>
      </c>
      <c r="B44" s="13" t="str">
        <f t="shared" si="29"/>
        <v>400</v>
      </c>
      <c r="C44" s="89">
        <f t="shared" si="8"/>
        <v>85</v>
      </c>
      <c r="D44" s="89">
        <f t="shared" si="9"/>
        <v>93</v>
      </c>
      <c r="E44" s="88">
        <f t="shared" si="10"/>
        <v>29.5</v>
      </c>
      <c r="F44" s="133" t="str">
        <f t="shared" si="30"/>
        <v>Z400</v>
      </c>
      <c r="G44" s="83" t="s">
        <v>51</v>
      </c>
      <c r="H44" s="116">
        <v>2</v>
      </c>
      <c r="I44" s="100">
        <v>9.74</v>
      </c>
      <c r="J44" s="100">
        <v>6.09</v>
      </c>
      <c r="K44" s="100">
        <v>3.28</v>
      </c>
      <c r="L44" s="100">
        <v>10.58</v>
      </c>
      <c r="M44" s="100">
        <v>2441.04</v>
      </c>
      <c r="N44" s="100">
        <v>109.66</v>
      </c>
      <c r="O44" s="100">
        <v>15.18</v>
      </c>
      <c r="P44" s="100">
        <v>17.739999999999998</v>
      </c>
      <c r="Q44" s="100">
        <v>10.56</v>
      </c>
      <c r="R44" s="100">
        <v>2419.31</v>
      </c>
      <c r="S44" s="100">
        <v>110.92</v>
      </c>
      <c r="T44" s="100">
        <v>15.12</v>
      </c>
      <c r="U44" s="100">
        <v>21.81</v>
      </c>
      <c r="V44" s="100">
        <v>12.24</v>
      </c>
      <c r="W44" s="100">
        <v>162.52000000000001</v>
      </c>
      <c r="X44" s="100">
        <v>17.82</v>
      </c>
      <c r="Y44" s="100">
        <v>3.64</v>
      </c>
      <c r="Z44" s="101">
        <v>8.48</v>
      </c>
      <c r="AB44" s="186"/>
      <c r="AC44" s="188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</row>
    <row r="45" spans="1:45" ht="15" customHeight="1" x14ac:dyDescent="0.25">
      <c r="A45" s="72" t="str">
        <f t="shared" si="18"/>
        <v>Z400x2,5</v>
      </c>
      <c r="B45" s="11" t="str">
        <f t="shared" si="29"/>
        <v>400</v>
      </c>
      <c r="C45" s="90">
        <f t="shared" si="8"/>
        <v>86</v>
      </c>
      <c r="D45" s="90">
        <f t="shared" si="9"/>
        <v>94</v>
      </c>
      <c r="E45" s="90">
        <f t="shared" si="10"/>
        <v>30</v>
      </c>
      <c r="F45" s="134" t="str">
        <f t="shared" si="30"/>
        <v>Z400</v>
      </c>
      <c r="G45" s="81" t="s">
        <v>52</v>
      </c>
      <c r="H45" s="119">
        <v>2.5</v>
      </c>
      <c r="I45" s="96">
        <v>12.19</v>
      </c>
      <c r="J45" s="96">
        <v>8.67</v>
      </c>
      <c r="K45" s="96">
        <v>3.21</v>
      </c>
      <c r="L45" s="96">
        <v>14.1</v>
      </c>
      <c r="M45" s="96">
        <v>3227.98</v>
      </c>
      <c r="N45" s="96">
        <v>150.79</v>
      </c>
      <c r="O45" s="96">
        <v>15.12</v>
      </c>
      <c r="P45" s="96">
        <v>18.59</v>
      </c>
      <c r="Q45" s="96">
        <v>14.13</v>
      </c>
      <c r="R45" s="96">
        <v>3240.21</v>
      </c>
      <c r="S45" s="96">
        <v>155.44</v>
      </c>
      <c r="T45" s="96">
        <v>15.14</v>
      </c>
      <c r="U45" s="96">
        <v>20.85</v>
      </c>
      <c r="V45" s="96">
        <v>15.53</v>
      </c>
      <c r="W45" s="96">
        <v>213.59</v>
      </c>
      <c r="X45" s="96">
        <v>22.78</v>
      </c>
      <c r="Y45" s="96">
        <v>3.7</v>
      </c>
      <c r="Z45" s="97">
        <v>8.6199999999999992</v>
      </c>
      <c r="AB45" s="186"/>
      <c r="AC45" s="188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</row>
    <row r="46" spans="1:45" ht="15" customHeight="1" x14ac:dyDescent="0.25">
      <c r="A46" s="72" t="str">
        <f t="shared" si="18"/>
        <v>Z400x3,0</v>
      </c>
      <c r="B46" s="11" t="str">
        <f t="shared" si="29"/>
        <v>400</v>
      </c>
      <c r="C46" s="90">
        <f t="shared" si="8"/>
        <v>87</v>
      </c>
      <c r="D46" s="90">
        <f t="shared" si="9"/>
        <v>95</v>
      </c>
      <c r="E46" s="90">
        <f t="shared" si="10"/>
        <v>30.5</v>
      </c>
      <c r="F46" s="134" t="str">
        <f t="shared" si="30"/>
        <v>Z400</v>
      </c>
      <c r="G46" s="81" t="s">
        <v>53</v>
      </c>
      <c r="H46" s="117">
        <v>3</v>
      </c>
      <c r="I46" s="96">
        <v>14.64</v>
      </c>
      <c r="J46" s="96">
        <v>11.1</v>
      </c>
      <c r="K46" s="96">
        <v>3.15</v>
      </c>
      <c r="L46" s="96">
        <v>17.7</v>
      </c>
      <c r="M46" s="96">
        <v>3985.64</v>
      </c>
      <c r="N46" s="96">
        <v>190.9</v>
      </c>
      <c r="O46" s="96">
        <v>15</v>
      </c>
      <c r="P46" s="96">
        <v>19.12</v>
      </c>
      <c r="Q46" s="96">
        <v>17.72</v>
      </c>
      <c r="R46" s="96">
        <v>3995.94</v>
      </c>
      <c r="S46" s="96">
        <v>196.47</v>
      </c>
      <c r="T46" s="96">
        <v>15.01</v>
      </c>
      <c r="U46" s="96">
        <v>20.34</v>
      </c>
      <c r="V46" s="96">
        <v>18.649999999999999</v>
      </c>
      <c r="W46" s="96">
        <v>260.72000000000003</v>
      </c>
      <c r="X46" s="96">
        <v>27.44</v>
      </c>
      <c r="Y46" s="96">
        <v>3.73</v>
      </c>
      <c r="Z46" s="97">
        <v>8.6999999999999993</v>
      </c>
      <c r="AB46" s="186"/>
      <c r="AC46" s="188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87"/>
      <c r="AR46" s="187"/>
      <c r="AS46" s="187"/>
    </row>
    <row r="47" spans="1:45" ht="15" customHeight="1" x14ac:dyDescent="0.25">
      <c r="A47" s="72" t="str">
        <f t="shared" si="18"/>
        <v>Z400x3,5</v>
      </c>
      <c r="B47" s="11" t="str">
        <f t="shared" si="29"/>
        <v>400</v>
      </c>
      <c r="C47" s="90">
        <f t="shared" si="8"/>
        <v>88</v>
      </c>
      <c r="D47" s="90">
        <f t="shared" si="9"/>
        <v>96</v>
      </c>
      <c r="E47" s="90">
        <f t="shared" si="10"/>
        <v>31</v>
      </c>
      <c r="F47" s="134" t="str">
        <f t="shared" si="30"/>
        <v>Z400</v>
      </c>
      <c r="G47" s="81" t="s">
        <v>54</v>
      </c>
      <c r="H47" s="117">
        <v>3.5</v>
      </c>
      <c r="I47" s="96">
        <v>17.09</v>
      </c>
      <c r="J47" s="96">
        <v>13.73</v>
      </c>
      <c r="K47" s="96">
        <v>3.09</v>
      </c>
      <c r="L47" s="96">
        <v>21.51</v>
      </c>
      <c r="M47" s="96">
        <v>4770.3100000000004</v>
      </c>
      <c r="N47" s="96">
        <v>233.88</v>
      </c>
      <c r="O47" s="96">
        <v>14.88</v>
      </c>
      <c r="P47" s="96">
        <v>19.600000000000001</v>
      </c>
      <c r="Q47" s="96">
        <v>21.52</v>
      </c>
      <c r="R47" s="96">
        <v>4773.12</v>
      </c>
      <c r="S47" s="96">
        <v>237.22</v>
      </c>
      <c r="T47" s="96">
        <v>14.89</v>
      </c>
      <c r="U47" s="96">
        <v>19.88</v>
      </c>
      <c r="V47" s="96">
        <v>21.78</v>
      </c>
      <c r="W47" s="96">
        <v>309.38</v>
      </c>
      <c r="X47" s="96">
        <v>32.14</v>
      </c>
      <c r="Y47" s="96">
        <v>3.76</v>
      </c>
      <c r="Z47" s="97">
        <v>8.77</v>
      </c>
      <c r="AB47" s="186"/>
      <c r="AC47" s="188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7"/>
      <c r="AR47" s="187"/>
      <c r="AS47" s="187"/>
    </row>
    <row r="48" spans="1:45" ht="15" customHeight="1" thickBot="1" x14ac:dyDescent="0.3">
      <c r="A48" s="73" t="str">
        <f t="shared" si="18"/>
        <v>Z400x4,0</v>
      </c>
      <c r="B48" s="12" t="str">
        <f t="shared" si="29"/>
        <v>400</v>
      </c>
      <c r="C48" s="91">
        <f t="shared" si="8"/>
        <v>89</v>
      </c>
      <c r="D48" s="92">
        <f t="shared" si="9"/>
        <v>97</v>
      </c>
      <c r="E48" s="91">
        <f t="shared" si="10"/>
        <v>31.5</v>
      </c>
      <c r="F48" s="135" t="str">
        <f t="shared" si="30"/>
        <v>Z400</v>
      </c>
      <c r="G48" s="82" t="s">
        <v>55</v>
      </c>
      <c r="H48" s="118">
        <v>4</v>
      </c>
      <c r="I48" s="98">
        <v>19.55</v>
      </c>
      <c r="J48" s="98">
        <v>16.559999999999999</v>
      </c>
      <c r="K48" s="98">
        <v>3.05</v>
      </c>
      <c r="L48" s="98">
        <v>24.9</v>
      </c>
      <c r="M48" s="98">
        <v>5491.68</v>
      </c>
      <c r="N48" s="98">
        <v>271.13</v>
      </c>
      <c r="O48" s="98">
        <v>14.84</v>
      </c>
      <c r="P48" s="98">
        <v>19.75</v>
      </c>
      <c r="Q48" s="98">
        <v>24.9</v>
      </c>
      <c r="R48" s="98">
        <v>5491.68</v>
      </c>
      <c r="S48" s="98">
        <v>271.13</v>
      </c>
      <c r="T48" s="98">
        <v>14.84</v>
      </c>
      <c r="U48" s="98">
        <v>19.75</v>
      </c>
      <c r="V48" s="98">
        <v>24.91</v>
      </c>
      <c r="W48" s="98">
        <v>359.6</v>
      </c>
      <c r="X48" s="98">
        <v>36.880000000000003</v>
      </c>
      <c r="Y48" s="98">
        <v>3.79</v>
      </c>
      <c r="Z48" s="99">
        <v>8.85</v>
      </c>
      <c r="AB48" s="186"/>
      <c r="AC48" s="188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</row>
    <row r="49" spans="4:4" ht="15" customHeight="1" x14ac:dyDescent="0.25">
      <c r="D49" s="167"/>
    </row>
  </sheetData>
  <mergeCells count="33">
    <mergeCell ref="F4:G6"/>
    <mergeCell ref="F7:F10"/>
    <mergeCell ref="G7:G10"/>
    <mergeCell ref="A4:A10"/>
    <mergeCell ref="B4:B10"/>
    <mergeCell ref="C4:C10"/>
    <mergeCell ref="D4:D10"/>
    <mergeCell ref="E4:E10"/>
    <mergeCell ref="Q7:Q8"/>
    <mergeCell ref="H4:H10"/>
    <mergeCell ref="I4:I9"/>
    <mergeCell ref="J4:K6"/>
    <mergeCell ref="L4:Z4"/>
    <mergeCell ref="L5:U5"/>
    <mergeCell ref="V5:Z6"/>
    <mergeCell ref="L6:P6"/>
    <mergeCell ref="Q6:U6"/>
    <mergeCell ref="J7:J8"/>
    <mergeCell ref="K7:K8"/>
    <mergeCell ref="L7:L8"/>
    <mergeCell ref="M7:M8"/>
    <mergeCell ref="N7:N8"/>
    <mergeCell ref="O7:O8"/>
    <mergeCell ref="P7:P8"/>
    <mergeCell ref="X7:X8"/>
    <mergeCell ref="Y7:Y8"/>
    <mergeCell ref="Z7:Z8"/>
    <mergeCell ref="R7:R8"/>
    <mergeCell ref="S7:S8"/>
    <mergeCell ref="T7:T8"/>
    <mergeCell ref="U7:U8"/>
    <mergeCell ref="V7:V8"/>
    <mergeCell ref="W7:W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zoomScale="80" zoomScaleNormal="80" workbookViewId="0">
      <selection activeCell="N2" sqref="N2"/>
    </sheetView>
  </sheetViews>
  <sheetFormatPr defaultColWidth="8.85546875" defaultRowHeight="15" customHeight="1" x14ac:dyDescent="0.25"/>
  <cols>
    <col min="1" max="1" width="12.7109375" style="153" customWidth="1"/>
    <col min="2" max="5" width="6.7109375" style="153" customWidth="1"/>
    <col min="6" max="6" width="8.7109375" style="153" customWidth="1"/>
    <col min="7" max="7" width="15.7109375" style="153" customWidth="1"/>
    <col min="8" max="26" width="8.7109375" style="153" customWidth="1"/>
    <col min="27" max="16384" width="8.85546875" style="153"/>
  </cols>
  <sheetData>
    <row r="1" spans="1:26" ht="15" customHeight="1" thickBot="1" x14ac:dyDescent="0.3">
      <c r="A1" s="107">
        <v>350</v>
      </c>
    </row>
    <row r="2" spans="1:26" ht="15" customHeight="1" thickBot="1" x14ac:dyDescent="0.3">
      <c r="A2" s="79" t="str">
        <f>Сводная!A19</f>
        <v>Z250x2,5</v>
      </c>
      <c r="B2" s="93" t="str">
        <f>INDEX(B11:B48,MATCH($A$2,$A$11:$A$48))</f>
        <v>250</v>
      </c>
      <c r="C2" s="105">
        <f t="shared" ref="C2:Z2" si="0">INDEX(C11:C48,MATCH($A$2,$A$11:$A$48))</f>
        <v>68</v>
      </c>
      <c r="D2" s="105">
        <f t="shared" si="0"/>
        <v>79</v>
      </c>
      <c r="E2" s="105">
        <f t="shared" si="0"/>
        <v>22</v>
      </c>
      <c r="F2" s="93" t="str">
        <f t="shared" si="0"/>
        <v>Z250</v>
      </c>
      <c r="G2" s="93" t="str">
        <f t="shared" si="0"/>
        <v>250/68/79/22</v>
      </c>
      <c r="H2" s="105">
        <f t="shared" si="0"/>
        <v>2.5</v>
      </c>
      <c r="I2" s="103">
        <f t="shared" si="0"/>
        <v>8.2799999999999994</v>
      </c>
      <c r="J2" s="103">
        <f t="shared" si="0"/>
        <v>7.04</v>
      </c>
      <c r="K2" s="103">
        <f t="shared" si="0"/>
        <v>2.82</v>
      </c>
      <c r="L2" s="103">
        <f t="shared" si="0"/>
        <v>10.45</v>
      </c>
      <c r="M2" s="103">
        <f t="shared" si="0"/>
        <v>951.7</v>
      </c>
      <c r="N2" s="103">
        <f t="shared" si="0"/>
        <v>73.81</v>
      </c>
      <c r="O2" s="103">
        <f t="shared" si="0"/>
        <v>9.5399999999999991</v>
      </c>
      <c r="P2" s="103">
        <f t="shared" si="0"/>
        <v>12.11</v>
      </c>
      <c r="Q2" s="103">
        <f t="shared" si="0"/>
        <v>10.45</v>
      </c>
      <c r="R2" s="103">
        <f t="shared" si="0"/>
        <v>952.52</v>
      </c>
      <c r="S2" s="103">
        <f t="shared" si="0"/>
        <v>74.650000000000006</v>
      </c>
      <c r="T2" s="103">
        <f t="shared" si="0"/>
        <v>9.5399999999999991</v>
      </c>
      <c r="U2" s="103">
        <f t="shared" si="0"/>
        <v>12.24</v>
      </c>
      <c r="V2" s="103">
        <f t="shared" si="0"/>
        <v>10.55</v>
      </c>
      <c r="W2" s="103">
        <f t="shared" si="0"/>
        <v>106.98</v>
      </c>
      <c r="X2" s="103">
        <f t="shared" si="0"/>
        <v>13.73</v>
      </c>
      <c r="Y2" s="103">
        <f t="shared" si="0"/>
        <v>3.18</v>
      </c>
      <c r="Z2" s="104">
        <f t="shared" si="0"/>
        <v>6.91</v>
      </c>
    </row>
    <row r="3" spans="1:26" ht="15" customHeight="1" thickBot="1" x14ac:dyDescent="0.3"/>
    <row r="4" spans="1:26" ht="15" customHeight="1" x14ac:dyDescent="0.25">
      <c r="A4" s="361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04" t="s">
        <v>165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26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26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 t="s">
        <v>18</v>
      </c>
      <c r="R6" s="345"/>
      <c r="S6" s="345"/>
      <c r="T6" s="345"/>
      <c r="U6" s="345"/>
      <c r="V6" s="345"/>
      <c r="W6" s="345"/>
      <c r="X6" s="345"/>
      <c r="Y6" s="345"/>
      <c r="Z6" s="357"/>
    </row>
    <row r="7" spans="1:26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 t="s">
        <v>21</v>
      </c>
      <c r="R7" s="364" t="s">
        <v>3</v>
      </c>
      <c r="S7" s="364" t="s">
        <v>156</v>
      </c>
      <c r="T7" s="364" t="s">
        <v>20</v>
      </c>
      <c r="U7" s="381" t="s">
        <v>168</v>
      </c>
      <c r="V7" s="364" t="s">
        <v>21</v>
      </c>
      <c r="W7" s="381" t="s">
        <v>3</v>
      </c>
      <c r="X7" s="364" t="s">
        <v>156</v>
      </c>
      <c r="Y7" s="364" t="s">
        <v>20</v>
      </c>
      <c r="Z7" s="400" t="s">
        <v>168</v>
      </c>
    </row>
    <row r="8" spans="1:26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401"/>
    </row>
    <row r="9" spans="1:26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 t="s">
        <v>172</v>
      </c>
      <c r="R9" s="154" t="s">
        <v>174</v>
      </c>
      <c r="S9" s="154" t="s">
        <v>175</v>
      </c>
      <c r="T9" s="154" t="s">
        <v>176</v>
      </c>
      <c r="U9" s="154" t="s">
        <v>177</v>
      </c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26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 t="s">
        <v>182</v>
      </c>
      <c r="R10" s="156" t="s">
        <v>183</v>
      </c>
      <c r="S10" s="156" t="s">
        <v>184</v>
      </c>
      <c r="T10" s="156" t="s">
        <v>6</v>
      </c>
      <c r="U10" s="156" t="s">
        <v>6</v>
      </c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26" ht="15" customHeight="1" x14ac:dyDescent="0.25">
      <c r="A11" s="144" t="str">
        <f t="shared" ref="A11:A12" si="1">CONCATENATE(F11,"x",(IF(H11=INT(H11),CONCATENATE(H11,",",0),H11)))</f>
        <v>Z140x1,0</v>
      </c>
      <c r="B11" s="145" t="str">
        <f t="shared" ref="B11:B12" si="2">LEFT(G11,3)</f>
        <v>140</v>
      </c>
      <c r="C11" s="146">
        <f t="shared" ref="C11:C12" si="3">VALUE(MID(G11,(SEARCH("/",G11,1)+1),(SEARCH("/",G11,(SEARCH("/",G11,1)+1))-SEARCH("/",G11,1)-1)))</f>
        <v>59.5</v>
      </c>
      <c r="D11" s="146">
        <f t="shared" ref="D11:D12" si="4">VALUE(MID(G11,(SEARCH("/",G11,(SEARCH("/",G11,1)+1))+1),(SEARCH("/",G11,SEARCH("/",G11,(SEARCH("/",G11,1)+1))+1))-(SEARCH("/",G11,(SEARCH("/",G11,1)+1))+1)))</f>
        <v>65.5</v>
      </c>
      <c r="E11" s="146">
        <f t="shared" ref="E11:E12" si="5">VALUE(MID(G11,(SEARCH("/",G11,SEARCH("/",G11,(SEARCH("/",G11,1)+1))+1)+1),4))</f>
        <v>20</v>
      </c>
      <c r="F11" s="158" t="str">
        <f t="shared" ref="F11:F12" si="6">CONCATENATE("Z",LEFT(G11,3))</f>
        <v>Z140</v>
      </c>
      <c r="G11" s="159" t="s">
        <v>27</v>
      </c>
      <c r="H11" s="160">
        <v>1</v>
      </c>
      <c r="I11" s="161">
        <v>2.38</v>
      </c>
      <c r="J11" s="161">
        <v>1.48</v>
      </c>
      <c r="K11" s="161">
        <v>3.03</v>
      </c>
      <c r="L11" s="161">
        <v>2.52</v>
      </c>
      <c r="M11" s="161">
        <v>77.92</v>
      </c>
      <c r="N11" s="161">
        <v>9.77</v>
      </c>
      <c r="O11" s="161">
        <v>5.55</v>
      </c>
      <c r="P11" s="161">
        <v>6.03</v>
      </c>
      <c r="Q11" s="161">
        <v>2.48</v>
      </c>
      <c r="R11" s="161">
        <v>76.16</v>
      </c>
      <c r="S11" s="161">
        <v>9.75</v>
      </c>
      <c r="T11" s="161">
        <v>5.54</v>
      </c>
      <c r="U11" s="161">
        <v>7.81</v>
      </c>
      <c r="V11" s="161">
        <v>2.65</v>
      </c>
      <c r="W11" s="161">
        <v>23.28</v>
      </c>
      <c r="X11" s="161">
        <v>3.44</v>
      </c>
      <c r="Y11" s="161">
        <v>2.96</v>
      </c>
      <c r="Z11" s="162">
        <v>5.64</v>
      </c>
    </row>
    <row r="12" spans="1:26" ht="15" customHeight="1" x14ac:dyDescent="0.25">
      <c r="A12" s="147" t="str">
        <f t="shared" si="1"/>
        <v>Z140x1,2</v>
      </c>
      <c r="B12" s="148" t="str">
        <f t="shared" si="2"/>
        <v>140</v>
      </c>
      <c r="C12" s="149">
        <f t="shared" si="3"/>
        <v>59.5</v>
      </c>
      <c r="D12" s="149">
        <f t="shared" si="4"/>
        <v>65.5</v>
      </c>
      <c r="E12" s="149">
        <f t="shared" si="5"/>
        <v>20</v>
      </c>
      <c r="F12" s="154" t="str">
        <f t="shared" si="6"/>
        <v>Z140</v>
      </c>
      <c r="G12" s="155" t="s">
        <v>27</v>
      </c>
      <c r="H12" s="164">
        <v>1.2</v>
      </c>
      <c r="I12" s="165">
        <v>2.83</v>
      </c>
      <c r="J12" s="165">
        <v>2.06</v>
      </c>
      <c r="K12" s="165">
        <v>2.98</v>
      </c>
      <c r="L12" s="165">
        <v>3.22</v>
      </c>
      <c r="M12" s="165">
        <v>99.35</v>
      </c>
      <c r="N12" s="165">
        <v>13.02</v>
      </c>
      <c r="O12" s="165">
        <v>5.55</v>
      </c>
      <c r="P12" s="165">
        <v>6.37</v>
      </c>
      <c r="Q12" s="165">
        <v>3.16</v>
      </c>
      <c r="R12" s="165">
        <v>97.15</v>
      </c>
      <c r="S12" s="165">
        <v>13.02</v>
      </c>
      <c r="T12" s="165">
        <v>5.54</v>
      </c>
      <c r="U12" s="165">
        <v>7.46</v>
      </c>
      <c r="V12" s="165">
        <v>3.26</v>
      </c>
      <c r="W12" s="165">
        <v>29.86</v>
      </c>
      <c r="X12" s="165">
        <v>4.51</v>
      </c>
      <c r="Y12" s="165">
        <v>3.02</v>
      </c>
      <c r="Z12" s="166">
        <v>5.77</v>
      </c>
    </row>
    <row r="13" spans="1:26" s="185" customFormat="1" ht="15" customHeight="1" x14ac:dyDescent="0.25">
      <c r="A13" s="72" t="str">
        <f>CONCATENATE(F13,"x",(IF(H13=INT(H13),CONCATENATE(H13,",",0),H13)))</f>
        <v>Z140x1,5</v>
      </c>
      <c r="B13" s="11" t="str">
        <f>LEFT(G13,3)</f>
        <v>140</v>
      </c>
      <c r="C13" s="90">
        <f>VALUE(MID(G13,(SEARCH("/",G13,1)+1),(SEARCH("/",G13,(SEARCH("/",G13,1)+1))-SEARCH("/",G13,1)-1)))</f>
        <v>59.5</v>
      </c>
      <c r="D13" s="90">
        <f>VALUE(MID(G13,(SEARCH("/",G13,(SEARCH("/",G13,1)+1))+1),(SEARCH("/",G13,SEARCH("/",G13,(SEARCH("/",G13,1)+1))+1))-(SEARCH("/",G13,(SEARCH("/",G13,1)+1))+1)))</f>
        <v>65.5</v>
      </c>
      <c r="E13" s="90">
        <f>VALUE(MID(G13,(SEARCH("/",G13,SEARCH("/",G13,(SEARCH("/",G13,1)+1))+1)+1),4))</f>
        <v>20</v>
      </c>
      <c r="F13" s="134" t="str">
        <f>CONCATENATE("Z",LEFT(G13,3))</f>
        <v>Z140</v>
      </c>
      <c r="G13" s="81" t="s">
        <v>27</v>
      </c>
      <c r="H13" s="117">
        <v>1.5</v>
      </c>
      <c r="I13" s="96">
        <v>3.42</v>
      </c>
      <c r="J13" s="96">
        <v>3.04</v>
      </c>
      <c r="K13" s="96">
        <v>2.96</v>
      </c>
      <c r="L13" s="96">
        <v>4.29</v>
      </c>
      <c r="M13" s="96">
        <v>131.94</v>
      </c>
      <c r="N13" s="96">
        <v>18.16</v>
      </c>
      <c r="O13" s="96">
        <v>5.54</v>
      </c>
      <c r="P13" s="96">
        <v>6.74</v>
      </c>
      <c r="Q13" s="96">
        <v>4.22</v>
      </c>
      <c r="R13" s="96">
        <v>129.28</v>
      </c>
      <c r="S13" s="96">
        <v>18.260000000000002</v>
      </c>
      <c r="T13" s="96">
        <v>5.52</v>
      </c>
      <c r="U13" s="96">
        <v>7.07</v>
      </c>
      <c r="V13" s="96">
        <v>4.3499999999999996</v>
      </c>
      <c r="W13" s="96">
        <v>41.72</v>
      </c>
      <c r="X13" s="96">
        <v>6.49</v>
      </c>
      <c r="Y13" s="96">
        <v>3.1</v>
      </c>
      <c r="Z13" s="97">
        <v>6.04</v>
      </c>
    </row>
    <row r="14" spans="1:26" ht="15" customHeight="1" x14ac:dyDescent="0.25">
      <c r="A14" s="72" t="str">
        <f>CONCATENATE(F14,"x",(IF(H14=INT(H14),CONCATENATE(H14,",",0),H14)))</f>
        <v>Z140x2,0</v>
      </c>
      <c r="B14" s="11" t="str">
        <f t="shared" ref="B14:B35" si="7">LEFT(G14,3)</f>
        <v>140</v>
      </c>
      <c r="C14" s="90">
        <f t="shared" ref="C14:C35" si="8">VALUE(MID(G14,(SEARCH("/",G14,1)+1),(SEARCH("/",G14,(SEARCH("/",G14,1)+1))-SEARCH("/",G14,1)-1)))</f>
        <v>59.5</v>
      </c>
      <c r="D14" s="90">
        <f t="shared" ref="D14:D35" si="9">VALUE(MID(G14,(SEARCH("/",G14,(SEARCH("/",G14,1)+1))+1),(SEARCH("/",G14,SEARCH("/",G14,(SEARCH("/",G14,1)+1))+1))-(SEARCH("/",G14,(SEARCH("/",G14,1)+1))+1)))</f>
        <v>65.5</v>
      </c>
      <c r="E14" s="90">
        <f t="shared" ref="E14:E35" si="10">VALUE(MID(G14,(SEARCH("/",G14,SEARCH("/",G14,(SEARCH("/",G14,1)+1))+1)+1),4))</f>
        <v>20.5</v>
      </c>
      <c r="F14" s="134" t="str">
        <f t="shared" ref="F14:F35" si="11">CONCATENATE("Z",LEFT(G14,3))</f>
        <v>Z140</v>
      </c>
      <c r="G14" s="81" t="s">
        <v>28</v>
      </c>
      <c r="H14" s="121">
        <v>2</v>
      </c>
      <c r="I14" s="96">
        <v>4.54</v>
      </c>
      <c r="J14" s="96">
        <v>4.66</v>
      </c>
      <c r="K14" s="96">
        <v>2.82</v>
      </c>
      <c r="L14" s="96">
        <v>5.78</v>
      </c>
      <c r="M14" s="96">
        <v>178.2</v>
      </c>
      <c r="N14" s="96">
        <v>24.94</v>
      </c>
      <c r="O14" s="96">
        <v>5.54</v>
      </c>
      <c r="P14" s="96">
        <v>6.86</v>
      </c>
      <c r="Q14" s="96">
        <v>5.78</v>
      </c>
      <c r="R14" s="96">
        <v>178.2</v>
      </c>
      <c r="S14" s="96">
        <v>24.94</v>
      </c>
      <c r="T14" s="96">
        <v>5.54</v>
      </c>
      <c r="U14" s="96">
        <v>6.86</v>
      </c>
      <c r="V14" s="96">
        <v>5.79</v>
      </c>
      <c r="W14" s="96">
        <v>54.95</v>
      </c>
      <c r="X14" s="96">
        <v>8.48</v>
      </c>
      <c r="Y14" s="96">
        <v>3.08</v>
      </c>
      <c r="Z14" s="97">
        <v>6.01</v>
      </c>
    </row>
    <row r="15" spans="1:26" ht="15" customHeight="1" x14ac:dyDescent="0.25">
      <c r="A15" s="72" t="str">
        <f>CONCATENATE(F15,"x",(IF(H15=INT(H15),CONCATENATE(H15,",",0),H15)))</f>
        <v>Z140x2,5</v>
      </c>
      <c r="B15" s="11" t="str">
        <f t="shared" si="7"/>
        <v>140</v>
      </c>
      <c r="C15" s="90">
        <f t="shared" si="8"/>
        <v>59.5</v>
      </c>
      <c r="D15" s="90">
        <f t="shared" si="9"/>
        <v>65.5</v>
      </c>
      <c r="E15" s="90">
        <f t="shared" si="10"/>
        <v>21</v>
      </c>
      <c r="F15" s="134" t="str">
        <f t="shared" si="11"/>
        <v>Z140</v>
      </c>
      <c r="G15" s="81" t="s">
        <v>29</v>
      </c>
      <c r="H15" s="117">
        <v>2.5</v>
      </c>
      <c r="I15" s="96">
        <v>5.65</v>
      </c>
      <c r="J15" s="96">
        <v>6.19</v>
      </c>
      <c r="K15" s="96">
        <v>2.71</v>
      </c>
      <c r="L15" s="96">
        <v>7.19</v>
      </c>
      <c r="M15" s="96">
        <v>219.52</v>
      </c>
      <c r="N15" s="96">
        <v>30.73</v>
      </c>
      <c r="O15" s="96">
        <v>5.52</v>
      </c>
      <c r="P15" s="96">
        <v>6.86</v>
      </c>
      <c r="Q15" s="96">
        <v>7.19</v>
      </c>
      <c r="R15" s="96">
        <v>219.52</v>
      </c>
      <c r="S15" s="96">
        <v>30.73</v>
      </c>
      <c r="T15" s="96">
        <v>5.52</v>
      </c>
      <c r="U15" s="96">
        <v>6.86</v>
      </c>
      <c r="V15" s="96">
        <v>7.2</v>
      </c>
      <c r="W15" s="96">
        <v>67.59</v>
      </c>
      <c r="X15" s="96">
        <v>10.38</v>
      </c>
      <c r="Y15" s="96">
        <v>3.06</v>
      </c>
      <c r="Z15" s="97">
        <v>5.99</v>
      </c>
    </row>
    <row r="16" spans="1:26" ht="15" customHeight="1" thickBot="1" x14ac:dyDescent="0.3">
      <c r="A16" s="73" t="str">
        <f>CONCATENATE(F16,"x",(IF(H16=INT(H16),CONCATENATE(H16,",",0),H16)))</f>
        <v>Z140x3,0</v>
      </c>
      <c r="B16" s="12" t="str">
        <f t="shared" si="7"/>
        <v>140</v>
      </c>
      <c r="C16" s="91">
        <f t="shared" si="8"/>
        <v>59.5</v>
      </c>
      <c r="D16" s="91">
        <f t="shared" si="9"/>
        <v>65.5</v>
      </c>
      <c r="E16" s="91">
        <f t="shared" si="10"/>
        <v>22</v>
      </c>
      <c r="F16" s="135" t="str">
        <f t="shared" si="11"/>
        <v>Z140</v>
      </c>
      <c r="G16" s="82" t="s">
        <v>30</v>
      </c>
      <c r="H16" s="118">
        <v>3</v>
      </c>
      <c r="I16" s="98">
        <v>6.77</v>
      </c>
      <c r="J16" s="98">
        <v>7.84</v>
      </c>
      <c r="K16" s="98">
        <v>2.63</v>
      </c>
      <c r="L16" s="98">
        <v>8.6199999999999992</v>
      </c>
      <c r="M16" s="98">
        <v>260.29000000000002</v>
      </c>
      <c r="N16" s="98">
        <v>36.44</v>
      </c>
      <c r="O16" s="98">
        <v>5.49</v>
      </c>
      <c r="P16" s="98">
        <v>6.86</v>
      </c>
      <c r="Q16" s="98">
        <v>8.6199999999999992</v>
      </c>
      <c r="R16" s="98">
        <v>260.29000000000002</v>
      </c>
      <c r="S16" s="98">
        <v>36.44</v>
      </c>
      <c r="T16" s="98">
        <v>5.49</v>
      </c>
      <c r="U16" s="98">
        <v>6.86</v>
      </c>
      <c r="V16" s="98">
        <v>8.6</v>
      </c>
      <c r="W16" s="98">
        <v>80.510000000000005</v>
      </c>
      <c r="X16" s="98">
        <v>12.36</v>
      </c>
      <c r="Y16" s="98">
        <v>3.06</v>
      </c>
      <c r="Z16" s="99">
        <v>5.96</v>
      </c>
    </row>
    <row r="17" spans="1:26" ht="15" customHeight="1" x14ac:dyDescent="0.25">
      <c r="A17" s="71" t="str">
        <f t="shared" ref="A17:A35" si="12">CONCATENATE(F17,"x",(IF(H17=INT(H17),CONCATENATE(H17,",",0),H17)))</f>
        <v>Z160x1,0</v>
      </c>
      <c r="B17" s="10" t="str">
        <f t="shared" si="7"/>
        <v>160</v>
      </c>
      <c r="C17" s="88">
        <f t="shared" si="8"/>
        <v>59.5</v>
      </c>
      <c r="D17" s="88">
        <f t="shared" si="9"/>
        <v>65.5</v>
      </c>
      <c r="E17" s="88">
        <f t="shared" si="10"/>
        <v>20</v>
      </c>
      <c r="F17" s="133" t="str">
        <f t="shared" si="11"/>
        <v>Z160</v>
      </c>
      <c r="G17" s="80" t="s">
        <v>31</v>
      </c>
      <c r="H17" s="116">
        <v>1</v>
      </c>
      <c r="I17" s="94">
        <v>2.54</v>
      </c>
      <c r="J17" s="94">
        <v>1.49</v>
      </c>
      <c r="K17" s="94">
        <v>2.91</v>
      </c>
      <c r="L17" s="94">
        <v>2.63</v>
      </c>
      <c r="M17" s="94">
        <v>104.38</v>
      </c>
      <c r="N17" s="94">
        <v>11.32</v>
      </c>
      <c r="O17" s="94">
        <v>6.29</v>
      </c>
      <c r="P17" s="94">
        <v>6.78</v>
      </c>
      <c r="Q17" s="94">
        <v>2.58</v>
      </c>
      <c r="R17" s="94">
        <v>102.18</v>
      </c>
      <c r="S17" s="94">
        <v>11.3</v>
      </c>
      <c r="T17" s="94">
        <v>6.28</v>
      </c>
      <c r="U17" s="94">
        <v>9.0399999999999991</v>
      </c>
      <c r="V17" s="94">
        <v>2.85</v>
      </c>
      <c r="W17" s="94">
        <v>23.3</v>
      </c>
      <c r="X17" s="94">
        <v>3.45</v>
      </c>
      <c r="Y17" s="94">
        <v>2.85</v>
      </c>
      <c r="Z17" s="95">
        <v>5.65</v>
      </c>
    </row>
    <row r="18" spans="1:26" ht="15" customHeight="1" x14ac:dyDescent="0.25">
      <c r="A18" s="72" t="str">
        <f t="shared" si="12"/>
        <v>Z160x1,2</v>
      </c>
      <c r="B18" s="11" t="str">
        <f t="shared" si="7"/>
        <v>160</v>
      </c>
      <c r="C18" s="90">
        <f t="shared" si="8"/>
        <v>59.5</v>
      </c>
      <c r="D18" s="90">
        <f t="shared" si="9"/>
        <v>65.5</v>
      </c>
      <c r="E18" s="90">
        <f t="shared" si="10"/>
        <v>20</v>
      </c>
      <c r="F18" s="134" t="str">
        <f t="shared" si="11"/>
        <v>Z160</v>
      </c>
      <c r="G18" s="81" t="s">
        <v>31</v>
      </c>
      <c r="H18" s="117">
        <v>1.2</v>
      </c>
      <c r="I18" s="96">
        <v>3.02</v>
      </c>
      <c r="J18" s="96">
        <v>2.06</v>
      </c>
      <c r="K18" s="96">
        <v>2.87</v>
      </c>
      <c r="L18" s="96">
        <v>3.34</v>
      </c>
      <c r="M18" s="96">
        <v>133.22999999999999</v>
      </c>
      <c r="N18" s="96">
        <v>15.08</v>
      </c>
      <c r="O18" s="96">
        <v>6.3</v>
      </c>
      <c r="P18" s="96">
        <v>7.17</v>
      </c>
      <c r="Q18" s="96">
        <v>3.29</v>
      </c>
      <c r="R18" s="96">
        <v>130.5</v>
      </c>
      <c r="S18" s="96">
        <v>15.08</v>
      </c>
      <c r="T18" s="96">
        <v>6.29</v>
      </c>
      <c r="U18" s="96">
        <v>8.65</v>
      </c>
      <c r="V18" s="96">
        <v>3.5</v>
      </c>
      <c r="W18" s="96">
        <v>29.86</v>
      </c>
      <c r="X18" s="96">
        <v>4.51</v>
      </c>
      <c r="Y18" s="96">
        <v>2.91</v>
      </c>
      <c r="Z18" s="97">
        <v>5.77</v>
      </c>
    </row>
    <row r="19" spans="1:26" ht="15" customHeight="1" x14ac:dyDescent="0.25">
      <c r="A19" s="72" t="str">
        <f t="shared" si="12"/>
        <v>Z160x1,5</v>
      </c>
      <c r="B19" s="11" t="str">
        <f t="shared" si="7"/>
        <v>160</v>
      </c>
      <c r="C19" s="90">
        <f t="shared" si="8"/>
        <v>59.5</v>
      </c>
      <c r="D19" s="90">
        <f t="shared" si="9"/>
        <v>65.5</v>
      </c>
      <c r="E19" s="90">
        <f t="shared" si="10"/>
        <v>20</v>
      </c>
      <c r="F19" s="134" t="str">
        <f t="shared" si="11"/>
        <v>Z160</v>
      </c>
      <c r="G19" s="81" t="s">
        <v>31</v>
      </c>
      <c r="H19" s="117">
        <v>1.5</v>
      </c>
      <c r="I19" s="96">
        <v>3.66</v>
      </c>
      <c r="J19" s="96">
        <v>3.05</v>
      </c>
      <c r="K19" s="96">
        <v>2.84</v>
      </c>
      <c r="L19" s="96">
        <v>4.47</v>
      </c>
      <c r="M19" s="96">
        <v>177.56</v>
      </c>
      <c r="N19" s="96">
        <v>21.14</v>
      </c>
      <c r="O19" s="96">
        <v>6.29</v>
      </c>
      <c r="P19" s="96">
        <v>7.6</v>
      </c>
      <c r="Q19" s="96">
        <v>4.45</v>
      </c>
      <c r="R19" s="96">
        <v>174.87</v>
      </c>
      <c r="S19" s="96">
        <v>21.4</v>
      </c>
      <c r="T19" s="96">
        <v>6.26</v>
      </c>
      <c r="U19" s="96">
        <v>8.16</v>
      </c>
      <c r="V19" s="96">
        <v>4.6500000000000004</v>
      </c>
      <c r="W19" s="96">
        <v>41.73</v>
      </c>
      <c r="X19" s="96">
        <v>6.48</v>
      </c>
      <c r="Y19" s="96">
        <v>3</v>
      </c>
      <c r="Z19" s="97">
        <v>6.03</v>
      </c>
    </row>
    <row r="20" spans="1:26" ht="15" customHeight="1" x14ac:dyDescent="0.25">
      <c r="A20" s="72" t="str">
        <f t="shared" si="12"/>
        <v>Z160x2,0</v>
      </c>
      <c r="B20" s="11" t="str">
        <f t="shared" si="7"/>
        <v>160</v>
      </c>
      <c r="C20" s="90">
        <f t="shared" si="8"/>
        <v>59.5</v>
      </c>
      <c r="D20" s="90">
        <f t="shared" si="9"/>
        <v>65.5</v>
      </c>
      <c r="E20" s="90">
        <f t="shared" si="10"/>
        <v>20.5</v>
      </c>
      <c r="F20" s="134" t="str">
        <f t="shared" si="11"/>
        <v>Z160</v>
      </c>
      <c r="G20" s="81" t="s">
        <v>32</v>
      </c>
      <c r="H20" s="117">
        <v>2</v>
      </c>
      <c r="I20" s="96">
        <v>4.8600000000000003</v>
      </c>
      <c r="J20" s="96">
        <v>4.7</v>
      </c>
      <c r="K20" s="96">
        <v>2.71</v>
      </c>
      <c r="L20" s="96">
        <v>6.18</v>
      </c>
      <c r="M20" s="96">
        <v>243.39</v>
      </c>
      <c r="N20" s="96">
        <v>29.85</v>
      </c>
      <c r="O20" s="96">
        <v>6.27</v>
      </c>
      <c r="P20" s="96">
        <v>7.85</v>
      </c>
      <c r="Q20" s="96">
        <v>6.18</v>
      </c>
      <c r="R20" s="96">
        <v>243.39</v>
      </c>
      <c r="S20" s="96">
        <v>29.85</v>
      </c>
      <c r="T20" s="96">
        <v>6.27</v>
      </c>
      <c r="U20" s="96">
        <v>7.85</v>
      </c>
      <c r="V20" s="96">
        <v>6.19</v>
      </c>
      <c r="W20" s="96">
        <v>55.01</v>
      </c>
      <c r="X20" s="96">
        <v>8.4700000000000006</v>
      </c>
      <c r="Y20" s="96">
        <v>2.98</v>
      </c>
      <c r="Z20" s="97">
        <v>6</v>
      </c>
    </row>
    <row r="21" spans="1:26" ht="15" customHeight="1" x14ac:dyDescent="0.25">
      <c r="A21" s="72" t="str">
        <f t="shared" si="12"/>
        <v>Z160x2,5</v>
      </c>
      <c r="B21" s="11" t="str">
        <f t="shared" si="7"/>
        <v>160</v>
      </c>
      <c r="C21" s="90">
        <f t="shared" si="8"/>
        <v>59.5</v>
      </c>
      <c r="D21" s="90">
        <f t="shared" si="9"/>
        <v>65.5</v>
      </c>
      <c r="E21" s="90">
        <f t="shared" si="10"/>
        <v>21</v>
      </c>
      <c r="F21" s="134" t="str">
        <f t="shared" si="11"/>
        <v>Z160</v>
      </c>
      <c r="G21" s="81" t="s">
        <v>33</v>
      </c>
      <c r="H21" s="117">
        <v>2.5</v>
      </c>
      <c r="I21" s="96">
        <v>6.04</v>
      </c>
      <c r="J21" s="96">
        <v>6.26</v>
      </c>
      <c r="K21" s="96">
        <v>2.6</v>
      </c>
      <c r="L21" s="96">
        <v>7.69</v>
      </c>
      <c r="M21" s="96">
        <v>300.24</v>
      </c>
      <c r="N21" s="96">
        <v>36.82</v>
      </c>
      <c r="O21" s="96">
        <v>6.24</v>
      </c>
      <c r="P21" s="96">
        <v>7.85</v>
      </c>
      <c r="Q21" s="96">
        <v>7.69</v>
      </c>
      <c r="R21" s="96">
        <v>300.24</v>
      </c>
      <c r="S21" s="96">
        <v>36.82</v>
      </c>
      <c r="T21" s="96">
        <v>6.24</v>
      </c>
      <c r="U21" s="96">
        <v>7.85</v>
      </c>
      <c r="V21" s="96">
        <v>7.7</v>
      </c>
      <c r="W21" s="96">
        <v>67.599999999999994</v>
      </c>
      <c r="X21" s="96">
        <v>10.36</v>
      </c>
      <c r="Y21" s="96">
        <v>2.96</v>
      </c>
      <c r="Z21" s="97">
        <v>5.98</v>
      </c>
    </row>
    <row r="22" spans="1:26" ht="15" customHeight="1" thickBot="1" x14ac:dyDescent="0.3">
      <c r="A22" s="73" t="str">
        <f t="shared" si="12"/>
        <v>Z160x3,0</v>
      </c>
      <c r="B22" s="12" t="str">
        <f t="shared" si="7"/>
        <v>160</v>
      </c>
      <c r="C22" s="91">
        <f t="shared" si="8"/>
        <v>59.5</v>
      </c>
      <c r="D22" s="91">
        <f t="shared" si="9"/>
        <v>65.5</v>
      </c>
      <c r="E22" s="91">
        <f t="shared" si="10"/>
        <v>22</v>
      </c>
      <c r="F22" s="135" t="str">
        <f t="shared" si="11"/>
        <v>Z160</v>
      </c>
      <c r="G22" s="82" t="s">
        <v>34</v>
      </c>
      <c r="H22" s="118">
        <v>3</v>
      </c>
      <c r="I22" s="98">
        <v>7.24</v>
      </c>
      <c r="J22" s="98">
        <v>7.96</v>
      </c>
      <c r="K22" s="98">
        <v>2.5099999999999998</v>
      </c>
      <c r="L22" s="98">
        <v>9.2200000000000006</v>
      </c>
      <c r="M22" s="98">
        <v>356.55</v>
      </c>
      <c r="N22" s="98">
        <v>43.73</v>
      </c>
      <c r="O22" s="98">
        <v>6.21</v>
      </c>
      <c r="P22" s="98">
        <v>7.85</v>
      </c>
      <c r="Q22" s="98">
        <v>9.2200000000000006</v>
      </c>
      <c r="R22" s="98">
        <v>356.55</v>
      </c>
      <c r="S22" s="98">
        <v>43.73</v>
      </c>
      <c r="T22" s="98">
        <v>6.21</v>
      </c>
      <c r="U22" s="98">
        <v>7.85</v>
      </c>
      <c r="V22" s="98">
        <v>9.1999999999999993</v>
      </c>
      <c r="W22" s="98">
        <v>80.58</v>
      </c>
      <c r="X22" s="98">
        <v>12.34</v>
      </c>
      <c r="Y22" s="98">
        <v>2.95</v>
      </c>
      <c r="Z22" s="99">
        <v>5.95</v>
      </c>
    </row>
    <row r="23" spans="1:26" ht="15" customHeight="1" x14ac:dyDescent="0.25">
      <c r="A23" s="71" t="str">
        <f t="shared" si="12"/>
        <v>Z200x1,0</v>
      </c>
      <c r="B23" s="10" t="str">
        <f t="shared" si="7"/>
        <v>200</v>
      </c>
      <c r="C23" s="88">
        <f t="shared" si="8"/>
        <v>59.5</v>
      </c>
      <c r="D23" s="88">
        <f t="shared" si="9"/>
        <v>65.5</v>
      </c>
      <c r="E23" s="88">
        <f t="shared" si="10"/>
        <v>20</v>
      </c>
      <c r="F23" s="133" t="str">
        <f t="shared" si="11"/>
        <v>Z200</v>
      </c>
      <c r="G23" s="80" t="s">
        <v>35</v>
      </c>
      <c r="H23" s="116">
        <v>1</v>
      </c>
      <c r="I23" s="94">
        <v>2.87</v>
      </c>
      <c r="J23" s="94">
        <v>1.49</v>
      </c>
      <c r="K23" s="94">
        <v>2.69</v>
      </c>
      <c r="L23" s="94">
        <v>2.83</v>
      </c>
      <c r="M23" s="94">
        <v>170</v>
      </c>
      <c r="N23" s="94">
        <v>14.44</v>
      </c>
      <c r="O23" s="94">
        <v>7.74</v>
      </c>
      <c r="P23" s="94">
        <v>8.23</v>
      </c>
      <c r="Q23" s="94">
        <v>2.79</v>
      </c>
      <c r="R23" s="94">
        <v>166.83</v>
      </c>
      <c r="S23" s="94">
        <v>14.43</v>
      </c>
      <c r="T23" s="94">
        <v>7.73</v>
      </c>
      <c r="U23" s="94">
        <v>11.56</v>
      </c>
      <c r="V23" s="94">
        <v>3.25</v>
      </c>
      <c r="W23" s="94">
        <v>23.32</v>
      </c>
      <c r="X23" s="94">
        <v>3.47</v>
      </c>
      <c r="Y23" s="94">
        <v>2.67</v>
      </c>
      <c r="Z23" s="95">
        <v>5.69</v>
      </c>
    </row>
    <row r="24" spans="1:26" ht="15" customHeight="1" x14ac:dyDescent="0.25">
      <c r="A24" s="72" t="str">
        <f t="shared" si="12"/>
        <v>Z200x1,2</v>
      </c>
      <c r="B24" s="11" t="str">
        <f t="shared" si="7"/>
        <v>200</v>
      </c>
      <c r="C24" s="90">
        <f t="shared" si="8"/>
        <v>59.5</v>
      </c>
      <c r="D24" s="90">
        <f t="shared" si="9"/>
        <v>65.5</v>
      </c>
      <c r="E24" s="90">
        <f t="shared" si="10"/>
        <v>20</v>
      </c>
      <c r="F24" s="134" t="str">
        <f t="shared" si="11"/>
        <v>Z200</v>
      </c>
      <c r="G24" s="81" t="s">
        <v>35</v>
      </c>
      <c r="H24" s="117">
        <v>1.2</v>
      </c>
      <c r="I24" s="96">
        <v>3.41</v>
      </c>
      <c r="J24" s="96">
        <v>2.08</v>
      </c>
      <c r="K24" s="96">
        <v>2.64</v>
      </c>
      <c r="L24" s="96">
        <v>3.59</v>
      </c>
      <c r="M24" s="96">
        <v>217.45</v>
      </c>
      <c r="N24" s="96">
        <v>19.239999999999998</v>
      </c>
      <c r="O24" s="96">
        <v>7.77</v>
      </c>
      <c r="P24" s="96">
        <v>8.6999999999999993</v>
      </c>
      <c r="Q24" s="96">
        <v>3.55</v>
      </c>
      <c r="R24" s="96">
        <v>213.59</v>
      </c>
      <c r="S24" s="96">
        <v>19.25</v>
      </c>
      <c r="T24" s="96">
        <v>7.75</v>
      </c>
      <c r="U24" s="96">
        <v>11.09</v>
      </c>
      <c r="V24" s="96">
        <v>3.98</v>
      </c>
      <c r="W24" s="96">
        <v>29.87</v>
      </c>
      <c r="X24" s="96">
        <v>4.53</v>
      </c>
      <c r="Y24" s="96">
        <v>2.73</v>
      </c>
      <c r="Z24" s="97">
        <v>5.79</v>
      </c>
    </row>
    <row r="25" spans="1:26" ht="15" customHeight="1" x14ac:dyDescent="0.25">
      <c r="A25" s="72" t="str">
        <f t="shared" si="12"/>
        <v>Z200x1,5</v>
      </c>
      <c r="B25" s="11" t="str">
        <f t="shared" si="7"/>
        <v>200</v>
      </c>
      <c r="C25" s="90">
        <f t="shared" si="8"/>
        <v>59.5</v>
      </c>
      <c r="D25" s="90">
        <f t="shared" si="9"/>
        <v>65.5</v>
      </c>
      <c r="E25" s="90">
        <f t="shared" si="10"/>
        <v>20</v>
      </c>
      <c r="F25" s="134" t="str">
        <f t="shared" si="11"/>
        <v>Z200</v>
      </c>
      <c r="G25" s="81" t="s">
        <v>35</v>
      </c>
      <c r="H25" s="117">
        <v>1.5</v>
      </c>
      <c r="I25" s="96">
        <v>4.13</v>
      </c>
      <c r="J25" s="96">
        <v>3.07</v>
      </c>
      <c r="K25" s="96">
        <v>2.63</v>
      </c>
      <c r="L25" s="96">
        <v>4.8</v>
      </c>
      <c r="M25" s="96">
        <v>290.70999999999998</v>
      </c>
      <c r="N25" s="96">
        <v>26.99</v>
      </c>
      <c r="O25" s="96">
        <v>7.77</v>
      </c>
      <c r="P25" s="96">
        <v>9.23</v>
      </c>
      <c r="Q25" s="96">
        <v>4.78</v>
      </c>
      <c r="R25" s="96">
        <v>286.92</v>
      </c>
      <c r="S25" s="96">
        <v>27.34</v>
      </c>
      <c r="T25" s="96">
        <v>7.74</v>
      </c>
      <c r="U25" s="96">
        <v>10.49</v>
      </c>
      <c r="V25" s="96">
        <v>5.25</v>
      </c>
      <c r="W25" s="96">
        <v>41.74</v>
      </c>
      <c r="X25" s="96">
        <v>6.47</v>
      </c>
      <c r="Y25" s="96">
        <v>2.82</v>
      </c>
      <c r="Z25" s="97">
        <v>6.01</v>
      </c>
    </row>
    <row r="26" spans="1:26" ht="15" customHeight="1" x14ac:dyDescent="0.25">
      <c r="A26" s="72" t="str">
        <f t="shared" si="12"/>
        <v>Z200x2,0</v>
      </c>
      <c r="B26" s="11" t="str">
        <f t="shared" si="7"/>
        <v>200</v>
      </c>
      <c r="C26" s="90">
        <f t="shared" si="8"/>
        <v>59.5</v>
      </c>
      <c r="D26" s="90">
        <f t="shared" si="9"/>
        <v>65.5</v>
      </c>
      <c r="E26" s="90">
        <f t="shared" si="10"/>
        <v>20.5</v>
      </c>
      <c r="F26" s="134" t="str">
        <f t="shared" si="11"/>
        <v>Z200</v>
      </c>
      <c r="G26" s="81" t="s">
        <v>36</v>
      </c>
      <c r="H26" s="117">
        <v>2</v>
      </c>
      <c r="I26" s="96">
        <v>5.49</v>
      </c>
      <c r="J26" s="96">
        <v>4.75</v>
      </c>
      <c r="K26" s="96">
        <v>2.5</v>
      </c>
      <c r="L26" s="96">
        <v>6.94</v>
      </c>
      <c r="M26" s="96">
        <v>410.09</v>
      </c>
      <c r="N26" s="96">
        <v>40.17</v>
      </c>
      <c r="O26" s="96">
        <v>7.68</v>
      </c>
      <c r="P26" s="96">
        <v>9.7899999999999991</v>
      </c>
      <c r="Q26" s="96">
        <v>6.94</v>
      </c>
      <c r="R26" s="96">
        <v>410.25</v>
      </c>
      <c r="S26" s="96">
        <v>40.479999999999997</v>
      </c>
      <c r="T26" s="96">
        <v>7.68</v>
      </c>
      <c r="U26" s="96">
        <v>9.8699999999999992</v>
      </c>
      <c r="V26" s="96">
        <v>6.99</v>
      </c>
      <c r="W26" s="96">
        <v>55.03</v>
      </c>
      <c r="X26" s="96">
        <v>8.4499999999999993</v>
      </c>
      <c r="Y26" s="96">
        <v>2.8</v>
      </c>
      <c r="Z26" s="97">
        <v>5.98</v>
      </c>
    </row>
    <row r="27" spans="1:26" ht="15" customHeight="1" x14ac:dyDescent="0.25">
      <c r="A27" s="72" t="str">
        <f t="shared" si="12"/>
        <v>Z200x2,5</v>
      </c>
      <c r="B27" s="11" t="str">
        <f t="shared" si="7"/>
        <v>200</v>
      </c>
      <c r="C27" s="90">
        <f t="shared" si="8"/>
        <v>59.5</v>
      </c>
      <c r="D27" s="90">
        <f t="shared" si="9"/>
        <v>65.5</v>
      </c>
      <c r="E27" s="90">
        <f t="shared" si="10"/>
        <v>21</v>
      </c>
      <c r="F27" s="134" t="str">
        <f t="shared" si="11"/>
        <v>Z200</v>
      </c>
      <c r="G27" s="81" t="s">
        <v>37</v>
      </c>
      <c r="H27" s="117">
        <v>2.5</v>
      </c>
      <c r="I27" s="96">
        <v>6.83</v>
      </c>
      <c r="J27" s="96">
        <v>6.36</v>
      </c>
      <c r="K27" s="96">
        <v>2.39</v>
      </c>
      <c r="L27" s="96">
        <v>8.69</v>
      </c>
      <c r="M27" s="96">
        <v>508.87</v>
      </c>
      <c r="N27" s="96">
        <v>50.03</v>
      </c>
      <c r="O27" s="96">
        <v>7.64</v>
      </c>
      <c r="P27" s="96">
        <v>9.83</v>
      </c>
      <c r="Q27" s="96">
        <v>8.69</v>
      </c>
      <c r="R27" s="96">
        <v>508.87</v>
      </c>
      <c r="S27" s="96">
        <v>50.03</v>
      </c>
      <c r="T27" s="96">
        <v>7.64</v>
      </c>
      <c r="U27" s="96">
        <v>9.83</v>
      </c>
      <c r="V27" s="96">
        <v>8.6999999999999993</v>
      </c>
      <c r="W27" s="96">
        <v>67.63</v>
      </c>
      <c r="X27" s="96">
        <v>10.34</v>
      </c>
      <c r="Y27" s="96">
        <v>2.78</v>
      </c>
      <c r="Z27" s="97">
        <v>5.96</v>
      </c>
    </row>
    <row r="28" spans="1:26" ht="15" customHeight="1" x14ac:dyDescent="0.25">
      <c r="A28" s="72" t="str">
        <f t="shared" si="12"/>
        <v>Z200x3,0</v>
      </c>
      <c r="B28" s="11" t="str">
        <f t="shared" si="7"/>
        <v>200</v>
      </c>
      <c r="C28" s="90">
        <f t="shared" si="8"/>
        <v>59.5</v>
      </c>
      <c r="D28" s="90">
        <f t="shared" si="9"/>
        <v>65.5</v>
      </c>
      <c r="E28" s="90">
        <f t="shared" si="10"/>
        <v>22</v>
      </c>
      <c r="F28" s="134" t="str">
        <f t="shared" si="11"/>
        <v>Z200</v>
      </c>
      <c r="G28" s="81" t="s">
        <v>38</v>
      </c>
      <c r="H28" s="117">
        <v>3</v>
      </c>
      <c r="I28" s="96">
        <v>8.18</v>
      </c>
      <c r="J28" s="96">
        <v>8.1300000000000008</v>
      </c>
      <c r="K28" s="96">
        <v>2.31</v>
      </c>
      <c r="L28" s="96">
        <v>10.42</v>
      </c>
      <c r="M28" s="96">
        <v>605.64</v>
      </c>
      <c r="N28" s="96">
        <v>59.55</v>
      </c>
      <c r="O28" s="96">
        <v>7.62</v>
      </c>
      <c r="P28" s="96">
        <v>9.83</v>
      </c>
      <c r="Q28" s="96">
        <v>10.42</v>
      </c>
      <c r="R28" s="96">
        <v>605.64</v>
      </c>
      <c r="S28" s="96">
        <v>59.55</v>
      </c>
      <c r="T28" s="96">
        <v>7.62</v>
      </c>
      <c r="U28" s="96">
        <v>9.83</v>
      </c>
      <c r="V28" s="96">
        <v>10.41</v>
      </c>
      <c r="W28" s="96">
        <v>80.709999999999994</v>
      </c>
      <c r="X28" s="96">
        <v>12.31</v>
      </c>
      <c r="Y28" s="96">
        <v>2.78</v>
      </c>
      <c r="Z28" s="97">
        <v>5.93</v>
      </c>
    </row>
    <row r="29" spans="1:26" ht="15" customHeight="1" thickBot="1" x14ac:dyDescent="0.3">
      <c r="A29" s="73" t="str">
        <f t="shared" si="12"/>
        <v>Z200x3,5</v>
      </c>
      <c r="B29" s="12" t="str">
        <f t="shared" si="7"/>
        <v>200</v>
      </c>
      <c r="C29" s="91">
        <f t="shared" si="8"/>
        <v>59.5</v>
      </c>
      <c r="D29" s="91">
        <f t="shared" si="9"/>
        <v>65.5</v>
      </c>
      <c r="E29" s="91">
        <f t="shared" si="10"/>
        <v>23</v>
      </c>
      <c r="F29" s="135" t="str">
        <f t="shared" si="11"/>
        <v>Z200</v>
      </c>
      <c r="G29" s="82" t="s">
        <v>39</v>
      </c>
      <c r="H29" s="118">
        <v>3.5</v>
      </c>
      <c r="I29" s="98">
        <v>9.5399999999999991</v>
      </c>
      <c r="J29" s="98">
        <v>10.029999999999999</v>
      </c>
      <c r="K29" s="98">
        <v>2.2400000000000002</v>
      </c>
      <c r="L29" s="98">
        <v>12.14</v>
      </c>
      <c r="M29" s="98">
        <v>700.71</v>
      </c>
      <c r="N29" s="98">
        <v>68.900000000000006</v>
      </c>
      <c r="O29" s="98">
        <v>7.59</v>
      </c>
      <c r="P29" s="98">
        <v>9.83</v>
      </c>
      <c r="Q29" s="98">
        <v>12.14</v>
      </c>
      <c r="R29" s="98">
        <v>700.71</v>
      </c>
      <c r="S29" s="98">
        <v>68.900000000000006</v>
      </c>
      <c r="T29" s="98">
        <v>7.59</v>
      </c>
      <c r="U29" s="98">
        <v>9.83</v>
      </c>
      <c r="V29" s="98">
        <v>11.86</v>
      </c>
      <c r="W29" s="98">
        <v>90.34</v>
      </c>
      <c r="X29" s="98">
        <v>14.25</v>
      </c>
      <c r="Y29" s="98">
        <v>2.75</v>
      </c>
      <c r="Z29" s="99">
        <v>5.83</v>
      </c>
    </row>
    <row r="30" spans="1:26" ht="15" customHeight="1" x14ac:dyDescent="0.25">
      <c r="A30" s="71" t="str">
        <f t="shared" si="12"/>
        <v>Z250x1,0</v>
      </c>
      <c r="B30" s="10" t="str">
        <f t="shared" si="7"/>
        <v>250</v>
      </c>
      <c r="C30" s="88">
        <f t="shared" si="8"/>
        <v>67</v>
      </c>
      <c r="D30" s="88">
        <f t="shared" si="9"/>
        <v>78</v>
      </c>
      <c r="E30" s="88">
        <f t="shared" si="10"/>
        <v>21.5</v>
      </c>
      <c r="F30" s="133" t="str">
        <f t="shared" si="11"/>
        <v>Z250</v>
      </c>
      <c r="G30" s="80" t="s">
        <v>40</v>
      </c>
      <c r="H30" s="116">
        <v>1</v>
      </c>
      <c r="I30" s="94">
        <v>3.46</v>
      </c>
      <c r="J30" s="94">
        <v>1.52</v>
      </c>
      <c r="K30" s="94">
        <v>3.06</v>
      </c>
      <c r="L30" s="94">
        <v>3.21</v>
      </c>
      <c r="M30" s="94">
        <v>293.38</v>
      </c>
      <c r="N30" s="94">
        <v>19.05</v>
      </c>
      <c r="O30" s="94">
        <v>9.5500000000000007</v>
      </c>
      <c r="P30" s="94">
        <v>9.6</v>
      </c>
      <c r="Q30" s="94">
        <v>3.14</v>
      </c>
      <c r="R30" s="94">
        <v>285.36</v>
      </c>
      <c r="S30" s="94">
        <v>19.04</v>
      </c>
      <c r="T30" s="94">
        <v>9.52</v>
      </c>
      <c r="U30" s="94">
        <v>14.98</v>
      </c>
      <c r="V30" s="94">
        <v>3.85</v>
      </c>
      <c r="W30" s="94">
        <v>33.11</v>
      </c>
      <c r="X30" s="94">
        <v>4.13</v>
      </c>
      <c r="Y30" s="94">
        <v>2.93</v>
      </c>
      <c r="Z30" s="95">
        <v>6.39</v>
      </c>
    </row>
    <row r="31" spans="1:26" ht="15" customHeight="1" x14ac:dyDescent="0.25">
      <c r="A31" s="72" t="str">
        <f t="shared" si="12"/>
        <v>Z250x1,2</v>
      </c>
      <c r="B31" s="11" t="str">
        <f t="shared" si="7"/>
        <v>250</v>
      </c>
      <c r="C31" s="90">
        <f t="shared" si="8"/>
        <v>67</v>
      </c>
      <c r="D31" s="90">
        <f t="shared" si="9"/>
        <v>78</v>
      </c>
      <c r="E31" s="90">
        <f t="shared" si="10"/>
        <v>21.5</v>
      </c>
      <c r="F31" s="134" t="str">
        <f t="shared" si="11"/>
        <v>Z250</v>
      </c>
      <c r="G31" s="81" t="s">
        <v>40</v>
      </c>
      <c r="H31" s="117">
        <v>1.2</v>
      </c>
      <c r="I31" s="96">
        <v>4.12</v>
      </c>
      <c r="J31" s="96">
        <v>2.13</v>
      </c>
      <c r="K31" s="96">
        <v>3.01</v>
      </c>
      <c r="L31" s="96">
        <v>4.07</v>
      </c>
      <c r="M31" s="96">
        <v>377.32</v>
      </c>
      <c r="N31" s="96">
        <v>25.42</v>
      </c>
      <c r="O31" s="96">
        <v>9.6199999999999992</v>
      </c>
      <c r="P31" s="96">
        <v>10.16</v>
      </c>
      <c r="Q31" s="96">
        <v>3.99</v>
      </c>
      <c r="R31" s="96">
        <v>367.44</v>
      </c>
      <c r="S31" s="96">
        <v>25.51</v>
      </c>
      <c r="T31" s="96">
        <v>9.59</v>
      </c>
      <c r="U31" s="96">
        <v>14.4</v>
      </c>
      <c r="V31" s="96">
        <v>4.72</v>
      </c>
      <c r="W31" s="96">
        <v>42.71</v>
      </c>
      <c r="X31" s="96">
        <v>5.42</v>
      </c>
      <c r="Y31" s="96">
        <v>3</v>
      </c>
      <c r="Z31" s="97">
        <v>6.5</v>
      </c>
    </row>
    <row r="32" spans="1:26" ht="15" customHeight="1" x14ac:dyDescent="0.25">
      <c r="A32" s="72" t="str">
        <f t="shared" si="12"/>
        <v>Z250x1,5</v>
      </c>
      <c r="B32" s="11" t="str">
        <f t="shared" si="7"/>
        <v>250</v>
      </c>
      <c r="C32" s="90">
        <f t="shared" si="8"/>
        <v>67</v>
      </c>
      <c r="D32" s="90">
        <f t="shared" si="9"/>
        <v>78</v>
      </c>
      <c r="E32" s="90">
        <f t="shared" si="10"/>
        <v>21.5</v>
      </c>
      <c r="F32" s="134" t="str">
        <f t="shared" si="11"/>
        <v>Z250</v>
      </c>
      <c r="G32" s="81" t="s">
        <v>40</v>
      </c>
      <c r="H32" s="117">
        <v>1.5</v>
      </c>
      <c r="I32" s="96">
        <v>4.99</v>
      </c>
      <c r="J32" s="96">
        <v>3.18</v>
      </c>
      <c r="K32" s="96">
        <v>3.03</v>
      </c>
      <c r="L32" s="96">
        <v>5.43</v>
      </c>
      <c r="M32" s="96">
        <v>508.76</v>
      </c>
      <c r="N32" s="96">
        <v>35.909999999999997</v>
      </c>
      <c r="O32" s="96">
        <v>9.67</v>
      </c>
      <c r="P32" s="96">
        <v>10.84</v>
      </c>
      <c r="Q32" s="96">
        <v>5.36</v>
      </c>
      <c r="R32" s="96">
        <v>497.11</v>
      </c>
      <c r="S32" s="96">
        <v>36.409999999999997</v>
      </c>
      <c r="T32" s="96">
        <v>9.6</v>
      </c>
      <c r="U32" s="96">
        <v>13.65</v>
      </c>
      <c r="V32" s="96">
        <v>6.33</v>
      </c>
      <c r="W32" s="96">
        <v>63.34</v>
      </c>
      <c r="X32" s="96">
        <v>8.44</v>
      </c>
      <c r="Y32" s="96">
        <v>3.16</v>
      </c>
      <c r="Z32" s="97">
        <v>6.84</v>
      </c>
    </row>
    <row r="33" spans="1:26" ht="15" customHeight="1" x14ac:dyDescent="0.25">
      <c r="A33" s="72" t="str">
        <f t="shared" si="12"/>
        <v>Z250x2,0</v>
      </c>
      <c r="B33" s="11" t="str">
        <f t="shared" si="7"/>
        <v>250</v>
      </c>
      <c r="C33" s="90">
        <f t="shared" si="8"/>
        <v>67</v>
      </c>
      <c r="D33" s="90">
        <f t="shared" si="9"/>
        <v>78</v>
      </c>
      <c r="E33" s="90">
        <f t="shared" si="10"/>
        <v>21.5</v>
      </c>
      <c r="F33" s="134" t="str">
        <f t="shared" si="11"/>
        <v>Z250</v>
      </c>
      <c r="G33" s="81" t="s">
        <v>40</v>
      </c>
      <c r="H33" s="117">
        <v>2</v>
      </c>
      <c r="I33" s="96">
        <v>6.62</v>
      </c>
      <c r="J33" s="96">
        <v>5.1100000000000003</v>
      </c>
      <c r="K33" s="96">
        <v>2.88</v>
      </c>
      <c r="L33" s="96">
        <v>7.91</v>
      </c>
      <c r="M33" s="96">
        <v>737.44</v>
      </c>
      <c r="N33" s="96">
        <v>55.47</v>
      </c>
      <c r="O33" s="96">
        <v>9.65</v>
      </c>
      <c r="P33" s="96">
        <v>11.71</v>
      </c>
      <c r="Q33" s="96">
        <v>7.84</v>
      </c>
      <c r="R33" s="96">
        <v>724.14</v>
      </c>
      <c r="S33" s="96">
        <v>56.71</v>
      </c>
      <c r="T33" s="96">
        <v>9.6</v>
      </c>
      <c r="U33" s="96">
        <v>12.77</v>
      </c>
      <c r="V33" s="96">
        <v>8.35</v>
      </c>
      <c r="W33" s="96">
        <v>82.5</v>
      </c>
      <c r="X33" s="96">
        <v>10.92</v>
      </c>
      <c r="Y33" s="96">
        <v>3.15</v>
      </c>
      <c r="Z33" s="97">
        <v>6.8</v>
      </c>
    </row>
    <row r="34" spans="1:26" ht="15" customHeight="1" x14ac:dyDescent="0.25">
      <c r="A34" s="72" t="str">
        <f t="shared" si="12"/>
        <v>Z250x2,5</v>
      </c>
      <c r="B34" s="11" t="str">
        <f t="shared" si="7"/>
        <v>250</v>
      </c>
      <c r="C34" s="90">
        <f t="shared" si="8"/>
        <v>68</v>
      </c>
      <c r="D34" s="90">
        <f t="shared" si="9"/>
        <v>79</v>
      </c>
      <c r="E34" s="90">
        <f t="shared" si="10"/>
        <v>22</v>
      </c>
      <c r="F34" s="134" t="str">
        <f t="shared" si="11"/>
        <v>Z250</v>
      </c>
      <c r="G34" s="81" t="s">
        <v>41</v>
      </c>
      <c r="H34" s="117">
        <v>2.5</v>
      </c>
      <c r="I34" s="96">
        <v>8.2799999999999994</v>
      </c>
      <c r="J34" s="96">
        <v>7.04</v>
      </c>
      <c r="K34" s="96">
        <v>2.82</v>
      </c>
      <c r="L34" s="96">
        <v>10.45</v>
      </c>
      <c r="M34" s="96">
        <v>951.7</v>
      </c>
      <c r="N34" s="96">
        <v>73.81</v>
      </c>
      <c r="O34" s="96">
        <v>9.5399999999999991</v>
      </c>
      <c r="P34" s="96">
        <v>12.11</v>
      </c>
      <c r="Q34" s="96">
        <v>10.45</v>
      </c>
      <c r="R34" s="96">
        <v>952.52</v>
      </c>
      <c r="S34" s="96">
        <v>74.650000000000006</v>
      </c>
      <c r="T34" s="96">
        <v>9.5399999999999991</v>
      </c>
      <c r="U34" s="96">
        <v>12.24</v>
      </c>
      <c r="V34" s="96">
        <v>10.55</v>
      </c>
      <c r="W34" s="96">
        <v>106.98</v>
      </c>
      <c r="X34" s="96">
        <v>13.73</v>
      </c>
      <c r="Y34" s="96">
        <v>3.18</v>
      </c>
      <c r="Z34" s="97">
        <v>6.91</v>
      </c>
    </row>
    <row r="35" spans="1:26" ht="15" customHeight="1" thickBot="1" x14ac:dyDescent="0.3">
      <c r="A35" s="73" t="str">
        <f t="shared" si="12"/>
        <v>Z250x3,0</v>
      </c>
      <c r="B35" s="12" t="str">
        <f t="shared" si="7"/>
        <v>250</v>
      </c>
      <c r="C35" s="91">
        <f t="shared" si="8"/>
        <v>69</v>
      </c>
      <c r="D35" s="91">
        <f t="shared" si="9"/>
        <v>80</v>
      </c>
      <c r="E35" s="91">
        <f t="shared" si="10"/>
        <v>22.5</v>
      </c>
      <c r="F35" s="135" t="str">
        <f t="shared" si="11"/>
        <v>Z250</v>
      </c>
      <c r="G35" s="82" t="s">
        <v>42</v>
      </c>
      <c r="H35" s="118">
        <v>3</v>
      </c>
      <c r="I35" s="98">
        <v>9.9499999999999993</v>
      </c>
      <c r="J35" s="98">
        <v>9.02</v>
      </c>
      <c r="K35" s="98">
        <v>2.77</v>
      </c>
      <c r="L35" s="98">
        <v>12.67</v>
      </c>
      <c r="M35" s="98">
        <v>1147.5</v>
      </c>
      <c r="N35" s="98">
        <v>89.49</v>
      </c>
      <c r="O35" s="98">
        <v>9.51</v>
      </c>
      <c r="P35" s="98">
        <v>12.18</v>
      </c>
      <c r="Q35" s="98">
        <v>12.67</v>
      </c>
      <c r="R35" s="98">
        <v>1147.5</v>
      </c>
      <c r="S35" s="98">
        <v>89.49</v>
      </c>
      <c r="T35" s="98">
        <v>9.51</v>
      </c>
      <c r="U35" s="98">
        <v>12.18</v>
      </c>
      <c r="V35" s="98">
        <v>12.68</v>
      </c>
      <c r="W35" s="98">
        <v>131.16</v>
      </c>
      <c r="X35" s="98">
        <v>16.57</v>
      </c>
      <c r="Y35" s="98">
        <v>3.21</v>
      </c>
      <c r="Z35" s="99">
        <v>6.98</v>
      </c>
    </row>
    <row r="36" spans="1:26" ht="15" customHeight="1" x14ac:dyDescent="0.25">
      <c r="A36" s="74" t="str">
        <f t="shared" ref="A36:A48" si="13">CONCATENATE(F36,"x",(IF(H36=INT(H36),CONCATENATE(H36,",",0),H36)))</f>
        <v>Z300x2,0</v>
      </c>
      <c r="B36" s="10" t="str">
        <f t="shared" ref="B36:B42" si="14">LEFT(G36,3)</f>
        <v>300</v>
      </c>
      <c r="C36" s="88">
        <f t="shared" ref="C36:C48" si="15">VALUE(MID(G36,(SEARCH("/",G36,1)+1),(SEARCH("/",G36,(SEARCH("/",G36,1)+1))-SEARCH("/",G36,1)-1)))</f>
        <v>85</v>
      </c>
      <c r="D36" s="88">
        <f t="shared" ref="D36:D48" si="16">VALUE(MID(G36,(SEARCH("/",G36,(SEARCH("/",G36,1)+1))+1),(SEARCH("/",G36,SEARCH("/",G36,(SEARCH("/",G36,1)+1))+1))-(SEARCH("/",G36,(SEARCH("/",G36,1)+1))+1)))</f>
        <v>93</v>
      </c>
      <c r="E36" s="89">
        <f t="shared" ref="E36:E48" si="17">VALUE(MID(G36,(SEARCH("/",G36,SEARCH("/",G36,(SEARCH("/",G36,1)+1))+1)+1),4))</f>
        <v>29.5</v>
      </c>
      <c r="F36" s="9" t="str">
        <f t="shared" ref="F36:F48" si="18">CONCATENATE("Z",LEFT(G36,3))</f>
        <v>Z300</v>
      </c>
      <c r="G36" s="80" t="s">
        <v>43</v>
      </c>
      <c r="H36" s="116">
        <v>2</v>
      </c>
      <c r="I36" s="94">
        <v>8.17</v>
      </c>
      <c r="J36" s="94">
        <v>5.57</v>
      </c>
      <c r="K36" s="94">
        <v>3.71</v>
      </c>
      <c r="L36" s="94">
        <v>9.18</v>
      </c>
      <c r="M36" s="94">
        <v>1245.45</v>
      </c>
      <c r="N36" s="94">
        <v>75.45</v>
      </c>
      <c r="O36" s="94">
        <v>11.64</v>
      </c>
      <c r="P36" s="94">
        <v>13.5</v>
      </c>
      <c r="Q36" s="94">
        <v>9.1199999999999992</v>
      </c>
      <c r="R36" s="94">
        <v>1229.1500000000001</v>
      </c>
      <c r="S36" s="94">
        <v>76.17</v>
      </c>
      <c r="T36" s="94">
        <v>11.58</v>
      </c>
      <c r="U36" s="94">
        <v>16.13</v>
      </c>
      <c r="V36" s="94">
        <v>10.35</v>
      </c>
      <c r="W36" s="94">
        <v>163.27000000000001</v>
      </c>
      <c r="X36" s="94">
        <v>18</v>
      </c>
      <c r="Y36" s="94">
        <v>3.97</v>
      </c>
      <c r="Z36" s="95">
        <v>8.5299999999999994</v>
      </c>
    </row>
    <row r="37" spans="1:26" ht="15" customHeight="1" x14ac:dyDescent="0.25">
      <c r="A37" s="72" t="str">
        <f t="shared" si="13"/>
        <v>Z300x2,5</v>
      </c>
      <c r="B37" s="11" t="str">
        <f t="shared" si="14"/>
        <v>300</v>
      </c>
      <c r="C37" s="90">
        <f t="shared" si="15"/>
        <v>86</v>
      </c>
      <c r="D37" s="90">
        <f t="shared" si="16"/>
        <v>94</v>
      </c>
      <c r="E37" s="90">
        <f t="shared" si="17"/>
        <v>30</v>
      </c>
      <c r="F37" s="134" t="str">
        <f t="shared" si="18"/>
        <v>Z300</v>
      </c>
      <c r="G37" s="81" t="s">
        <v>44</v>
      </c>
      <c r="H37" s="117">
        <v>2.5</v>
      </c>
      <c r="I37" s="96">
        <v>10.220000000000001</v>
      </c>
      <c r="J37" s="96">
        <v>8.14</v>
      </c>
      <c r="K37" s="96">
        <v>3.67</v>
      </c>
      <c r="L37" s="96">
        <v>12.37</v>
      </c>
      <c r="M37" s="96">
        <v>1669.89</v>
      </c>
      <c r="N37" s="96">
        <v>106.36</v>
      </c>
      <c r="O37" s="96">
        <v>11.61</v>
      </c>
      <c r="P37" s="96">
        <v>14.3</v>
      </c>
      <c r="Q37" s="96">
        <v>12.31</v>
      </c>
      <c r="R37" s="96">
        <v>1651.09</v>
      </c>
      <c r="S37" s="96">
        <v>107.7</v>
      </c>
      <c r="T37" s="96">
        <v>11.57</v>
      </c>
      <c r="U37" s="96">
        <v>15.33</v>
      </c>
      <c r="V37" s="96">
        <v>12.93</v>
      </c>
      <c r="W37" s="96">
        <v>211.01</v>
      </c>
      <c r="X37" s="96">
        <v>22.84</v>
      </c>
      <c r="Y37" s="96">
        <v>4.04</v>
      </c>
      <c r="Z37" s="97">
        <v>8.6199999999999992</v>
      </c>
    </row>
    <row r="38" spans="1:26" ht="15" customHeight="1" x14ac:dyDescent="0.25">
      <c r="A38" s="72" t="str">
        <f t="shared" si="13"/>
        <v>Z300x3,0</v>
      </c>
      <c r="B38" s="11" t="str">
        <f t="shared" si="14"/>
        <v>300</v>
      </c>
      <c r="C38" s="90">
        <f t="shared" si="15"/>
        <v>87</v>
      </c>
      <c r="D38" s="90">
        <f t="shared" si="16"/>
        <v>95</v>
      </c>
      <c r="E38" s="90">
        <f t="shared" si="17"/>
        <v>30.5</v>
      </c>
      <c r="F38" s="134" t="str">
        <f t="shared" si="18"/>
        <v>Z300</v>
      </c>
      <c r="G38" s="81" t="s">
        <v>45</v>
      </c>
      <c r="H38" s="117">
        <v>3</v>
      </c>
      <c r="I38" s="96">
        <v>12.28</v>
      </c>
      <c r="J38" s="96">
        <v>10.58</v>
      </c>
      <c r="K38" s="96">
        <v>3.6</v>
      </c>
      <c r="L38" s="96">
        <v>15.55</v>
      </c>
      <c r="M38" s="96">
        <v>2061.73</v>
      </c>
      <c r="N38" s="96">
        <v>134.91</v>
      </c>
      <c r="O38" s="96">
        <v>11.51</v>
      </c>
      <c r="P38" s="96">
        <v>14.72</v>
      </c>
      <c r="Q38" s="96">
        <v>15.55</v>
      </c>
      <c r="R38" s="96">
        <v>2062.41</v>
      </c>
      <c r="S38" s="96">
        <v>135.88</v>
      </c>
      <c r="T38" s="96">
        <v>11.51</v>
      </c>
      <c r="U38" s="96">
        <v>14.82</v>
      </c>
      <c r="V38" s="96">
        <v>15.65</v>
      </c>
      <c r="W38" s="96">
        <v>260.62</v>
      </c>
      <c r="X38" s="96">
        <v>27.51</v>
      </c>
      <c r="Y38" s="96">
        <v>4.08</v>
      </c>
      <c r="Z38" s="97">
        <v>8.73</v>
      </c>
    </row>
    <row r="39" spans="1:26" ht="15" customHeight="1" thickBot="1" x14ac:dyDescent="0.3">
      <c r="A39" s="73" t="str">
        <f t="shared" si="13"/>
        <v>Z300x3,5</v>
      </c>
      <c r="B39" s="12" t="str">
        <f t="shared" si="14"/>
        <v>300</v>
      </c>
      <c r="C39" s="92">
        <f t="shared" si="15"/>
        <v>88</v>
      </c>
      <c r="D39" s="92">
        <f t="shared" si="16"/>
        <v>96</v>
      </c>
      <c r="E39" s="91">
        <f t="shared" si="17"/>
        <v>31</v>
      </c>
      <c r="F39" s="135" t="str">
        <f t="shared" si="18"/>
        <v>Z300</v>
      </c>
      <c r="G39" s="82" t="s">
        <v>46</v>
      </c>
      <c r="H39" s="118">
        <v>3.5</v>
      </c>
      <c r="I39" s="98">
        <v>14.35</v>
      </c>
      <c r="J39" s="98">
        <v>13.01</v>
      </c>
      <c r="K39" s="98">
        <v>3.55</v>
      </c>
      <c r="L39" s="98">
        <v>18.27</v>
      </c>
      <c r="M39" s="98">
        <v>2411.48</v>
      </c>
      <c r="N39" s="98">
        <v>158.36000000000001</v>
      </c>
      <c r="O39" s="98">
        <v>11.48</v>
      </c>
      <c r="P39" s="98">
        <v>14.77</v>
      </c>
      <c r="Q39" s="98">
        <v>18.27</v>
      </c>
      <c r="R39" s="98">
        <v>2411.48</v>
      </c>
      <c r="S39" s="98">
        <v>158.36000000000001</v>
      </c>
      <c r="T39" s="98">
        <v>11.48</v>
      </c>
      <c r="U39" s="98">
        <v>14.77</v>
      </c>
      <c r="V39" s="98">
        <v>18.28</v>
      </c>
      <c r="W39" s="98">
        <v>309.25</v>
      </c>
      <c r="X39" s="98">
        <v>32.22</v>
      </c>
      <c r="Y39" s="98">
        <v>4.1100000000000003</v>
      </c>
      <c r="Z39" s="99">
        <v>8.8000000000000007</v>
      </c>
    </row>
    <row r="40" spans="1:26" ht="15" customHeight="1" x14ac:dyDescent="0.25">
      <c r="A40" s="74" t="str">
        <f t="shared" si="13"/>
        <v>Z350x2,0</v>
      </c>
      <c r="B40" s="10" t="str">
        <f t="shared" si="14"/>
        <v>350</v>
      </c>
      <c r="C40" s="88">
        <f t="shared" si="15"/>
        <v>85</v>
      </c>
      <c r="D40" s="88">
        <f t="shared" si="16"/>
        <v>93</v>
      </c>
      <c r="E40" s="89">
        <f t="shared" si="17"/>
        <v>29.5</v>
      </c>
      <c r="F40" s="9" t="str">
        <f t="shared" si="18"/>
        <v>Z350</v>
      </c>
      <c r="G40" s="80" t="s">
        <v>47</v>
      </c>
      <c r="H40" s="116">
        <v>2</v>
      </c>
      <c r="I40" s="94">
        <v>8.9600000000000009</v>
      </c>
      <c r="J40" s="94">
        <v>5.59</v>
      </c>
      <c r="K40" s="94">
        <v>3.49</v>
      </c>
      <c r="L40" s="94">
        <v>9.6999999999999993</v>
      </c>
      <c r="M40" s="94">
        <v>1749.51</v>
      </c>
      <c r="N40" s="94">
        <v>89.21</v>
      </c>
      <c r="O40" s="94">
        <v>13.42</v>
      </c>
      <c r="P40" s="94">
        <v>15.39</v>
      </c>
      <c r="Q40" s="94">
        <v>9.65</v>
      </c>
      <c r="R40" s="94">
        <v>1728.48</v>
      </c>
      <c r="S40" s="94">
        <v>90.03</v>
      </c>
      <c r="T40" s="94">
        <v>13.35</v>
      </c>
      <c r="U40" s="94">
        <v>19.2</v>
      </c>
      <c r="V40" s="94">
        <v>11.35</v>
      </c>
      <c r="W40" s="94">
        <v>163.29</v>
      </c>
      <c r="X40" s="94">
        <v>17.98</v>
      </c>
      <c r="Y40" s="94">
        <v>3.79</v>
      </c>
      <c r="Z40" s="95">
        <v>8.52</v>
      </c>
    </row>
    <row r="41" spans="1:26" ht="15" customHeight="1" x14ac:dyDescent="0.25">
      <c r="A41" s="72" t="str">
        <f t="shared" si="13"/>
        <v>Z350x2,5</v>
      </c>
      <c r="B41" s="11" t="str">
        <f t="shared" si="14"/>
        <v>350</v>
      </c>
      <c r="C41" s="90">
        <f t="shared" si="15"/>
        <v>86</v>
      </c>
      <c r="D41" s="90">
        <f t="shared" si="16"/>
        <v>94</v>
      </c>
      <c r="E41" s="90">
        <f t="shared" si="17"/>
        <v>30</v>
      </c>
      <c r="F41" s="134" t="str">
        <f t="shared" si="18"/>
        <v>Z350</v>
      </c>
      <c r="G41" s="81" t="s">
        <v>48</v>
      </c>
      <c r="H41" s="117">
        <v>2.5</v>
      </c>
      <c r="I41" s="96">
        <v>11.21</v>
      </c>
      <c r="J41" s="96">
        <v>8.18</v>
      </c>
      <c r="K41" s="96">
        <v>3.45</v>
      </c>
      <c r="L41" s="96">
        <v>13.05</v>
      </c>
      <c r="M41" s="96">
        <v>2350.69</v>
      </c>
      <c r="N41" s="96">
        <v>125.76</v>
      </c>
      <c r="O41" s="96">
        <v>13.41</v>
      </c>
      <c r="P41" s="96">
        <v>16.309999999999999</v>
      </c>
      <c r="Q41" s="96">
        <v>13</v>
      </c>
      <c r="R41" s="96">
        <v>2328.04</v>
      </c>
      <c r="S41" s="96">
        <v>127.31</v>
      </c>
      <c r="T41" s="96">
        <v>13.38</v>
      </c>
      <c r="U41" s="96">
        <v>18.29</v>
      </c>
      <c r="V41" s="96">
        <v>14.19</v>
      </c>
      <c r="W41" s="96">
        <v>211.26</v>
      </c>
      <c r="X41" s="96">
        <v>22.8</v>
      </c>
      <c r="Y41" s="96">
        <v>3.86</v>
      </c>
      <c r="Z41" s="97">
        <v>8.61</v>
      </c>
    </row>
    <row r="42" spans="1:26" ht="15" customHeight="1" x14ac:dyDescent="0.25">
      <c r="A42" s="72" t="str">
        <f t="shared" si="13"/>
        <v>Z350x3,0</v>
      </c>
      <c r="B42" s="11" t="str">
        <f t="shared" si="14"/>
        <v>350</v>
      </c>
      <c r="C42" s="90">
        <f t="shared" si="15"/>
        <v>87</v>
      </c>
      <c r="D42" s="90">
        <f t="shared" si="16"/>
        <v>95</v>
      </c>
      <c r="E42" s="90">
        <f t="shared" si="17"/>
        <v>30.5</v>
      </c>
      <c r="F42" s="134" t="str">
        <f t="shared" si="18"/>
        <v>Z350</v>
      </c>
      <c r="G42" s="81" t="s">
        <v>49</v>
      </c>
      <c r="H42" s="117">
        <v>3</v>
      </c>
      <c r="I42" s="96">
        <v>13.46</v>
      </c>
      <c r="J42" s="96">
        <v>10.64</v>
      </c>
      <c r="K42" s="96">
        <v>3.39</v>
      </c>
      <c r="L42" s="96">
        <v>16.399999999999999</v>
      </c>
      <c r="M42" s="96">
        <v>2906.66</v>
      </c>
      <c r="N42" s="96">
        <v>159.63999999999999</v>
      </c>
      <c r="O42" s="96">
        <v>13.31</v>
      </c>
      <c r="P42" s="96">
        <v>16.79</v>
      </c>
      <c r="Q42" s="96">
        <v>16.420000000000002</v>
      </c>
      <c r="R42" s="96">
        <v>2913.34</v>
      </c>
      <c r="S42" s="96">
        <v>164.6</v>
      </c>
      <c r="T42" s="96">
        <v>13.31</v>
      </c>
      <c r="U42" s="96">
        <v>17.7</v>
      </c>
      <c r="V42" s="96">
        <v>17.149999999999999</v>
      </c>
      <c r="W42" s="96">
        <v>260.67</v>
      </c>
      <c r="X42" s="96">
        <v>27.47</v>
      </c>
      <c r="Y42" s="96">
        <v>3.89</v>
      </c>
      <c r="Z42" s="97">
        <v>8.7100000000000009</v>
      </c>
    </row>
    <row r="43" spans="1:26" ht="15" customHeight="1" thickBot="1" x14ac:dyDescent="0.3">
      <c r="A43" s="73" t="str">
        <f t="shared" si="13"/>
        <v>Z350x3,5</v>
      </c>
      <c r="B43" s="12" t="str">
        <f t="shared" ref="B43:B48" si="19">LEFT(G43,3)</f>
        <v>350</v>
      </c>
      <c r="C43" s="91">
        <f t="shared" si="15"/>
        <v>88</v>
      </c>
      <c r="D43" s="91">
        <f t="shared" si="16"/>
        <v>96</v>
      </c>
      <c r="E43" s="92">
        <f t="shared" si="17"/>
        <v>31</v>
      </c>
      <c r="F43" s="136" t="str">
        <f t="shared" si="18"/>
        <v>Z350</v>
      </c>
      <c r="G43" s="82" t="s">
        <v>50</v>
      </c>
      <c r="H43" s="118">
        <v>3.5</v>
      </c>
      <c r="I43" s="98">
        <v>15.72</v>
      </c>
      <c r="J43" s="98">
        <v>13.12</v>
      </c>
      <c r="K43" s="98">
        <v>3.34</v>
      </c>
      <c r="L43" s="98">
        <v>19.899999999999999</v>
      </c>
      <c r="M43" s="98">
        <v>3471.07</v>
      </c>
      <c r="N43" s="98">
        <v>194.95</v>
      </c>
      <c r="O43" s="98">
        <v>13.2</v>
      </c>
      <c r="P43" s="98">
        <v>17.2</v>
      </c>
      <c r="Q43" s="98">
        <v>19.899999999999999</v>
      </c>
      <c r="R43" s="98">
        <v>3472.14</v>
      </c>
      <c r="S43" s="98">
        <v>196.34</v>
      </c>
      <c r="T43" s="98">
        <v>13.2</v>
      </c>
      <c r="U43" s="98">
        <v>17.32</v>
      </c>
      <c r="V43" s="98">
        <v>20.03</v>
      </c>
      <c r="W43" s="98">
        <v>309.32</v>
      </c>
      <c r="X43" s="98">
        <v>32.17</v>
      </c>
      <c r="Y43" s="98">
        <v>3.93</v>
      </c>
      <c r="Z43" s="99">
        <v>8.7899999999999991</v>
      </c>
    </row>
    <row r="44" spans="1:26" ht="15" customHeight="1" x14ac:dyDescent="0.25">
      <c r="A44" s="74" t="str">
        <f t="shared" si="13"/>
        <v>Z400x2,0</v>
      </c>
      <c r="B44" s="13" t="str">
        <f t="shared" si="19"/>
        <v>400</v>
      </c>
      <c r="C44" s="89">
        <f t="shared" si="15"/>
        <v>85</v>
      </c>
      <c r="D44" s="89">
        <f t="shared" si="16"/>
        <v>93</v>
      </c>
      <c r="E44" s="88">
        <f t="shared" si="17"/>
        <v>29.5</v>
      </c>
      <c r="F44" s="133" t="str">
        <f t="shared" si="18"/>
        <v>Z400</v>
      </c>
      <c r="G44" s="83" t="s">
        <v>51</v>
      </c>
      <c r="H44" s="116">
        <v>2</v>
      </c>
      <c r="I44" s="100">
        <v>9.74</v>
      </c>
      <c r="J44" s="100">
        <v>5.61</v>
      </c>
      <c r="K44" s="100">
        <v>3.3</v>
      </c>
      <c r="L44" s="100">
        <v>10.220000000000001</v>
      </c>
      <c r="M44" s="100">
        <v>2348.21</v>
      </c>
      <c r="N44" s="100">
        <v>103.09</v>
      </c>
      <c r="O44" s="100">
        <v>15.15</v>
      </c>
      <c r="P44" s="100">
        <v>17.22</v>
      </c>
      <c r="Q44" s="100">
        <v>10.17</v>
      </c>
      <c r="R44" s="100">
        <v>2322.29</v>
      </c>
      <c r="S44" s="100">
        <v>104</v>
      </c>
      <c r="T44" s="100">
        <v>15.06</v>
      </c>
      <c r="U44" s="100">
        <v>22.33</v>
      </c>
      <c r="V44" s="100">
        <v>12.35</v>
      </c>
      <c r="W44" s="100">
        <v>163.31</v>
      </c>
      <c r="X44" s="100">
        <v>17.96</v>
      </c>
      <c r="Y44" s="100">
        <v>3.63</v>
      </c>
      <c r="Z44" s="101">
        <v>8.51</v>
      </c>
    </row>
    <row r="45" spans="1:26" ht="15" customHeight="1" x14ac:dyDescent="0.25">
      <c r="A45" s="72" t="str">
        <f t="shared" si="13"/>
        <v>Z400x2,5</v>
      </c>
      <c r="B45" s="11" t="str">
        <f t="shared" si="19"/>
        <v>400</v>
      </c>
      <c r="C45" s="90">
        <f t="shared" si="15"/>
        <v>86</v>
      </c>
      <c r="D45" s="90">
        <f t="shared" si="16"/>
        <v>94</v>
      </c>
      <c r="E45" s="90">
        <f t="shared" si="17"/>
        <v>30</v>
      </c>
      <c r="F45" s="134" t="str">
        <f t="shared" si="18"/>
        <v>Z400</v>
      </c>
      <c r="G45" s="81" t="s">
        <v>52</v>
      </c>
      <c r="H45" s="119">
        <v>2.5</v>
      </c>
      <c r="I45" s="96">
        <v>12.19</v>
      </c>
      <c r="J45" s="96">
        <v>8.2100000000000009</v>
      </c>
      <c r="K45" s="96">
        <v>3.27</v>
      </c>
      <c r="L45" s="96">
        <v>13.72</v>
      </c>
      <c r="M45" s="96">
        <v>3161.84</v>
      </c>
      <c r="N45" s="96">
        <v>145.36000000000001</v>
      </c>
      <c r="O45" s="96">
        <v>15.17</v>
      </c>
      <c r="P45" s="96">
        <v>18.25</v>
      </c>
      <c r="Q45" s="96">
        <v>13.67</v>
      </c>
      <c r="R45" s="96">
        <v>3135.75</v>
      </c>
      <c r="S45" s="96">
        <v>147.1</v>
      </c>
      <c r="T45" s="96">
        <v>15.14</v>
      </c>
      <c r="U45" s="96">
        <v>21.31</v>
      </c>
      <c r="V45" s="96">
        <v>15.44</v>
      </c>
      <c r="W45" s="96">
        <v>211.38</v>
      </c>
      <c r="X45" s="96">
        <v>22.78</v>
      </c>
      <c r="Y45" s="96">
        <v>3.7</v>
      </c>
      <c r="Z45" s="97">
        <v>8.6</v>
      </c>
    </row>
    <row r="46" spans="1:26" ht="15" customHeight="1" x14ac:dyDescent="0.25">
      <c r="A46" s="72" t="str">
        <f t="shared" si="13"/>
        <v>Z400x3,0</v>
      </c>
      <c r="B46" s="11" t="str">
        <f t="shared" si="19"/>
        <v>400</v>
      </c>
      <c r="C46" s="90">
        <f t="shared" si="15"/>
        <v>87</v>
      </c>
      <c r="D46" s="90">
        <f t="shared" si="16"/>
        <v>95</v>
      </c>
      <c r="E46" s="90">
        <f t="shared" si="17"/>
        <v>30.5</v>
      </c>
      <c r="F46" s="134" t="str">
        <f t="shared" si="18"/>
        <v>Z400</v>
      </c>
      <c r="G46" s="81" t="s">
        <v>53</v>
      </c>
      <c r="H46" s="117">
        <v>3</v>
      </c>
      <c r="I46" s="96">
        <v>14.64</v>
      </c>
      <c r="J46" s="96">
        <v>10.69</v>
      </c>
      <c r="K46" s="96">
        <v>3.21</v>
      </c>
      <c r="L46" s="96">
        <v>17.22</v>
      </c>
      <c r="M46" s="96">
        <v>3915.7</v>
      </c>
      <c r="N46" s="96">
        <v>184.67</v>
      </c>
      <c r="O46" s="96">
        <v>15.07</v>
      </c>
      <c r="P46" s="96">
        <v>18.8</v>
      </c>
      <c r="Q46" s="96">
        <v>17.260000000000002</v>
      </c>
      <c r="R46" s="96">
        <v>3931.37</v>
      </c>
      <c r="S46" s="96">
        <v>190.4</v>
      </c>
      <c r="T46" s="96">
        <v>15.09</v>
      </c>
      <c r="U46" s="96">
        <v>20.64</v>
      </c>
      <c r="V46" s="96">
        <v>18.649999999999999</v>
      </c>
      <c r="W46" s="96">
        <v>260.72000000000003</v>
      </c>
      <c r="X46" s="96">
        <v>27.44</v>
      </c>
      <c r="Y46" s="96">
        <v>3.73</v>
      </c>
      <c r="Z46" s="97">
        <v>8.6999999999999993</v>
      </c>
    </row>
    <row r="47" spans="1:26" ht="15" customHeight="1" x14ac:dyDescent="0.25">
      <c r="A47" s="72" t="str">
        <f t="shared" si="13"/>
        <v>Z400x3,5</v>
      </c>
      <c r="B47" s="11" t="str">
        <f t="shared" si="19"/>
        <v>400</v>
      </c>
      <c r="C47" s="90">
        <f t="shared" si="15"/>
        <v>88</v>
      </c>
      <c r="D47" s="90">
        <f t="shared" si="16"/>
        <v>96</v>
      </c>
      <c r="E47" s="90">
        <f t="shared" si="17"/>
        <v>31</v>
      </c>
      <c r="F47" s="134" t="str">
        <f t="shared" si="18"/>
        <v>Z400</v>
      </c>
      <c r="G47" s="81" t="s">
        <v>54</v>
      </c>
      <c r="H47" s="117">
        <v>3.5</v>
      </c>
      <c r="I47" s="96">
        <v>17.09</v>
      </c>
      <c r="J47" s="96">
        <v>13.19</v>
      </c>
      <c r="K47" s="96">
        <v>3.16</v>
      </c>
      <c r="L47" s="96">
        <v>20.89</v>
      </c>
      <c r="M47" s="96">
        <v>4681.55</v>
      </c>
      <c r="N47" s="96">
        <v>225.66</v>
      </c>
      <c r="O47" s="96">
        <v>14.96</v>
      </c>
      <c r="P47" s="96">
        <v>19.260000000000002</v>
      </c>
      <c r="Q47" s="96">
        <v>20.92</v>
      </c>
      <c r="R47" s="96">
        <v>4691</v>
      </c>
      <c r="S47" s="96">
        <v>232.11</v>
      </c>
      <c r="T47" s="96">
        <v>14.97</v>
      </c>
      <c r="U47" s="96">
        <v>20.21</v>
      </c>
      <c r="V47" s="96">
        <v>21.78</v>
      </c>
      <c r="W47" s="96">
        <v>309.38</v>
      </c>
      <c r="X47" s="96">
        <v>32.14</v>
      </c>
      <c r="Y47" s="96">
        <v>3.76</v>
      </c>
      <c r="Z47" s="97">
        <v>8.77</v>
      </c>
    </row>
    <row r="48" spans="1:26" ht="15" customHeight="1" thickBot="1" x14ac:dyDescent="0.3">
      <c r="A48" s="73" t="str">
        <f t="shared" si="13"/>
        <v>Z400x4,0</v>
      </c>
      <c r="B48" s="12" t="str">
        <f t="shared" si="19"/>
        <v>400</v>
      </c>
      <c r="C48" s="91">
        <f t="shared" si="15"/>
        <v>89</v>
      </c>
      <c r="D48" s="92">
        <f t="shared" si="16"/>
        <v>97</v>
      </c>
      <c r="E48" s="91">
        <f t="shared" si="17"/>
        <v>31.5</v>
      </c>
      <c r="F48" s="135" t="str">
        <f t="shared" si="18"/>
        <v>Z400</v>
      </c>
      <c r="G48" s="82" t="s">
        <v>55</v>
      </c>
      <c r="H48" s="118">
        <v>4</v>
      </c>
      <c r="I48" s="98">
        <v>19.55</v>
      </c>
      <c r="J48" s="98">
        <v>15.87</v>
      </c>
      <c r="K48" s="98">
        <v>3.11</v>
      </c>
      <c r="L48" s="98">
        <v>24.76</v>
      </c>
      <c r="M48" s="98">
        <v>5470.97</v>
      </c>
      <c r="N48" s="98">
        <v>269.18</v>
      </c>
      <c r="O48" s="98">
        <v>14.86</v>
      </c>
      <c r="P48" s="98">
        <v>19.68</v>
      </c>
      <c r="Q48" s="98">
        <v>24.76</v>
      </c>
      <c r="R48" s="98">
        <v>5472.46</v>
      </c>
      <c r="S48" s="98">
        <v>271.07</v>
      </c>
      <c r="T48" s="98">
        <v>14.86</v>
      </c>
      <c r="U48" s="98">
        <v>19.809999999999999</v>
      </c>
      <c r="V48" s="98">
        <v>24.91</v>
      </c>
      <c r="W48" s="98">
        <v>359.6</v>
      </c>
      <c r="X48" s="98">
        <v>36.880000000000003</v>
      </c>
      <c r="Y48" s="98">
        <v>3.79</v>
      </c>
      <c r="Z48" s="99">
        <v>8.85</v>
      </c>
    </row>
    <row r="49" spans="4:4" ht="15" customHeight="1" x14ac:dyDescent="0.25">
      <c r="D49" s="167"/>
    </row>
  </sheetData>
  <mergeCells count="33">
    <mergeCell ref="I4:I9"/>
    <mergeCell ref="A4:A10"/>
    <mergeCell ref="B4:B10"/>
    <mergeCell ref="C4:C10"/>
    <mergeCell ref="D4:D10"/>
    <mergeCell ref="H4:H10"/>
    <mergeCell ref="E4:E10"/>
    <mergeCell ref="F7:F10"/>
    <mergeCell ref="G7:G10"/>
    <mergeCell ref="F4:G6"/>
    <mergeCell ref="J4:K6"/>
    <mergeCell ref="L4:Z4"/>
    <mergeCell ref="L5:U5"/>
    <mergeCell ref="V5:Z6"/>
    <mergeCell ref="L6:P6"/>
    <mergeCell ref="Q6:U6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Y7:Y8"/>
    <mergeCell ref="Z7:Z8"/>
    <mergeCell ref="T7:T8"/>
    <mergeCell ref="U7:U8"/>
    <mergeCell ref="V7:V8"/>
    <mergeCell ref="W7:W8"/>
    <mergeCell ref="X7:X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7"/>
  <sheetViews>
    <sheetView zoomScale="70" zoomScaleNormal="70" workbookViewId="0">
      <selection activeCell="AF36" sqref="AF36"/>
    </sheetView>
  </sheetViews>
  <sheetFormatPr defaultColWidth="8.85546875" defaultRowHeight="15" customHeight="1" x14ac:dyDescent="0.25"/>
  <cols>
    <col min="1" max="1" width="12.7109375" style="153" customWidth="1"/>
    <col min="2" max="5" width="6.7109375" style="153" customWidth="1"/>
    <col min="6" max="6" width="8.7109375" style="153" customWidth="1"/>
    <col min="7" max="7" width="15.7109375" style="153" customWidth="1"/>
    <col min="8" max="26" width="8.7109375" style="153" customWidth="1"/>
    <col min="27" max="16384" width="8.85546875" style="153"/>
  </cols>
  <sheetData>
    <row r="1" spans="1:45" ht="15" customHeight="1" thickBot="1" x14ac:dyDescent="0.3">
      <c r="A1" s="107">
        <v>390</v>
      </c>
    </row>
    <row r="2" spans="1:45" ht="15" customHeight="1" thickBot="1" x14ac:dyDescent="0.3">
      <c r="A2" s="79" t="str">
        <f>Сводная!A19</f>
        <v>Z250x2,5</v>
      </c>
      <c r="B2" s="93" t="str">
        <f>INDEX(B11:B48,MATCH($A$2,$A$11:$A$48))</f>
        <v>250</v>
      </c>
      <c r="C2" s="105">
        <f t="shared" ref="C2:Z2" si="0">INDEX(C11:C48,MATCH($A$2,$A$11:$A$48))</f>
        <v>68</v>
      </c>
      <c r="D2" s="105">
        <f t="shared" si="0"/>
        <v>79</v>
      </c>
      <c r="E2" s="105">
        <f t="shared" si="0"/>
        <v>22</v>
      </c>
      <c r="F2" s="93" t="str">
        <f t="shared" si="0"/>
        <v>Z250</v>
      </c>
      <c r="G2" s="93" t="str">
        <f t="shared" si="0"/>
        <v>250/68/79/22</v>
      </c>
      <c r="H2" s="105">
        <f t="shared" si="0"/>
        <v>2.5</v>
      </c>
      <c r="I2" s="103">
        <f t="shared" si="0"/>
        <v>8.2799999999999994</v>
      </c>
      <c r="J2" s="103">
        <f t="shared" si="0"/>
        <v>6.9085714285714284</v>
      </c>
      <c r="K2" s="103">
        <f t="shared" si="0"/>
        <v>2.8428571428571425</v>
      </c>
      <c r="L2" s="103">
        <f t="shared" si="0"/>
        <v>10.318571428571429</v>
      </c>
      <c r="M2" s="103">
        <f t="shared" si="0"/>
        <v>944.25428571428574</v>
      </c>
      <c r="N2" s="103">
        <f t="shared" si="0"/>
        <v>72.701428571428579</v>
      </c>
      <c r="O2" s="103">
        <f t="shared" si="0"/>
        <v>9.5628571428571423</v>
      </c>
      <c r="P2" s="103">
        <f t="shared" si="0"/>
        <v>12.012857142857142</v>
      </c>
      <c r="Q2" s="103">
        <f t="shared" si="0"/>
        <v>10.312857142857142</v>
      </c>
      <c r="R2" s="103">
        <f t="shared" si="0"/>
        <v>944.28571428571433</v>
      </c>
      <c r="S2" s="103">
        <f t="shared" si="0"/>
        <v>74.587142857142865</v>
      </c>
      <c r="T2" s="103">
        <f t="shared" si="0"/>
        <v>9.5628571428571423</v>
      </c>
      <c r="U2" s="103">
        <f t="shared" si="0"/>
        <v>12.342857142857143</v>
      </c>
      <c r="V2" s="103">
        <f t="shared" si="0"/>
        <v>10.544285714285714</v>
      </c>
      <c r="W2" s="103">
        <f t="shared" si="0"/>
        <v>106.85428571428572</v>
      </c>
      <c r="X2" s="103">
        <f t="shared" si="0"/>
        <v>13.73</v>
      </c>
      <c r="Y2" s="103">
        <f t="shared" si="0"/>
        <v>3.18</v>
      </c>
      <c r="Z2" s="104">
        <f t="shared" si="0"/>
        <v>6.91</v>
      </c>
    </row>
    <row r="3" spans="1:45" ht="15" customHeight="1" thickBot="1" x14ac:dyDescent="0.3"/>
    <row r="4" spans="1:45" ht="15" customHeight="1" x14ac:dyDescent="0.25">
      <c r="A4" s="361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04" t="s">
        <v>165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45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45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 t="s">
        <v>18</v>
      </c>
      <c r="R6" s="345"/>
      <c r="S6" s="345"/>
      <c r="T6" s="345"/>
      <c r="U6" s="345"/>
      <c r="V6" s="345"/>
      <c r="W6" s="345"/>
      <c r="X6" s="345"/>
      <c r="Y6" s="345"/>
      <c r="Z6" s="357"/>
    </row>
    <row r="7" spans="1:45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 t="s">
        <v>21</v>
      </c>
      <c r="R7" s="364" t="s">
        <v>3</v>
      </c>
      <c r="S7" s="364" t="s">
        <v>156</v>
      </c>
      <c r="T7" s="364" t="s">
        <v>20</v>
      </c>
      <c r="U7" s="381" t="s">
        <v>168</v>
      </c>
      <c r="V7" s="364" t="s">
        <v>21</v>
      </c>
      <c r="W7" s="381" t="s">
        <v>3</v>
      </c>
      <c r="X7" s="364" t="s">
        <v>156</v>
      </c>
      <c r="Y7" s="364" t="s">
        <v>20</v>
      </c>
      <c r="Z7" s="400" t="s">
        <v>168</v>
      </c>
    </row>
    <row r="8" spans="1:45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401"/>
    </row>
    <row r="9" spans="1:45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 t="s">
        <v>172</v>
      </c>
      <c r="R9" s="154" t="s">
        <v>174</v>
      </c>
      <c r="S9" s="154" t="s">
        <v>175</v>
      </c>
      <c r="T9" s="154" t="s">
        <v>176</v>
      </c>
      <c r="U9" s="154" t="s">
        <v>177</v>
      </c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45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 t="s">
        <v>182</v>
      </c>
      <c r="R10" s="156" t="s">
        <v>183</v>
      </c>
      <c r="S10" s="156" t="s">
        <v>184</v>
      </c>
      <c r="T10" s="156" t="s">
        <v>6</v>
      </c>
      <c r="U10" s="156" t="s">
        <v>6</v>
      </c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45" ht="15" customHeight="1" thickBot="1" x14ac:dyDescent="0.3">
      <c r="A11" s="144" t="str">
        <f t="shared" ref="A11:A12" si="1">CONCATENATE(F11,"x",(IF(H11=INT(H11),CONCATENATE(H11,",",0),H11)))</f>
        <v>Z140x1,0</v>
      </c>
      <c r="B11" s="145" t="str">
        <f t="shared" ref="B11:B12" si="2">LEFT(G11,3)</f>
        <v>140</v>
      </c>
      <c r="C11" s="146">
        <f t="shared" ref="C11:C12" si="3">VALUE(MID(G11,(SEARCH("/",G11,1)+1),(SEARCH("/",G11,(SEARCH("/",G11,1)+1))-SEARCH("/",G11,1)-1)))</f>
        <v>59.5</v>
      </c>
      <c r="D11" s="146">
        <f t="shared" ref="D11:D12" si="4">VALUE(MID(G11,(SEARCH("/",G11,(SEARCH("/",G11,1)+1))+1),(SEARCH("/",G11,SEARCH("/",G11,(SEARCH("/",G11,1)+1))+1))-(SEARCH("/",G11,(SEARCH("/",G11,1)+1))+1)))</f>
        <v>65.5</v>
      </c>
      <c r="E11" s="146">
        <f t="shared" ref="E11:E12" si="5">VALUE(MID(G11,(SEARCH("/",G11,SEARCH("/",G11,(SEARCH("/",G11,1)+1))+1)+1),4))</f>
        <v>20</v>
      </c>
      <c r="F11" s="158" t="str">
        <f t="shared" ref="F11:F12" si="6">CONCATENATE("Z",LEFT(G11,3))</f>
        <v>Z140</v>
      </c>
      <c r="G11" s="159" t="s">
        <v>27</v>
      </c>
      <c r="H11" s="160">
        <v>1</v>
      </c>
      <c r="I11" s="161">
        <v>2.38</v>
      </c>
      <c r="J11" s="161">
        <f>Z_R_350!J11+(Z_R_390!$A$1-Z_R_350!$A$1)/(Z_R_420!$A$1-Z_R_350!$A$1)*(Z_R_420!J11-Z_R_350!J11)</f>
        <v>1.4228571428571428</v>
      </c>
      <c r="K11" s="161">
        <f>Z_R_350!K11+(Z_R_390!$A$1-Z_R_350!$A$1)/(Z_R_420!$A$1-Z_R_350!$A$1)*(Z_R_420!K11-Z_R_350!K11)</f>
        <v>3.03</v>
      </c>
      <c r="L11" s="161">
        <f>Z_R_350!L11+(Z_R_390!$A$1-Z_R_350!$A$1)/(Z_R_420!$A$1-Z_R_350!$A$1)*(Z_R_420!L11-Z_R_350!L11)</f>
        <v>2.48</v>
      </c>
      <c r="M11" s="161">
        <f>Z_R_350!M11+(Z_R_390!$A$1-Z_R_350!$A$1)/(Z_R_420!$A$1-Z_R_350!$A$1)*(Z_R_420!M11-Z_R_350!M11)</f>
        <v>76.428571428571431</v>
      </c>
      <c r="N11" s="161">
        <f>Z_R_350!N11+(Z_R_390!$A$1-Z_R_350!$A$1)/(Z_R_420!$A$1-Z_R_350!$A$1)*(Z_R_420!N11-Z_R_350!N11)</f>
        <v>9.4728571428571424</v>
      </c>
      <c r="O11" s="161">
        <f>Z_R_350!O11+(Z_R_390!$A$1-Z_R_350!$A$1)/(Z_R_420!$A$1-Z_R_350!$A$1)*(Z_R_420!O11-Z_R_350!O11)</f>
        <v>5.5385714285714283</v>
      </c>
      <c r="P11" s="161">
        <f>Z_R_350!P11+(Z_R_390!$A$1-Z_R_350!$A$1)/(Z_R_420!$A$1-Z_R_350!$A$1)*(Z_R_420!P11-Z_R_350!P11)</f>
        <v>5.9328571428571433</v>
      </c>
      <c r="Q11" s="161">
        <f>Z_R_350!Q11+(Z_R_390!$A$1-Z_R_350!$A$1)/(Z_R_420!$A$1-Z_R_350!$A$1)*(Z_R_420!Q11-Z_R_350!Q11)</f>
        <v>2.4342857142857142</v>
      </c>
      <c r="R11" s="161">
        <f>Z_R_350!R11+(Z_R_390!$A$1-Z_R_350!$A$1)/(Z_R_420!$A$1-Z_R_350!$A$1)*(Z_R_420!R11-Z_R_350!R11)</f>
        <v>74.674285714285716</v>
      </c>
      <c r="S11" s="161">
        <f>Z_R_350!S11+(Z_R_390!$A$1-Z_R_350!$A$1)/(Z_R_420!$A$1-Z_R_350!$A$1)*(Z_R_420!S11-Z_R_350!S11)</f>
        <v>9.4414285714285722</v>
      </c>
      <c r="T11" s="161">
        <f>Z_R_350!T11+(Z_R_390!$A$1-Z_R_350!$A$1)/(Z_R_420!$A$1-Z_R_350!$A$1)*(Z_R_420!T11-Z_R_350!T11)</f>
        <v>5.5342857142857147</v>
      </c>
      <c r="U11" s="161">
        <f>Z_R_350!U11+(Z_R_390!$A$1-Z_R_350!$A$1)/(Z_R_420!$A$1-Z_R_350!$A$1)*(Z_R_420!U11-Z_R_350!U11)</f>
        <v>7.9071428571428575</v>
      </c>
      <c r="V11" s="161">
        <f>Z_R_350!V11+(Z_R_390!$A$1-Z_R_350!$A$1)/(Z_R_420!$A$1-Z_R_350!$A$1)*(Z_R_420!V11-Z_R_350!V11)</f>
        <v>2.6271428571428572</v>
      </c>
      <c r="W11" s="161">
        <f>Z_R_350!W11+(Z_R_390!$A$1-Z_R_350!$A$1)/(Z_R_420!$A$1-Z_R_350!$A$1)*(Z_R_420!W11-Z_R_350!W11)</f>
        <v>22.765714285714285</v>
      </c>
      <c r="X11" s="161">
        <f>Z_R_350!X11+(Z_R_390!$A$1-Z_R_350!$A$1)/(Z_R_420!$A$1-Z_R_350!$A$1)*(Z_R_420!X11-Z_R_350!X11)</f>
        <v>3.342857142857143</v>
      </c>
      <c r="Y11" s="161">
        <f>Z_R_350!Y11+(Z_R_390!$A$1-Z_R_350!$A$1)/(Z_R_420!$A$1-Z_R_350!$A$1)*(Z_R_420!Y11-Z_R_350!Y11)</f>
        <v>2.9371428571428573</v>
      </c>
      <c r="Z11" s="162">
        <f>Z_R_350!Z11+(Z_R_390!$A$1-Z_R_350!$A$1)/(Z_R_420!$A$1-Z_R_350!$A$1)*(Z_R_420!Z11-Z_R_350!Z11)</f>
        <v>5.6</v>
      </c>
      <c r="AB11" s="163">
        <v>2.38</v>
      </c>
      <c r="AC11" s="163">
        <v>1.42</v>
      </c>
      <c r="AD11" s="163">
        <v>2.96</v>
      </c>
      <c r="AE11" s="163">
        <v>2.48</v>
      </c>
      <c r="AF11" s="163">
        <v>76.400000000000006</v>
      </c>
      <c r="AG11" s="163">
        <v>9.4499999999999993</v>
      </c>
      <c r="AH11" s="163">
        <v>5.54</v>
      </c>
      <c r="AI11" s="163">
        <v>5.93</v>
      </c>
      <c r="AJ11" s="163">
        <v>2.41</v>
      </c>
      <c r="AK11" s="163">
        <v>74.099999999999994</v>
      </c>
      <c r="AL11" s="163">
        <v>9.31</v>
      </c>
      <c r="AM11" s="163">
        <v>5.55</v>
      </c>
      <c r="AN11" s="163">
        <v>7.96</v>
      </c>
      <c r="AO11" s="163">
        <v>2.62</v>
      </c>
      <c r="AP11" s="163">
        <v>22.72</v>
      </c>
      <c r="AQ11" s="163">
        <v>3.33</v>
      </c>
      <c r="AR11" s="163">
        <v>2.94</v>
      </c>
      <c r="AS11" s="163">
        <v>5.59</v>
      </c>
    </row>
    <row r="12" spans="1:45" ht="15" customHeight="1" thickBot="1" x14ac:dyDescent="0.3">
      <c r="A12" s="147" t="str">
        <f t="shared" si="1"/>
        <v>Z140x1,2</v>
      </c>
      <c r="B12" s="148" t="str">
        <f t="shared" si="2"/>
        <v>140</v>
      </c>
      <c r="C12" s="149">
        <f t="shared" si="3"/>
        <v>59.5</v>
      </c>
      <c r="D12" s="149">
        <f t="shared" si="4"/>
        <v>65.5</v>
      </c>
      <c r="E12" s="149">
        <f t="shared" si="5"/>
        <v>20</v>
      </c>
      <c r="F12" s="154" t="str">
        <f t="shared" si="6"/>
        <v>Z140</v>
      </c>
      <c r="G12" s="155" t="s">
        <v>27</v>
      </c>
      <c r="H12" s="164">
        <v>1.2</v>
      </c>
      <c r="I12" s="165">
        <v>2.83</v>
      </c>
      <c r="J12" s="165">
        <f>Z_R_350!J12+(Z_R_390!$A$1-Z_R_350!$A$1)/(Z_R_420!$A$1-Z_R_350!$A$1)*(Z_R_420!J12-Z_R_350!J12)</f>
        <v>1.9742857142857142</v>
      </c>
      <c r="K12" s="165">
        <f>Z_R_350!K12+(Z_R_390!$A$1-Z_R_350!$A$1)/(Z_R_420!$A$1-Z_R_350!$A$1)*(Z_R_420!K12-Z_R_350!K12)</f>
        <v>2.9971428571428569</v>
      </c>
      <c r="L12" s="165">
        <f>Z_R_350!L12+(Z_R_390!$A$1-Z_R_350!$A$1)/(Z_R_420!$A$1-Z_R_350!$A$1)*(Z_R_420!L12-Z_R_350!L12)</f>
        <v>3.1628571428571428</v>
      </c>
      <c r="M12" s="165">
        <f>Z_R_350!M12+(Z_R_390!$A$1-Z_R_350!$A$1)/(Z_R_420!$A$1-Z_R_350!$A$1)*(Z_R_420!M12-Z_R_350!M12)</f>
        <v>97.515714285714282</v>
      </c>
      <c r="N12" s="165">
        <f>Z_R_350!N12+(Z_R_390!$A$1-Z_R_350!$A$1)/(Z_R_420!$A$1-Z_R_350!$A$1)*(Z_R_420!N12-Z_R_350!N12)</f>
        <v>12.62</v>
      </c>
      <c r="O12" s="165">
        <f>Z_R_350!O12+(Z_R_390!$A$1-Z_R_350!$A$1)/(Z_R_420!$A$1-Z_R_350!$A$1)*(Z_R_420!O12-Z_R_350!O12)</f>
        <v>5.55</v>
      </c>
      <c r="P12" s="165">
        <f>Z_R_350!P12+(Z_R_390!$A$1-Z_R_350!$A$1)/(Z_R_420!$A$1-Z_R_350!$A$1)*(Z_R_420!P12-Z_R_350!P12)</f>
        <v>6.2728571428571431</v>
      </c>
      <c r="Q12" s="165">
        <f>Z_R_350!Q12+(Z_R_390!$A$1-Z_R_350!$A$1)/(Z_R_420!$A$1-Z_R_350!$A$1)*(Z_R_420!Q12-Z_R_350!Q12)</f>
        <v>3.1028571428571428</v>
      </c>
      <c r="R12" s="165">
        <f>Z_R_350!R12+(Z_R_390!$A$1-Z_R_350!$A$1)/(Z_R_420!$A$1-Z_R_350!$A$1)*(Z_R_420!R12-Z_R_350!R12)</f>
        <v>95.344285714285718</v>
      </c>
      <c r="S12" s="165">
        <f>Z_R_350!S12+(Z_R_390!$A$1-Z_R_350!$A$1)/(Z_R_420!$A$1-Z_R_350!$A$1)*(Z_R_420!S12-Z_R_350!S12)</f>
        <v>12.608571428571429</v>
      </c>
      <c r="T12" s="165">
        <f>Z_R_350!T12+(Z_R_390!$A$1-Z_R_350!$A$1)/(Z_R_420!$A$1-Z_R_350!$A$1)*(Z_R_420!T12-Z_R_350!T12)</f>
        <v>5.5342857142857147</v>
      </c>
      <c r="U12" s="165">
        <f>Z_R_350!U12+(Z_R_390!$A$1-Z_R_350!$A$1)/(Z_R_420!$A$1-Z_R_350!$A$1)*(Z_R_420!U12-Z_R_350!U12)</f>
        <v>7.5628571428571423</v>
      </c>
      <c r="V12" s="165">
        <f>Z_R_350!V12+(Z_R_390!$A$1-Z_R_350!$A$1)/(Z_R_420!$A$1-Z_R_350!$A$1)*(Z_R_420!V12-Z_R_350!V12)</f>
        <v>3.2314285714285713</v>
      </c>
      <c r="W12" s="165">
        <f>Z_R_350!W12+(Z_R_390!$A$1-Z_R_350!$A$1)/(Z_R_420!$A$1-Z_R_350!$A$1)*(Z_R_420!W12-Z_R_350!W12)</f>
        <v>29.231428571428573</v>
      </c>
      <c r="X12" s="165">
        <f>Z_R_350!X12+(Z_R_390!$A$1-Z_R_350!$A$1)/(Z_R_420!$A$1-Z_R_350!$A$1)*(Z_R_420!X12-Z_R_350!X12)</f>
        <v>4.3899999999999997</v>
      </c>
      <c r="Y12" s="165">
        <f>Z_R_350!Y12+(Z_R_390!$A$1-Z_R_350!$A$1)/(Z_R_420!$A$1-Z_R_350!$A$1)*(Z_R_420!Y12-Z_R_350!Y12)</f>
        <v>2.9971428571428573</v>
      </c>
      <c r="Z12" s="166">
        <f>Z_R_350!Z12+(Z_R_390!$A$1-Z_R_350!$A$1)/(Z_R_420!$A$1-Z_R_350!$A$1)*(Z_R_420!Z12-Z_R_350!Z12)</f>
        <v>5.7299999999999995</v>
      </c>
      <c r="AB12" s="163">
        <v>2.83</v>
      </c>
      <c r="AC12" s="163">
        <v>1.97</v>
      </c>
      <c r="AD12" s="163">
        <v>3</v>
      </c>
      <c r="AE12" s="163">
        <v>3.16</v>
      </c>
      <c r="AF12" s="163">
        <v>97.5</v>
      </c>
      <c r="AG12" s="163">
        <v>12.6</v>
      </c>
      <c r="AH12" s="163">
        <v>5.55</v>
      </c>
      <c r="AI12" s="163">
        <v>6.27</v>
      </c>
      <c r="AJ12" s="163">
        <v>3.05</v>
      </c>
      <c r="AK12" s="163">
        <v>94.3</v>
      </c>
      <c r="AL12" s="163">
        <v>12.36</v>
      </c>
      <c r="AM12" s="163">
        <v>5.56</v>
      </c>
      <c r="AN12" s="163">
        <v>7.63</v>
      </c>
      <c r="AO12" s="163">
        <v>3.23</v>
      </c>
      <c r="AP12" s="163">
        <v>29.21</v>
      </c>
      <c r="AQ12" s="163">
        <v>4.3899999999999997</v>
      </c>
      <c r="AR12" s="163">
        <v>3</v>
      </c>
      <c r="AS12" s="163">
        <v>5.73</v>
      </c>
    </row>
    <row r="13" spans="1:45" ht="15" customHeight="1" thickBot="1" x14ac:dyDescent="0.3">
      <c r="A13" s="72" t="str">
        <f>CONCATENATE(F13,"x",(IF(H13=INT(H13),CONCATENATE(H13,",",0),H13)))</f>
        <v>Z140x1,5</v>
      </c>
      <c r="B13" s="11" t="str">
        <f>LEFT(G13,3)</f>
        <v>140</v>
      </c>
      <c r="C13" s="90">
        <f>VALUE(MID(G13,(SEARCH("/",G13,1)+1),(SEARCH("/",G13,(SEARCH("/",G13,1)+1))-SEARCH("/",G13,1)-1)))</f>
        <v>59.5</v>
      </c>
      <c r="D13" s="90">
        <f>VALUE(MID(G13,(SEARCH("/",G13,(SEARCH("/",G13,1)+1))+1),(SEARCH("/",G13,SEARCH("/",G13,(SEARCH("/",G13,1)+1))+1))-(SEARCH("/",G13,(SEARCH("/",G13,1)+1))+1)))</f>
        <v>65.5</v>
      </c>
      <c r="E13" s="90">
        <f>VALUE(MID(G13,(SEARCH("/",G13,SEARCH("/",G13,(SEARCH("/",G13,1)+1))+1)+1),4))</f>
        <v>20</v>
      </c>
      <c r="F13" s="134" t="str">
        <f>CONCATENATE("Z",LEFT(G13,3))</f>
        <v>Z140</v>
      </c>
      <c r="G13" s="81" t="s">
        <v>27</v>
      </c>
      <c r="H13" s="117">
        <v>1.5</v>
      </c>
      <c r="I13" s="96">
        <v>3.42</v>
      </c>
      <c r="J13" s="96">
        <f>Z_R_350!J13+(Z_R_390!$A$1-Z_R_350!$A$1)/(Z_R_420!$A$1-Z_R_350!$A$1)*(Z_R_420!J13-Z_R_350!J13)</f>
        <v>2.9257142857142857</v>
      </c>
      <c r="K13" s="96">
        <f>Z_R_350!K13+(Z_R_390!$A$1-Z_R_350!$A$1)/(Z_R_420!$A$1-Z_R_350!$A$1)*(Z_R_420!K13-Z_R_350!K13)</f>
        <v>2.9714285714285715</v>
      </c>
      <c r="L13" s="96">
        <f>Z_R_350!L13+(Z_R_390!$A$1-Z_R_350!$A$1)/(Z_R_420!$A$1-Z_R_350!$A$1)*(Z_R_420!L13-Z_R_350!L13)</f>
        <v>4.2214285714285715</v>
      </c>
      <c r="M13" s="96">
        <f>Z_R_350!M13+(Z_R_390!$A$1-Z_R_350!$A$1)/(Z_R_420!$A$1-Z_R_350!$A$1)*(Z_R_420!M13-Z_R_350!M13)</f>
        <v>129.9</v>
      </c>
      <c r="N13" s="96">
        <f>Z_R_350!N13+(Z_R_390!$A$1-Z_R_350!$A$1)/(Z_R_420!$A$1-Z_R_350!$A$1)*(Z_R_420!N13-Z_R_350!N13)</f>
        <v>17.68</v>
      </c>
      <c r="O13" s="96">
        <f>Z_R_350!O13+(Z_R_390!$A$1-Z_R_350!$A$1)/(Z_R_420!$A$1-Z_R_350!$A$1)*(Z_R_420!O13-Z_R_350!O13)</f>
        <v>5.54</v>
      </c>
      <c r="P13" s="96">
        <f>Z_R_350!P13+(Z_R_390!$A$1-Z_R_350!$A$1)/(Z_R_420!$A$1-Z_R_350!$A$1)*(Z_R_420!P13-Z_R_350!P13)</f>
        <v>6.6542857142857139</v>
      </c>
      <c r="Q13" s="96">
        <f>Z_R_350!Q13+(Z_R_390!$A$1-Z_R_350!$A$1)/(Z_R_420!$A$1-Z_R_350!$A$1)*(Z_R_420!Q13-Z_R_350!Q13)</f>
        <v>4.1685714285714282</v>
      </c>
      <c r="R13" s="96">
        <f>Z_R_350!R13+(Z_R_390!$A$1-Z_R_350!$A$1)/(Z_R_420!$A$1-Z_R_350!$A$1)*(Z_R_420!R13-Z_R_350!R13)</f>
        <v>127.45142857142856</v>
      </c>
      <c r="S13" s="96">
        <f>Z_R_350!S13+(Z_R_390!$A$1-Z_R_350!$A$1)/(Z_R_420!$A$1-Z_R_350!$A$1)*(Z_R_420!S13-Z_R_350!S13)</f>
        <v>17.831428571428575</v>
      </c>
      <c r="T13" s="96">
        <f>Z_R_350!T13+(Z_R_390!$A$1-Z_R_350!$A$1)/(Z_R_420!$A$1-Z_R_350!$A$1)*(Z_R_420!T13-Z_R_350!T13)</f>
        <v>5.52</v>
      </c>
      <c r="U13" s="96">
        <f>Z_R_350!U13+(Z_R_390!$A$1-Z_R_350!$A$1)/(Z_R_420!$A$1-Z_R_350!$A$1)*(Z_R_420!U13-Z_R_350!U13)</f>
        <v>7.1442857142857141</v>
      </c>
      <c r="V13" s="96">
        <f>Z_R_350!V13+(Z_R_390!$A$1-Z_R_350!$A$1)/(Z_R_420!$A$1-Z_R_350!$A$1)*(Z_R_420!V13-Z_R_350!V13)</f>
        <v>4.3328571428571427</v>
      </c>
      <c r="W13" s="96">
        <f>Z_R_350!W13+(Z_R_390!$A$1-Z_R_350!$A$1)/(Z_R_420!$A$1-Z_R_350!$A$1)*(Z_R_420!W13-Z_R_350!W13)</f>
        <v>41.337142857142858</v>
      </c>
      <c r="X13" s="96">
        <f>Z_R_350!X13+(Z_R_390!$A$1-Z_R_350!$A$1)/(Z_R_420!$A$1-Z_R_350!$A$1)*(Z_R_420!X13-Z_R_350!X13)</f>
        <v>6.427142857142857</v>
      </c>
      <c r="Y13" s="96">
        <f>Z_R_350!Y13+(Z_R_390!$A$1-Z_R_350!$A$1)/(Z_R_420!$A$1-Z_R_350!$A$1)*(Z_R_420!Y13-Z_R_350!Y13)</f>
        <v>3.0828571428571427</v>
      </c>
      <c r="Z13" s="97">
        <f>Z_R_350!Z13+(Z_R_390!$A$1-Z_R_350!$A$1)/(Z_R_420!$A$1-Z_R_350!$A$1)*(Z_R_420!Z13-Z_R_350!Z13)</f>
        <v>6.0228571428571431</v>
      </c>
      <c r="AB13" s="163">
        <v>3.42</v>
      </c>
      <c r="AC13" s="163">
        <v>2.92</v>
      </c>
      <c r="AD13" s="163">
        <v>2.97</v>
      </c>
      <c r="AE13" s="163">
        <v>4.25</v>
      </c>
      <c r="AF13" s="163">
        <v>130.4</v>
      </c>
      <c r="AG13" s="163">
        <v>17.829999999999998</v>
      </c>
      <c r="AH13" s="163">
        <v>5.54</v>
      </c>
      <c r="AI13" s="163">
        <v>6.68</v>
      </c>
      <c r="AJ13" s="163">
        <v>4.16</v>
      </c>
      <c r="AK13" s="163">
        <v>127.4</v>
      </c>
      <c r="AL13" s="163">
        <v>17.32</v>
      </c>
      <c r="AM13" s="163">
        <v>5.56</v>
      </c>
      <c r="AN13" s="163">
        <v>7.25</v>
      </c>
      <c r="AO13" s="163">
        <v>4.33</v>
      </c>
      <c r="AP13" s="163">
        <v>41.33</v>
      </c>
      <c r="AQ13" s="163">
        <v>6.44</v>
      </c>
      <c r="AR13" s="163">
        <v>3.07</v>
      </c>
      <c r="AS13" s="163">
        <v>6.32</v>
      </c>
    </row>
    <row r="14" spans="1:45" ht="15" customHeight="1" thickBot="1" x14ac:dyDescent="0.3">
      <c r="A14" s="72" t="str">
        <f>CONCATENATE(F14,"x",(IF(H14=INT(H14),CONCATENATE(H14,",",0),H14)))</f>
        <v>Z140x2,0</v>
      </c>
      <c r="B14" s="11" t="str">
        <f t="shared" ref="B14:B35" si="7">LEFT(G14,3)</f>
        <v>140</v>
      </c>
      <c r="C14" s="90">
        <f t="shared" ref="C14:C35" si="8">VALUE(MID(G14,(SEARCH("/",G14,1)+1),(SEARCH("/",G14,(SEARCH("/",G14,1)+1))-SEARCH("/",G14,1)-1)))</f>
        <v>59.5</v>
      </c>
      <c r="D14" s="90">
        <f t="shared" ref="D14:D35" si="9">VALUE(MID(G14,(SEARCH("/",G14,(SEARCH("/",G14,1)+1))+1),(SEARCH("/",G14,SEARCH("/",G14,(SEARCH("/",G14,1)+1))+1))-(SEARCH("/",G14,(SEARCH("/",G14,1)+1))+1)))</f>
        <v>65.5</v>
      </c>
      <c r="E14" s="90">
        <f t="shared" ref="E14:E35" si="10">VALUE(MID(G14,(SEARCH("/",G14,SEARCH("/",G14,(SEARCH("/",G14,1)+1))+1)+1),4))</f>
        <v>20.5</v>
      </c>
      <c r="F14" s="134" t="str">
        <f t="shared" ref="F14:F35" si="11">CONCATENATE("Z",LEFT(G14,3))</f>
        <v>Z140</v>
      </c>
      <c r="G14" s="81" t="s">
        <v>28</v>
      </c>
      <c r="H14" s="121">
        <v>2</v>
      </c>
      <c r="I14" s="96">
        <v>4.54</v>
      </c>
      <c r="J14" s="96">
        <f>Z_R_350!J14+(Z_R_390!$A$1-Z_R_350!$A$1)/(Z_R_420!$A$1-Z_R_350!$A$1)*(Z_R_420!J14-Z_R_350!J14)</f>
        <v>4.5742857142857138</v>
      </c>
      <c r="K14" s="96">
        <f>Z_R_350!K14+(Z_R_390!$A$1-Z_R_350!$A$1)/(Z_R_420!$A$1-Z_R_350!$A$1)*(Z_R_420!K14-Z_R_350!K14)</f>
        <v>2.8428571428571425</v>
      </c>
      <c r="L14" s="96">
        <f>Z_R_350!L14+(Z_R_390!$A$1-Z_R_350!$A$1)/(Z_R_420!$A$1-Z_R_350!$A$1)*(Z_R_420!L14-Z_R_350!L14)</f>
        <v>5.78</v>
      </c>
      <c r="M14" s="96">
        <f>Z_R_350!M14+(Z_R_390!$A$1-Z_R_350!$A$1)/(Z_R_420!$A$1-Z_R_350!$A$1)*(Z_R_420!M14-Z_R_350!M14)</f>
        <v>178.2</v>
      </c>
      <c r="N14" s="96">
        <f>Z_R_350!N14+(Z_R_390!$A$1-Z_R_350!$A$1)/(Z_R_420!$A$1-Z_R_350!$A$1)*(Z_R_420!N14-Z_R_350!N14)</f>
        <v>24.94</v>
      </c>
      <c r="O14" s="96">
        <f>Z_R_350!O14+(Z_R_390!$A$1-Z_R_350!$A$1)/(Z_R_420!$A$1-Z_R_350!$A$1)*(Z_R_420!O14-Z_R_350!O14)</f>
        <v>5.54</v>
      </c>
      <c r="P14" s="96">
        <f>Z_R_350!P14+(Z_R_390!$A$1-Z_R_350!$A$1)/(Z_R_420!$A$1-Z_R_350!$A$1)*(Z_R_420!P14-Z_R_350!P14)</f>
        <v>6.86</v>
      </c>
      <c r="Q14" s="96">
        <f>Z_R_350!Q14+(Z_R_390!$A$1-Z_R_350!$A$1)/(Z_R_420!$A$1-Z_R_350!$A$1)*(Z_R_420!Q14-Z_R_350!Q14)</f>
        <v>5.7628571428571433</v>
      </c>
      <c r="R14" s="96">
        <f>Z_R_350!R14+(Z_R_390!$A$1-Z_R_350!$A$1)/(Z_R_420!$A$1-Z_R_350!$A$1)*(Z_R_420!R14-Z_R_350!R14)</f>
        <v>177.24571428571429</v>
      </c>
      <c r="S14" s="96">
        <f>Z_R_350!S14+(Z_R_390!$A$1-Z_R_350!$A$1)/(Z_R_420!$A$1-Z_R_350!$A$1)*(Z_R_420!S14-Z_R_350!S14)</f>
        <v>24.894285714285715</v>
      </c>
      <c r="T14" s="96">
        <f>Z_R_350!T14+(Z_R_390!$A$1-Z_R_350!$A$1)/(Z_R_420!$A$1-Z_R_350!$A$1)*(Z_R_420!T14-Z_R_350!T14)</f>
        <v>5.5342857142857147</v>
      </c>
      <c r="U14" s="96">
        <f>Z_R_350!U14+(Z_R_390!$A$1-Z_R_350!$A$1)/(Z_R_420!$A$1-Z_R_350!$A$1)*(Z_R_420!U14-Z_R_350!U14)</f>
        <v>6.8828571428571435</v>
      </c>
      <c r="V14" s="96">
        <f>Z_R_350!V14+(Z_R_390!$A$1-Z_R_350!$A$1)/(Z_R_420!$A$1-Z_R_350!$A$1)*(Z_R_420!V14-Z_R_350!V14)</f>
        <v>5.7614285714285716</v>
      </c>
      <c r="W14" s="96">
        <f>Z_R_350!W14+(Z_R_390!$A$1-Z_R_350!$A$1)/(Z_R_420!$A$1-Z_R_350!$A$1)*(Z_R_420!W14-Z_R_350!W14)</f>
        <v>54.67</v>
      </c>
      <c r="X14" s="96">
        <f>Z_R_350!X14+(Z_R_390!$A$1-Z_R_350!$A$1)/(Z_R_420!$A$1-Z_R_350!$A$1)*(Z_R_420!X14-Z_R_350!X14)</f>
        <v>8.4742857142857151</v>
      </c>
      <c r="Y14" s="96">
        <f>Z_R_350!Y14+(Z_R_390!$A$1-Z_R_350!$A$1)/(Z_R_420!$A$1-Z_R_350!$A$1)*(Z_R_420!Y14-Z_R_350!Y14)</f>
        <v>3.08</v>
      </c>
      <c r="Z14" s="97">
        <f>Z_R_350!Z14+(Z_R_390!$A$1-Z_R_350!$A$1)/(Z_R_420!$A$1-Z_R_350!$A$1)*(Z_R_420!Z14-Z_R_350!Z14)</f>
        <v>5.9985714285714282</v>
      </c>
      <c r="AB14" s="163">
        <v>4.54</v>
      </c>
      <c r="AC14" s="163">
        <v>4.58</v>
      </c>
      <c r="AD14" s="163">
        <v>2.84</v>
      </c>
      <c r="AE14" s="163">
        <v>5.78</v>
      </c>
      <c r="AF14" s="163">
        <v>178.2</v>
      </c>
      <c r="AG14" s="163">
        <v>24.94</v>
      </c>
      <c r="AH14" s="163">
        <v>5.54</v>
      </c>
      <c r="AI14" s="163">
        <v>6.86</v>
      </c>
      <c r="AJ14" s="163">
        <v>5.78</v>
      </c>
      <c r="AK14" s="163">
        <v>178.2</v>
      </c>
      <c r="AL14" s="163">
        <v>24.94</v>
      </c>
      <c r="AM14" s="163">
        <v>5.54</v>
      </c>
      <c r="AN14" s="163">
        <v>6.86</v>
      </c>
      <c r="AO14" s="163">
        <v>5.79</v>
      </c>
      <c r="AP14" s="163">
        <v>54.95</v>
      </c>
      <c r="AQ14" s="163">
        <v>8.48</v>
      </c>
      <c r="AR14" s="163">
        <v>3.08</v>
      </c>
      <c r="AS14" s="163">
        <v>6.01</v>
      </c>
    </row>
    <row r="15" spans="1:45" ht="15" customHeight="1" thickBot="1" x14ac:dyDescent="0.3">
      <c r="A15" s="72" t="str">
        <f>CONCATENATE(F15,"x",(IF(H15=INT(H15),CONCATENATE(H15,",",0),H15)))</f>
        <v>Z140x2,5</v>
      </c>
      <c r="B15" s="11" t="str">
        <f t="shared" si="7"/>
        <v>140</v>
      </c>
      <c r="C15" s="90">
        <f t="shared" si="8"/>
        <v>59.5</v>
      </c>
      <c r="D15" s="90">
        <f t="shared" si="9"/>
        <v>65.5</v>
      </c>
      <c r="E15" s="90">
        <f t="shared" si="10"/>
        <v>21</v>
      </c>
      <c r="F15" s="134" t="str">
        <f t="shared" si="11"/>
        <v>Z140</v>
      </c>
      <c r="G15" s="81" t="s">
        <v>29</v>
      </c>
      <c r="H15" s="117">
        <v>2.5</v>
      </c>
      <c r="I15" s="96">
        <v>5.65</v>
      </c>
      <c r="J15" s="96">
        <f>Z_R_350!J15+(Z_R_390!$A$1-Z_R_350!$A$1)/(Z_R_420!$A$1-Z_R_350!$A$1)*(Z_R_420!J15-Z_R_350!J15)</f>
        <v>6.0985714285714288</v>
      </c>
      <c r="K15" s="96">
        <f>Z_R_350!K15+(Z_R_390!$A$1-Z_R_350!$A$1)/(Z_R_420!$A$1-Z_R_350!$A$1)*(Z_R_420!K15-Z_R_350!K15)</f>
        <v>2.7328571428571427</v>
      </c>
      <c r="L15" s="96">
        <f>Z_R_350!L15+(Z_R_390!$A$1-Z_R_350!$A$1)/(Z_R_420!$A$1-Z_R_350!$A$1)*(Z_R_420!L15-Z_R_350!L15)</f>
        <v>7.19</v>
      </c>
      <c r="M15" s="96">
        <f>Z_R_350!M15+(Z_R_390!$A$1-Z_R_350!$A$1)/(Z_R_420!$A$1-Z_R_350!$A$1)*(Z_R_420!M15-Z_R_350!M15)</f>
        <v>219.52</v>
      </c>
      <c r="N15" s="96">
        <f>Z_R_350!N15+(Z_R_390!$A$1-Z_R_350!$A$1)/(Z_R_420!$A$1-Z_R_350!$A$1)*(Z_R_420!N15-Z_R_350!N15)</f>
        <v>30.73</v>
      </c>
      <c r="O15" s="96">
        <f>Z_R_350!O15+(Z_R_390!$A$1-Z_R_350!$A$1)/(Z_R_420!$A$1-Z_R_350!$A$1)*(Z_R_420!O15-Z_R_350!O15)</f>
        <v>5.52</v>
      </c>
      <c r="P15" s="96">
        <f>Z_R_350!P15+(Z_R_390!$A$1-Z_R_350!$A$1)/(Z_R_420!$A$1-Z_R_350!$A$1)*(Z_R_420!P15-Z_R_350!P15)</f>
        <v>6.86</v>
      </c>
      <c r="Q15" s="96">
        <f>Z_R_350!Q15+(Z_R_390!$A$1-Z_R_350!$A$1)/(Z_R_420!$A$1-Z_R_350!$A$1)*(Z_R_420!Q15-Z_R_350!Q15)</f>
        <v>7.19</v>
      </c>
      <c r="R15" s="96">
        <f>Z_R_350!R15+(Z_R_390!$A$1-Z_R_350!$A$1)/(Z_R_420!$A$1-Z_R_350!$A$1)*(Z_R_420!R15-Z_R_350!R15)</f>
        <v>219.52</v>
      </c>
      <c r="S15" s="96">
        <f>Z_R_350!S15+(Z_R_390!$A$1-Z_R_350!$A$1)/(Z_R_420!$A$1-Z_R_350!$A$1)*(Z_R_420!S15-Z_R_350!S15)</f>
        <v>30.73</v>
      </c>
      <c r="T15" s="96">
        <f>Z_R_350!T15+(Z_R_390!$A$1-Z_R_350!$A$1)/(Z_R_420!$A$1-Z_R_350!$A$1)*(Z_R_420!T15-Z_R_350!T15)</f>
        <v>5.52</v>
      </c>
      <c r="U15" s="96">
        <f>Z_R_350!U15+(Z_R_390!$A$1-Z_R_350!$A$1)/(Z_R_420!$A$1-Z_R_350!$A$1)*(Z_R_420!U15-Z_R_350!U15)</f>
        <v>6.86</v>
      </c>
      <c r="V15" s="96">
        <f>Z_R_350!V15+(Z_R_390!$A$1-Z_R_350!$A$1)/(Z_R_420!$A$1-Z_R_350!$A$1)*(Z_R_420!V15-Z_R_350!V15)</f>
        <v>7.1942857142857148</v>
      </c>
      <c r="W15" s="96">
        <f>Z_R_350!W15+(Z_R_390!$A$1-Z_R_350!$A$1)/(Z_R_420!$A$1-Z_R_350!$A$1)*(Z_R_420!W15-Z_R_350!W15)</f>
        <v>67.59</v>
      </c>
      <c r="X15" s="96">
        <f>Z_R_350!X15+(Z_R_390!$A$1-Z_R_350!$A$1)/(Z_R_420!$A$1-Z_R_350!$A$1)*(Z_R_420!X15-Z_R_350!X15)</f>
        <v>10.374285714285714</v>
      </c>
      <c r="Y15" s="96">
        <f>Z_R_350!Y15+(Z_R_390!$A$1-Z_R_350!$A$1)/(Z_R_420!$A$1-Z_R_350!$A$1)*(Z_R_420!Y15-Z_R_350!Y15)</f>
        <v>3.06</v>
      </c>
      <c r="Z15" s="97">
        <f>Z_R_350!Z15+(Z_R_390!$A$1-Z_R_350!$A$1)/(Z_R_420!$A$1-Z_R_350!$A$1)*(Z_R_420!Z15-Z_R_350!Z15)</f>
        <v>5.99</v>
      </c>
      <c r="AB15" s="163">
        <v>5.65</v>
      </c>
      <c r="AC15" s="163">
        <v>6.1</v>
      </c>
      <c r="AD15" s="163">
        <v>2.73</v>
      </c>
      <c r="AE15" s="163">
        <v>7.19</v>
      </c>
      <c r="AF15" s="163">
        <v>219.52</v>
      </c>
      <c r="AG15" s="163">
        <v>30.73</v>
      </c>
      <c r="AH15" s="163">
        <v>5.52</v>
      </c>
      <c r="AI15" s="163">
        <v>6.86</v>
      </c>
      <c r="AJ15" s="163">
        <v>7.19</v>
      </c>
      <c r="AK15" s="163">
        <v>219.52</v>
      </c>
      <c r="AL15" s="163">
        <v>30.73</v>
      </c>
      <c r="AM15" s="163">
        <v>5.52</v>
      </c>
      <c r="AN15" s="163">
        <v>6.86</v>
      </c>
      <c r="AO15" s="163">
        <v>7.2</v>
      </c>
      <c r="AP15" s="163">
        <v>67.59</v>
      </c>
      <c r="AQ15" s="163">
        <v>10.38</v>
      </c>
      <c r="AR15" s="163">
        <v>3.06</v>
      </c>
      <c r="AS15" s="163">
        <v>5.99</v>
      </c>
    </row>
    <row r="16" spans="1:45" ht="15" customHeight="1" thickBot="1" x14ac:dyDescent="0.3">
      <c r="A16" s="73" t="str">
        <f>CONCATENATE(F16,"x",(IF(H16=INT(H16),CONCATENATE(H16,",",0),H16)))</f>
        <v>Z140x3,0</v>
      </c>
      <c r="B16" s="12" t="str">
        <f t="shared" si="7"/>
        <v>140</v>
      </c>
      <c r="C16" s="91">
        <f t="shared" si="8"/>
        <v>59.5</v>
      </c>
      <c r="D16" s="91">
        <f t="shared" si="9"/>
        <v>65.5</v>
      </c>
      <c r="E16" s="91">
        <f t="shared" si="10"/>
        <v>22</v>
      </c>
      <c r="F16" s="135" t="str">
        <f t="shared" si="11"/>
        <v>Z140</v>
      </c>
      <c r="G16" s="82" t="s">
        <v>30</v>
      </c>
      <c r="H16" s="118">
        <v>3</v>
      </c>
      <c r="I16" s="98">
        <v>6.77</v>
      </c>
      <c r="J16" s="98">
        <f>Z_R_350!J16+(Z_R_390!$A$1-Z_R_350!$A$1)/(Z_R_420!$A$1-Z_R_350!$A$1)*(Z_R_420!J16-Z_R_350!J16)</f>
        <v>7.72</v>
      </c>
      <c r="K16" s="98">
        <f>Z_R_350!K16+(Z_R_390!$A$1-Z_R_350!$A$1)/(Z_R_420!$A$1-Z_R_350!$A$1)*(Z_R_420!K16-Z_R_350!K16)</f>
        <v>2.6528571428571426</v>
      </c>
      <c r="L16" s="98">
        <f>Z_R_350!L16+(Z_R_390!$A$1-Z_R_350!$A$1)/(Z_R_420!$A$1-Z_R_350!$A$1)*(Z_R_420!L16-Z_R_350!L16)</f>
        <v>8.6199999999999992</v>
      </c>
      <c r="M16" s="98">
        <f>Z_R_350!M16+(Z_R_390!$A$1-Z_R_350!$A$1)/(Z_R_420!$A$1-Z_R_350!$A$1)*(Z_R_420!M16-Z_R_350!M16)</f>
        <v>260.29000000000002</v>
      </c>
      <c r="N16" s="98">
        <f>Z_R_350!N16+(Z_R_390!$A$1-Z_R_350!$A$1)/(Z_R_420!$A$1-Z_R_350!$A$1)*(Z_R_420!N16-Z_R_350!N16)</f>
        <v>36.44</v>
      </c>
      <c r="O16" s="98">
        <f>Z_R_350!O16+(Z_R_390!$A$1-Z_R_350!$A$1)/(Z_R_420!$A$1-Z_R_350!$A$1)*(Z_R_420!O16-Z_R_350!O16)</f>
        <v>5.49</v>
      </c>
      <c r="P16" s="98">
        <f>Z_R_350!P16+(Z_R_390!$A$1-Z_R_350!$A$1)/(Z_R_420!$A$1-Z_R_350!$A$1)*(Z_R_420!P16-Z_R_350!P16)</f>
        <v>6.86</v>
      </c>
      <c r="Q16" s="98">
        <f>Z_R_350!Q16+(Z_R_390!$A$1-Z_R_350!$A$1)/(Z_R_420!$A$1-Z_R_350!$A$1)*(Z_R_420!Q16-Z_R_350!Q16)</f>
        <v>8.6199999999999992</v>
      </c>
      <c r="R16" s="98">
        <f>Z_R_350!R16+(Z_R_390!$A$1-Z_R_350!$A$1)/(Z_R_420!$A$1-Z_R_350!$A$1)*(Z_R_420!R16-Z_R_350!R16)</f>
        <v>260.29000000000002</v>
      </c>
      <c r="S16" s="98">
        <f>Z_R_350!S16+(Z_R_390!$A$1-Z_R_350!$A$1)/(Z_R_420!$A$1-Z_R_350!$A$1)*(Z_R_420!S16-Z_R_350!S16)</f>
        <v>36.44</v>
      </c>
      <c r="T16" s="98">
        <f>Z_R_350!T16+(Z_R_390!$A$1-Z_R_350!$A$1)/(Z_R_420!$A$1-Z_R_350!$A$1)*(Z_R_420!T16-Z_R_350!T16)</f>
        <v>5.49</v>
      </c>
      <c r="U16" s="98">
        <f>Z_R_350!U16+(Z_R_390!$A$1-Z_R_350!$A$1)/(Z_R_420!$A$1-Z_R_350!$A$1)*(Z_R_420!U16-Z_R_350!U16)</f>
        <v>6.86</v>
      </c>
      <c r="V16" s="98">
        <f>Z_R_350!V16+(Z_R_390!$A$1-Z_R_350!$A$1)/(Z_R_420!$A$1-Z_R_350!$A$1)*(Z_R_420!V16-Z_R_350!V16)</f>
        <v>8.6114285714285703</v>
      </c>
      <c r="W16" s="98">
        <f>Z_R_350!W16+(Z_R_390!$A$1-Z_R_350!$A$1)/(Z_R_420!$A$1-Z_R_350!$A$1)*(Z_R_420!W16-Z_R_350!W16)</f>
        <v>80.67</v>
      </c>
      <c r="X16" s="98">
        <f>Z_R_350!X16+(Z_R_390!$A$1-Z_R_350!$A$1)/(Z_R_420!$A$1-Z_R_350!$A$1)*(Z_R_420!X16-Z_R_350!X16)</f>
        <v>12.354285714285714</v>
      </c>
      <c r="Y16" s="98">
        <f>Z_R_350!Y16+(Z_R_390!$A$1-Z_R_350!$A$1)/(Z_R_420!$A$1-Z_R_350!$A$1)*(Z_R_420!Y16-Z_R_350!Y16)</f>
        <v>3.06</v>
      </c>
      <c r="Z16" s="99">
        <f>Z_R_350!Z16+(Z_R_390!$A$1-Z_R_350!$A$1)/(Z_R_420!$A$1-Z_R_350!$A$1)*(Z_R_420!Z16-Z_R_350!Z16)</f>
        <v>5.96</v>
      </c>
      <c r="AB16" s="163">
        <v>6.77</v>
      </c>
      <c r="AC16" s="163">
        <v>7.72</v>
      </c>
      <c r="AD16" s="163">
        <v>2.66</v>
      </c>
      <c r="AE16" s="163">
        <v>8.6199999999999992</v>
      </c>
      <c r="AF16" s="163">
        <v>260.29000000000002</v>
      </c>
      <c r="AG16" s="163">
        <v>36.44</v>
      </c>
      <c r="AH16" s="163">
        <v>5.49</v>
      </c>
      <c r="AI16" s="163">
        <v>6.86</v>
      </c>
      <c r="AJ16" s="163">
        <v>8.6199999999999992</v>
      </c>
      <c r="AK16" s="163">
        <v>260.29000000000002</v>
      </c>
      <c r="AL16" s="163">
        <v>36.44</v>
      </c>
      <c r="AM16" s="163">
        <v>5.49</v>
      </c>
      <c r="AN16" s="163">
        <v>6.86</v>
      </c>
      <c r="AO16" s="163">
        <v>8.6</v>
      </c>
      <c r="AP16" s="163">
        <v>80.510000000000005</v>
      </c>
      <c r="AQ16" s="163">
        <v>12.36</v>
      </c>
      <c r="AR16" s="163">
        <v>3.06</v>
      </c>
      <c r="AS16" s="163">
        <v>5.96</v>
      </c>
    </row>
    <row r="17" spans="1:45" ht="15" customHeight="1" thickBot="1" x14ac:dyDescent="0.3">
      <c r="A17" s="71" t="str">
        <f t="shared" ref="A17:A35" si="12">CONCATENATE(F17,"x",(IF(H17=INT(H17),CONCATENATE(H17,",",0),H17)))</f>
        <v>Z160x1,0</v>
      </c>
      <c r="B17" s="10" t="str">
        <f t="shared" si="7"/>
        <v>160</v>
      </c>
      <c r="C17" s="88">
        <f t="shared" si="8"/>
        <v>59.5</v>
      </c>
      <c r="D17" s="88">
        <f t="shared" si="9"/>
        <v>65.5</v>
      </c>
      <c r="E17" s="88">
        <f t="shared" si="10"/>
        <v>20</v>
      </c>
      <c r="F17" s="133" t="str">
        <f t="shared" si="11"/>
        <v>Z160</v>
      </c>
      <c r="G17" s="80" t="s">
        <v>31</v>
      </c>
      <c r="H17" s="116">
        <v>1</v>
      </c>
      <c r="I17" s="94">
        <v>2.54</v>
      </c>
      <c r="J17" s="94">
        <f>Z_R_350!J17+(Z_R_390!$A$1-Z_R_350!$A$1)/(Z_R_420!$A$1-Z_R_350!$A$1)*(Z_R_420!J17-Z_R_350!J17)</f>
        <v>1.427142857142857</v>
      </c>
      <c r="K17" s="94">
        <f>Z_R_350!K17+(Z_R_390!$A$1-Z_R_350!$A$1)/(Z_R_420!$A$1-Z_R_350!$A$1)*(Z_R_420!K17-Z_R_350!K17)</f>
        <v>2.9157142857142859</v>
      </c>
      <c r="L17" s="94">
        <f>Z_R_350!L17+(Z_R_390!$A$1-Z_R_350!$A$1)/(Z_R_420!$A$1-Z_R_350!$A$1)*(Z_R_420!L17-Z_R_350!L17)</f>
        <v>2.5842857142857141</v>
      </c>
      <c r="M17" s="94">
        <f>Z_R_350!M17+(Z_R_390!$A$1-Z_R_350!$A$1)/(Z_R_420!$A$1-Z_R_350!$A$1)*(Z_R_420!M17-Z_R_350!M17)</f>
        <v>102.36285714285714</v>
      </c>
      <c r="N17" s="94">
        <f>Z_R_350!N17+(Z_R_390!$A$1-Z_R_350!$A$1)/(Z_R_420!$A$1-Z_R_350!$A$1)*(Z_R_420!N17-Z_R_350!N17)</f>
        <v>10.971428571428572</v>
      </c>
      <c r="O17" s="94">
        <f>Z_R_350!O17+(Z_R_390!$A$1-Z_R_350!$A$1)/(Z_R_420!$A$1-Z_R_350!$A$1)*(Z_R_420!O17-Z_R_350!O17)</f>
        <v>6.2842857142857147</v>
      </c>
      <c r="P17" s="94">
        <f>Z_R_350!P17+(Z_R_390!$A$1-Z_R_350!$A$1)/(Z_R_420!$A$1-Z_R_350!$A$1)*(Z_R_420!P17-Z_R_350!P17)</f>
        <v>6.6714285714285717</v>
      </c>
      <c r="Q17" s="94">
        <f>Z_R_350!Q17+(Z_R_390!$A$1-Z_R_350!$A$1)/(Z_R_420!$A$1-Z_R_350!$A$1)*(Z_R_420!Q17-Z_R_350!Q17)</f>
        <v>2.5342857142857143</v>
      </c>
      <c r="R17" s="94">
        <f>Z_R_350!R17+(Z_R_390!$A$1-Z_R_350!$A$1)/(Z_R_420!$A$1-Z_R_350!$A$1)*(Z_R_420!R17-Z_R_350!R17)</f>
        <v>100.16857142857143</v>
      </c>
      <c r="S17" s="94">
        <f>Z_R_350!S17+(Z_R_390!$A$1-Z_R_350!$A$1)/(Z_R_420!$A$1-Z_R_350!$A$1)*(Z_R_420!S17-Z_R_350!S17)</f>
        <v>10.945714285714287</v>
      </c>
      <c r="T17" s="94">
        <f>Z_R_350!T17+(Z_R_390!$A$1-Z_R_350!$A$1)/(Z_R_420!$A$1-Z_R_350!$A$1)*(Z_R_420!T17-Z_R_350!T17)</f>
        <v>6.274285714285714</v>
      </c>
      <c r="U17" s="94">
        <f>Z_R_350!U17+(Z_R_390!$A$1-Z_R_350!$A$1)/(Z_R_420!$A$1-Z_R_350!$A$1)*(Z_R_420!U17-Z_R_350!U17)</f>
        <v>9.1485714285714277</v>
      </c>
      <c r="V17" s="94">
        <f>Z_R_350!V17+(Z_R_390!$A$1-Z_R_350!$A$1)/(Z_R_420!$A$1-Z_R_350!$A$1)*(Z_R_420!V17-Z_R_350!V17)</f>
        <v>2.8271428571428574</v>
      </c>
      <c r="W17" s="94">
        <f>Z_R_350!W17+(Z_R_390!$A$1-Z_R_350!$A$1)/(Z_R_420!$A$1-Z_R_350!$A$1)*(Z_R_420!W17-Z_R_350!W17)</f>
        <v>22.785714285714285</v>
      </c>
      <c r="X17" s="94">
        <f>Z_R_350!X17+(Z_R_390!$A$1-Z_R_350!$A$1)/(Z_R_420!$A$1-Z_R_350!$A$1)*(Z_R_420!X17-Z_R_350!X17)</f>
        <v>3.3585714285714285</v>
      </c>
      <c r="Y17" s="94">
        <f>Z_R_350!Y17+(Z_R_390!$A$1-Z_R_350!$A$1)/(Z_R_420!$A$1-Z_R_350!$A$1)*(Z_R_420!Y17-Z_R_350!Y17)</f>
        <v>2.8328571428571427</v>
      </c>
      <c r="Z17" s="95">
        <f>Z_R_350!Z17+(Z_R_390!$A$1-Z_R_350!$A$1)/(Z_R_420!$A$1-Z_R_350!$A$1)*(Z_R_420!Z17-Z_R_350!Z17)</f>
        <v>5.6157142857142857</v>
      </c>
      <c r="AB17" s="163">
        <v>2.54</v>
      </c>
      <c r="AC17" s="163">
        <v>1.42</v>
      </c>
      <c r="AD17" s="163">
        <v>2.92</v>
      </c>
      <c r="AE17" s="163">
        <v>2.58</v>
      </c>
      <c r="AF17" s="163">
        <v>102.3</v>
      </c>
      <c r="AG17" s="163">
        <v>10.95</v>
      </c>
      <c r="AH17" s="163">
        <v>6.28</v>
      </c>
      <c r="AI17" s="163">
        <v>6.67</v>
      </c>
      <c r="AJ17" s="163">
        <v>2.52</v>
      </c>
      <c r="AK17" s="163">
        <v>99.5</v>
      </c>
      <c r="AL17" s="163">
        <v>10.81</v>
      </c>
      <c r="AM17" s="163">
        <v>6.29</v>
      </c>
      <c r="AN17" s="163">
        <v>9.1999999999999993</v>
      </c>
      <c r="AO17" s="163">
        <v>2.82</v>
      </c>
      <c r="AP17" s="163">
        <v>22.74</v>
      </c>
      <c r="AQ17" s="163">
        <v>3.35</v>
      </c>
      <c r="AR17" s="163">
        <v>2.83</v>
      </c>
      <c r="AS17" s="163">
        <v>5.62</v>
      </c>
    </row>
    <row r="18" spans="1:45" ht="15" customHeight="1" thickBot="1" x14ac:dyDescent="0.3">
      <c r="A18" s="72" t="str">
        <f t="shared" si="12"/>
        <v>Z160x1,2</v>
      </c>
      <c r="B18" s="11" t="str">
        <f t="shared" si="7"/>
        <v>160</v>
      </c>
      <c r="C18" s="90">
        <f t="shared" si="8"/>
        <v>59.5</v>
      </c>
      <c r="D18" s="90">
        <f t="shared" si="9"/>
        <v>65.5</v>
      </c>
      <c r="E18" s="90">
        <f t="shared" si="10"/>
        <v>20</v>
      </c>
      <c r="F18" s="134" t="str">
        <f t="shared" si="11"/>
        <v>Z160</v>
      </c>
      <c r="G18" s="81" t="s">
        <v>31</v>
      </c>
      <c r="H18" s="117">
        <v>1.2</v>
      </c>
      <c r="I18" s="96">
        <v>3.02</v>
      </c>
      <c r="J18" s="96">
        <f>Z_R_350!J18+(Z_R_390!$A$1-Z_R_350!$A$1)/(Z_R_420!$A$1-Z_R_350!$A$1)*(Z_R_420!J18-Z_R_350!J18)</f>
        <v>1.98</v>
      </c>
      <c r="K18" s="96">
        <f>Z_R_350!K18+(Z_R_390!$A$1-Z_R_350!$A$1)/(Z_R_420!$A$1-Z_R_350!$A$1)*(Z_R_420!K18-Z_R_350!K18)</f>
        <v>2.8757142857142859</v>
      </c>
      <c r="L18" s="96">
        <f>Z_R_350!L18+(Z_R_390!$A$1-Z_R_350!$A$1)/(Z_R_420!$A$1-Z_R_350!$A$1)*(Z_R_420!L18-Z_R_350!L18)</f>
        <v>3.2828571428571429</v>
      </c>
      <c r="M18" s="96">
        <f>Z_R_350!M18+(Z_R_390!$A$1-Z_R_350!$A$1)/(Z_R_420!$A$1-Z_R_350!$A$1)*(Z_R_420!M18-Z_R_350!M18)</f>
        <v>130.75</v>
      </c>
      <c r="N18" s="96">
        <f>Z_R_350!N18+(Z_R_390!$A$1-Z_R_350!$A$1)/(Z_R_420!$A$1-Z_R_350!$A$1)*(Z_R_420!N18-Z_R_350!N18)</f>
        <v>14.617142857142857</v>
      </c>
      <c r="O18" s="96">
        <f>Z_R_350!O18+(Z_R_390!$A$1-Z_R_350!$A$1)/(Z_R_420!$A$1-Z_R_350!$A$1)*(Z_R_420!O18-Z_R_350!O18)</f>
        <v>6.3</v>
      </c>
      <c r="P18" s="96">
        <f>Z_R_350!P18+(Z_R_390!$A$1-Z_R_350!$A$1)/(Z_R_420!$A$1-Z_R_350!$A$1)*(Z_R_420!P18-Z_R_350!P18)</f>
        <v>7.0557142857142852</v>
      </c>
      <c r="Q18" s="96">
        <f>Z_R_350!Q18+(Z_R_390!$A$1-Z_R_350!$A$1)/(Z_R_420!$A$1-Z_R_350!$A$1)*(Z_R_420!Q18-Z_R_350!Q18)</f>
        <v>3.2328571428571427</v>
      </c>
      <c r="R18" s="96">
        <f>Z_R_350!R18+(Z_R_390!$A$1-Z_R_350!$A$1)/(Z_R_420!$A$1-Z_R_350!$A$1)*(Z_R_420!R18-Z_R_350!R18)</f>
        <v>128.05428571428573</v>
      </c>
      <c r="S18" s="96">
        <f>Z_R_350!S18+(Z_R_390!$A$1-Z_R_350!$A$1)/(Z_R_420!$A$1-Z_R_350!$A$1)*(Z_R_420!S18-Z_R_350!S18)</f>
        <v>14.617142857142857</v>
      </c>
      <c r="T18" s="96">
        <f>Z_R_350!T18+(Z_R_390!$A$1-Z_R_350!$A$1)/(Z_R_420!$A$1-Z_R_350!$A$1)*(Z_R_420!T18-Z_R_350!T18)</f>
        <v>6.2842857142857147</v>
      </c>
      <c r="U18" s="96">
        <f>Z_R_350!U18+(Z_R_390!$A$1-Z_R_350!$A$1)/(Z_R_420!$A$1-Z_R_350!$A$1)*(Z_R_420!U18-Z_R_350!U18)</f>
        <v>8.7585714285714289</v>
      </c>
      <c r="V18" s="96">
        <f>Z_R_350!V18+(Z_R_390!$A$1-Z_R_350!$A$1)/(Z_R_420!$A$1-Z_R_350!$A$1)*(Z_R_420!V18-Z_R_350!V18)</f>
        <v>3.4714285714285715</v>
      </c>
      <c r="W18" s="96">
        <f>Z_R_350!W18+(Z_R_390!$A$1-Z_R_350!$A$1)/(Z_R_420!$A$1-Z_R_350!$A$1)*(Z_R_420!W18-Z_R_350!W18)</f>
        <v>29.237142857142857</v>
      </c>
      <c r="X18" s="96">
        <f>Z_R_350!X18+(Z_R_390!$A$1-Z_R_350!$A$1)/(Z_R_420!$A$1-Z_R_350!$A$1)*(Z_R_420!X18-Z_R_350!X18)</f>
        <v>4.395714285714285</v>
      </c>
      <c r="Y18" s="96">
        <f>Z_R_350!Y18+(Z_R_390!$A$1-Z_R_350!$A$1)/(Z_R_420!$A$1-Z_R_350!$A$1)*(Z_R_420!Y18-Z_R_350!Y18)</f>
        <v>2.8928571428571428</v>
      </c>
      <c r="Z18" s="97">
        <f>Z_R_350!Z18+(Z_R_390!$A$1-Z_R_350!$A$1)/(Z_R_420!$A$1-Z_R_350!$A$1)*(Z_R_420!Z18-Z_R_350!Z18)</f>
        <v>5.7357142857142858</v>
      </c>
      <c r="AB18" s="163">
        <v>3.02</v>
      </c>
      <c r="AC18" s="163">
        <v>1.98</v>
      </c>
      <c r="AD18" s="163">
        <v>2.87</v>
      </c>
      <c r="AE18" s="163">
        <v>3.28</v>
      </c>
      <c r="AF18" s="163">
        <v>130.69999999999999</v>
      </c>
      <c r="AG18" s="163">
        <v>14.6</v>
      </c>
      <c r="AH18" s="163">
        <v>6.3</v>
      </c>
      <c r="AI18" s="163">
        <v>7.05</v>
      </c>
      <c r="AJ18" s="163">
        <v>3.19</v>
      </c>
      <c r="AK18" s="163">
        <v>126.8</v>
      </c>
      <c r="AL18" s="163">
        <v>14.36</v>
      </c>
      <c r="AM18" s="163">
        <v>6.31</v>
      </c>
      <c r="AN18" s="163">
        <v>8.83</v>
      </c>
      <c r="AO18" s="163">
        <v>3.47</v>
      </c>
      <c r="AP18" s="163">
        <v>29.22</v>
      </c>
      <c r="AQ18" s="163">
        <v>4.4000000000000004</v>
      </c>
      <c r="AR18" s="163">
        <v>2.89</v>
      </c>
      <c r="AS18" s="163">
        <v>5.74</v>
      </c>
    </row>
    <row r="19" spans="1:45" ht="15" customHeight="1" thickBot="1" x14ac:dyDescent="0.3">
      <c r="A19" s="72" t="str">
        <f t="shared" si="12"/>
        <v>Z160x1,5</v>
      </c>
      <c r="B19" s="11" t="str">
        <f t="shared" si="7"/>
        <v>160</v>
      </c>
      <c r="C19" s="90">
        <f t="shared" si="8"/>
        <v>59.5</v>
      </c>
      <c r="D19" s="90">
        <f t="shared" si="9"/>
        <v>65.5</v>
      </c>
      <c r="E19" s="90">
        <f t="shared" si="10"/>
        <v>20</v>
      </c>
      <c r="F19" s="134" t="str">
        <f t="shared" si="11"/>
        <v>Z160</v>
      </c>
      <c r="G19" s="81" t="s">
        <v>31</v>
      </c>
      <c r="H19" s="117">
        <v>1.5</v>
      </c>
      <c r="I19" s="96">
        <v>3.66</v>
      </c>
      <c r="J19" s="96">
        <f>Z_R_350!J19+(Z_R_390!$A$1-Z_R_350!$A$1)/(Z_R_420!$A$1-Z_R_350!$A$1)*(Z_R_420!J19-Z_R_350!J19)</f>
        <v>2.9357142857142855</v>
      </c>
      <c r="K19" s="96">
        <f>Z_R_350!K19+(Z_R_390!$A$1-Z_R_350!$A$1)/(Z_R_420!$A$1-Z_R_350!$A$1)*(Z_R_420!K19-Z_R_350!K19)</f>
        <v>2.8514285714285714</v>
      </c>
      <c r="L19" s="96">
        <f>Z_R_350!L19+(Z_R_390!$A$1-Z_R_350!$A$1)/(Z_R_420!$A$1-Z_R_350!$A$1)*(Z_R_420!L19-Z_R_350!L19)</f>
        <v>4.3957142857142859</v>
      </c>
      <c r="M19" s="96">
        <f>Z_R_350!M19+(Z_R_390!$A$1-Z_R_350!$A$1)/(Z_R_420!$A$1-Z_R_350!$A$1)*(Z_R_420!M19-Z_R_350!M19)</f>
        <v>174.58857142857144</v>
      </c>
      <c r="N19" s="96">
        <f>Z_R_350!N19+(Z_R_390!$A$1-Z_R_350!$A$1)/(Z_R_420!$A$1-Z_R_350!$A$1)*(Z_R_420!N19-Z_R_350!N19)</f>
        <v>20.534285714285712</v>
      </c>
      <c r="O19" s="96">
        <f>Z_R_350!O19+(Z_R_390!$A$1-Z_R_350!$A$1)/(Z_R_420!$A$1-Z_R_350!$A$1)*(Z_R_420!O19-Z_R_350!O19)</f>
        <v>6.2957142857142854</v>
      </c>
      <c r="P19" s="96">
        <f>Z_R_350!P19+(Z_R_390!$A$1-Z_R_350!$A$1)/(Z_R_420!$A$1-Z_R_350!$A$1)*(Z_R_420!P19-Z_R_350!P19)</f>
        <v>7.4971428571428573</v>
      </c>
      <c r="Q19" s="96">
        <f>Z_R_350!Q19+(Z_R_390!$A$1-Z_R_350!$A$1)/(Z_R_420!$A$1-Z_R_350!$A$1)*(Z_R_420!Q19-Z_R_350!Q19)</f>
        <v>4.37</v>
      </c>
      <c r="R19" s="96">
        <f>Z_R_350!R19+(Z_R_390!$A$1-Z_R_350!$A$1)/(Z_R_420!$A$1-Z_R_350!$A$1)*(Z_R_420!R19-Z_R_350!R19)</f>
        <v>171.7957142857143</v>
      </c>
      <c r="S19" s="96">
        <f>Z_R_350!S19+(Z_R_390!$A$1-Z_R_350!$A$1)/(Z_R_420!$A$1-Z_R_350!$A$1)*(Z_R_420!S19-Z_R_350!S19)</f>
        <v>20.754285714285714</v>
      </c>
      <c r="T19" s="96">
        <f>Z_R_350!T19+(Z_R_390!$A$1-Z_R_350!$A$1)/(Z_R_420!$A$1-Z_R_350!$A$1)*(Z_R_420!T19-Z_R_350!T19)</f>
        <v>6.2657142857142851</v>
      </c>
      <c r="U19" s="96">
        <f>Z_R_350!U19+(Z_R_390!$A$1-Z_R_350!$A$1)/(Z_R_420!$A$1-Z_R_350!$A$1)*(Z_R_420!U19-Z_R_350!U19)</f>
        <v>8.2685714285714287</v>
      </c>
      <c r="V19" s="96">
        <f>Z_R_350!V19+(Z_R_390!$A$1-Z_R_350!$A$1)/(Z_R_420!$A$1-Z_R_350!$A$1)*(Z_R_420!V19-Z_R_350!V19)</f>
        <v>4.6328571428571435</v>
      </c>
      <c r="W19" s="96">
        <f>Z_R_350!W19+(Z_R_390!$A$1-Z_R_350!$A$1)/(Z_R_420!$A$1-Z_R_350!$A$1)*(Z_R_420!W19-Z_R_350!W19)</f>
        <v>41.341428571428565</v>
      </c>
      <c r="X19" s="96">
        <f>Z_R_350!X19+(Z_R_390!$A$1-Z_R_350!$A$1)/(Z_R_420!$A$1-Z_R_350!$A$1)*(Z_R_420!X19-Z_R_350!X19)</f>
        <v>6.4171428571428573</v>
      </c>
      <c r="Y19" s="96">
        <f>Z_R_350!Y19+(Z_R_390!$A$1-Z_R_350!$A$1)/(Z_R_420!$A$1-Z_R_350!$A$1)*(Z_R_420!Y19-Z_R_350!Y19)</f>
        <v>2.9828571428571431</v>
      </c>
      <c r="Z19" s="97">
        <f>Z_R_350!Z19+(Z_R_390!$A$1-Z_R_350!$A$1)/(Z_R_420!$A$1-Z_R_350!$A$1)*(Z_R_420!Z19-Z_R_350!Z19)</f>
        <v>6.0128571428571433</v>
      </c>
      <c r="AB19" s="163">
        <v>3.66</v>
      </c>
      <c r="AC19" s="163">
        <v>2.93</v>
      </c>
      <c r="AD19" s="163">
        <v>2.85</v>
      </c>
      <c r="AE19" s="163">
        <v>4.42</v>
      </c>
      <c r="AF19" s="163">
        <v>175</v>
      </c>
      <c r="AG19" s="163">
        <v>20.63</v>
      </c>
      <c r="AH19" s="163">
        <v>6.29</v>
      </c>
      <c r="AI19" s="163">
        <v>7.52</v>
      </c>
      <c r="AJ19" s="163">
        <v>4.3600000000000003</v>
      </c>
      <c r="AK19" s="163">
        <v>169.3</v>
      </c>
      <c r="AL19" s="163">
        <v>20.18</v>
      </c>
      <c r="AM19" s="163">
        <v>6.31</v>
      </c>
      <c r="AN19" s="163">
        <v>8.39</v>
      </c>
      <c r="AO19" s="163">
        <v>4.6399999999999997</v>
      </c>
      <c r="AP19" s="163">
        <v>41.37</v>
      </c>
      <c r="AQ19" s="163">
        <v>6.38</v>
      </c>
      <c r="AR19" s="163">
        <v>2.98</v>
      </c>
      <c r="AS19" s="163">
        <v>6.31</v>
      </c>
    </row>
    <row r="20" spans="1:45" ht="15" customHeight="1" thickBot="1" x14ac:dyDescent="0.3">
      <c r="A20" s="72" t="str">
        <f t="shared" si="12"/>
        <v>Z160x2,0</v>
      </c>
      <c r="B20" s="11" t="str">
        <f t="shared" si="7"/>
        <v>160</v>
      </c>
      <c r="C20" s="90">
        <f t="shared" si="8"/>
        <v>59.5</v>
      </c>
      <c r="D20" s="90">
        <f t="shared" si="9"/>
        <v>65.5</v>
      </c>
      <c r="E20" s="90">
        <f t="shared" si="10"/>
        <v>20.5</v>
      </c>
      <c r="F20" s="134" t="str">
        <f t="shared" si="11"/>
        <v>Z160</v>
      </c>
      <c r="G20" s="81" t="s">
        <v>32</v>
      </c>
      <c r="H20" s="117">
        <v>2</v>
      </c>
      <c r="I20" s="96">
        <v>4.8600000000000003</v>
      </c>
      <c r="J20" s="96">
        <f>Z_R_350!J20+(Z_R_390!$A$1-Z_R_350!$A$1)/(Z_R_420!$A$1-Z_R_350!$A$1)*(Z_R_420!J20-Z_R_350!J20)</f>
        <v>4.6085714285714285</v>
      </c>
      <c r="K20" s="96">
        <f>Z_R_350!K20+(Z_R_390!$A$1-Z_R_350!$A$1)/(Z_R_420!$A$1-Z_R_350!$A$1)*(Z_R_420!K20-Z_R_350!K20)</f>
        <v>2.7271428571428573</v>
      </c>
      <c r="L20" s="96">
        <f>Z_R_350!L20+(Z_R_390!$A$1-Z_R_350!$A$1)/(Z_R_420!$A$1-Z_R_350!$A$1)*(Z_R_420!L20-Z_R_350!L20)</f>
        <v>6.18</v>
      </c>
      <c r="M20" s="96">
        <f>Z_R_350!M20+(Z_R_390!$A$1-Z_R_350!$A$1)/(Z_R_420!$A$1-Z_R_350!$A$1)*(Z_R_420!M20-Z_R_350!M20)</f>
        <v>243.39</v>
      </c>
      <c r="N20" s="96">
        <f>Z_R_350!N20+(Z_R_390!$A$1-Z_R_350!$A$1)/(Z_R_420!$A$1-Z_R_350!$A$1)*(Z_R_420!N20-Z_R_350!N20)</f>
        <v>29.85</v>
      </c>
      <c r="O20" s="96">
        <f>Z_R_350!O20+(Z_R_390!$A$1-Z_R_350!$A$1)/(Z_R_420!$A$1-Z_R_350!$A$1)*(Z_R_420!O20-Z_R_350!O20)</f>
        <v>6.27</v>
      </c>
      <c r="P20" s="96">
        <f>Z_R_350!P20+(Z_R_390!$A$1-Z_R_350!$A$1)/(Z_R_420!$A$1-Z_R_350!$A$1)*(Z_R_420!P20-Z_R_350!P20)</f>
        <v>7.85</v>
      </c>
      <c r="Q20" s="96">
        <f>Z_R_350!Q20+(Z_R_390!$A$1-Z_R_350!$A$1)/(Z_R_420!$A$1-Z_R_350!$A$1)*(Z_R_420!Q20-Z_R_350!Q20)</f>
        <v>6.1628571428571428</v>
      </c>
      <c r="R20" s="96">
        <f>Z_R_350!R20+(Z_R_390!$A$1-Z_R_350!$A$1)/(Z_R_420!$A$1-Z_R_350!$A$1)*(Z_R_420!R20-Z_R_350!R20)</f>
        <v>242.13285714285715</v>
      </c>
      <c r="S20" s="96">
        <f>Z_R_350!S20+(Z_R_390!$A$1-Z_R_350!$A$1)/(Z_R_420!$A$1-Z_R_350!$A$1)*(Z_R_420!S20-Z_R_350!S20)</f>
        <v>29.792857142857144</v>
      </c>
      <c r="T20" s="96">
        <f>Z_R_350!T20+(Z_R_390!$A$1-Z_R_350!$A$1)/(Z_R_420!$A$1-Z_R_350!$A$1)*(Z_R_420!T20-Z_R_350!T20)</f>
        <v>6.2642857142857142</v>
      </c>
      <c r="U20" s="96">
        <f>Z_R_350!U20+(Z_R_390!$A$1-Z_R_350!$A$1)/(Z_R_420!$A$1-Z_R_350!$A$1)*(Z_R_420!U20-Z_R_350!U20)</f>
        <v>7.8728571428571428</v>
      </c>
      <c r="V20" s="96">
        <f>Z_R_350!V20+(Z_R_390!$A$1-Z_R_350!$A$1)/(Z_R_420!$A$1-Z_R_350!$A$1)*(Z_R_420!V20-Z_R_350!V20)</f>
        <v>6.161428571428571</v>
      </c>
      <c r="W20" s="96">
        <f>Z_R_350!W20+(Z_R_390!$A$1-Z_R_350!$A$1)/(Z_R_420!$A$1-Z_R_350!$A$1)*(Z_R_420!W20-Z_R_350!W20)</f>
        <v>54.724285714285713</v>
      </c>
      <c r="X20" s="96">
        <f>Z_R_350!X20+(Z_R_390!$A$1-Z_R_350!$A$1)/(Z_R_420!$A$1-Z_R_350!$A$1)*(Z_R_420!X20-Z_R_350!X20)</f>
        <v>8.4642857142857153</v>
      </c>
      <c r="Y20" s="96">
        <f>Z_R_350!Y20+(Z_R_390!$A$1-Z_R_350!$A$1)/(Z_R_420!$A$1-Z_R_350!$A$1)*(Z_R_420!Y20-Z_R_350!Y20)</f>
        <v>2.98</v>
      </c>
      <c r="Z20" s="97">
        <f>Z_R_350!Z20+(Z_R_390!$A$1-Z_R_350!$A$1)/(Z_R_420!$A$1-Z_R_350!$A$1)*(Z_R_420!Z20-Z_R_350!Z20)</f>
        <v>5.9885714285714284</v>
      </c>
      <c r="AB20" s="163">
        <v>4.8600000000000003</v>
      </c>
      <c r="AC20" s="163">
        <v>4.62</v>
      </c>
      <c r="AD20" s="163">
        <v>2.73</v>
      </c>
      <c r="AE20" s="163">
        <v>6.18</v>
      </c>
      <c r="AF20" s="163">
        <v>243.39</v>
      </c>
      <c r="AG20" s="163">
        <v>29.85</v>
      </c>
      <c r="AH20" s="163">
        <v>6.27</v>
      </c>
      <c r="AI20" s="163">
        <v>7.85</v>
      </c>
      <c r="AJ20" s="163">
        <v>6.18</v>
      </c>
      <c r="AK20" s="163">
        <v>243.39</v>
      </c>
      <c r="AL20" s="163">
        <v>29.85</v>
      </c>
      <c r="AM20" s="163">
        <v>6.27</v>
      </c>
      <c r="AN20" s="163">
        <v>7.85</v>
      </c>
      <c r="AO20" s="163">
        <v>6.19</v>
      </c>
      <c r="AP20" s="163">
        <v>55.01</v>
      </c>
      <c r="AQ20" s="163">
        <v>8.4700000000000006</v>
      </c>
      <c r="AR20" s="163">
        <v>2.98</v>
      </c>
      <c r="AS20" s="163">
        <v>6</v>
      </c>
    </row>
    <row r="21" spans="1:45" ht="15" customHeight="1" thickBot="1" x14ac:dyDescent="0.3">
      <c r="A21" s="72" t="str">
        <f t="shared" si="12"/>
        <v>Z160x2,5</v>
      </c>
      <c r="B21" s="11" t="str">
        <f t="shared" si="7"/>
        <v>160</v>
      </c>
      <c r="C21" s="90">
        <f t="shared" si="8"/>
        <v>59.5</v>
      </c>
      <c r="D21" s="90">
        <f t="shared" si="9"/>
        <v>65.5</v>
      </c>
      <c r="E21" s="90">
        <f t="shared" si="10"/>
        <v>21</v>
      </c>
      <c r="F21" s="134" t="str">
        <f t="shared" si="11"/>
        <v>Z160</v>
      </c>
      <c r="G21" s="81" t="s">
        <v>33</v>
      </c>
      <c r="H21" s="117">
        <v>2.5</v>
      </c>
      <c r="I21" s="96">
        <v>6.04</v>
      </c>
      <c r="J21" s="96">
        <f>Z_R_350!J21+(Z_R_390!$A$1-Z_R_350!$A$1)/(Z_R_420!$A$1-Z_R_350!$A$1)*(Z_R_420!J21-Z_R_350!J21)</f>
        <v>6.1628571428571428</v>
      </c>
      <c r="K21" s="96">
        <f>Z_R_350!K21+(Z_R_390!$A$1-Z_R_350!$A$1)/(Z_R_420!$A$1-Z_R_350!$A$1)*(Z_R_420!K21-Z_R_350!K21)</f>
        <v>2.617142857142857</v>
      </c>
      <c r="L21" s="96">
        <f>Z_R_350!L21+(Z_R_390!$A$1-Z_R_350!$A$1)/(Z_R_420!$A$1-Z_R_350!$A$1)*(Z_R_420!L21-Z_R_350!L21)</f>
        <v>7.69</v>
      </c>
      <c r="M21" s="96">
        <f>Z_R_350!M21+(Z_R_390!$A$1-Z_R_350!$A$1)/(Z_R_420!$A$1-Z_R_350!$A$1)*(Z_R_420!M21-Z_R_350!M21)</f>
        <v>300.24</v>
      </c>
      <c r="N21" s="96">
        <f>Z_R_350!N21+(Z_R_390!$A$1-Z_R_350!$A$1)/(Z_R_420!$A$1-Z_R_350!$A$1)*(Z_R_420!N21-Z_R_350!N21)</f>
        <v>36.82</v>
      </c>
      <c r="O21" s="96">
        <f>Z_R_350!O21+(Z_R_390!$A$1-Z_R_350!$A$1)/(Z_R_420!$A$1-Z_R_350!$A$1)*(Z_R_420!O21-Z_R_350!O21)</f>
        <v>6.24</v>
      </c>
      <c r="P21" s="96">
        <f>Z_R_350!P21+(Z_R_390!$A$1-Z_R_350!$A$1)/(Z_R_420!$A$1-Z_R_350!$A$1)*(Z_R_420!P21-Z_R_350!P21)</f>
        <v>7.85</v>
      </c>
      <c r="Q21" s="96">
        <f>Z_R_350!Q21+(Z_R_390!$A$1-Z_R_350!$A$1)/(Z_R_420!$A$1-Z_R_350!$A$1)*(Z_R_420!Q21-Z_R_350!Q21)</f>
        <v>7.69</v>
      </c>
      <c r="R21" s="96">
        <f>Z_R_350!R21+(Z_R_390!$A$1-Z_R_350!$A$1)/(Z_R_420!$A$1-Z_R_350!$A$1)*(Z_R_420!R21-Z_R_350!R21)</f>
        <v>300.24</v>
      </c>
      <c r="S21" s="96">
        <f>Z_R_350!S21+(Z_R_390!$A$1-Z_R_350!$A$1)/(Z_R_420!$A$1-Z_R_350!$A$1)*(Z_R_420!S21-Z_R_350!S21)</f>
        <v>36.82</v>
      </c>
      <c r="T21" s="96">
        <f>Z_R_350!T21+(Z_R_390!$A$1-Z_R_350!$A$1)/(Z_R_420!$A$1-Z_R_350!$A$1)*(Z_R_420!T21-Z_R_350!T21)</f>
        <v>6.24</v>
      </c>
      <c r="U21" s="96">
        <f>Z_R_350!U21+(Z_R_390!$A$1-Z_R_350!$A$1)/(Z_R_420!$A$1-Z_R_350!$A$1)*(Z_R_420!U21-Z_R_350!U21)</f>
        <v>7.85</v>
      </c>
      <c r="V21" s="96">
        <f>Z_R_350!V21+(Z_R_390!$A$1-Z_R_350!$A$1)/(Z_R_420!$A$1-Z_R_350!$A$1)*(Z_R_420!V21-Z_R_350!V21)</f>
        <v>7.6942857142857148</v>
      </c>
      <c r="W21" s="96">
        <f>Z_R_350!W21+(Z_R_390!$A$1-Z_R_350!$A$1)/(Z_R_420!$A$1-Z_R_350!$A$1)*(Z_R_420!W21-Z_R_350!W21)</f>
        <v>67.599999999999994</v>
      </c>
      <c r="X21" s="96">
        <f>Z_R_350!X21+(Z_R_390!$A$1-Z_R_350!$A$1)/(Z_R_420!$A$1-Z_R_350!$A$1)*(Z_R_420!X21-Z_R_350!X21)</f>
        <v>10.36</v>
      </c>
      <c r="Y21" s="96">
        <f>Z_R_350!Y21+(Z_R_390!$A$1-Z_R_350!$A$1)/(Z_R_420!$A$1-Z_R_350!$A$1)*(Z_R_420!Y21-Z_R_350!Y21)</f>
        <v>2.96</v>
      </c>
      <c r="Z21" s="97">
        <f>Z_R_350!Z21+(Z_R_390!$A$1-Z_R_350!$A$1)/(Z_R_420!$A$1-Z_R_350!$A$1)*(Z_R_420!Z21-Z_R_350!Z21)</f>
        <v>5.98</v>
      </c>
      <c r="AB21" s="163">
        <v>6.04</v>
      </c>
      <c r="AC21" s="163">
        <v>6.16</v>
      </c>
      <c r="AD21" s="163">
        <v>2.62</v>
      </c>
      <c r="AE21" s="163">
        <v>7.69</v>
      </c>
      <c r="AF21" s="163">
        <v>300.24</v>
      </c>
      <c r="AG21" s="163">
        <v>36.82</v>
      </c>
      <c r="AH21" s="163">
        <v>6.24</v>
      </c>
      <c r="AI21" s="163">
        <v>7.85</v>
      </c>
      <c r="AJ21" s="163">
        <v>7.69</v>
      </c>
      <c r="AK21" s="163">
        <v>300.24</v>
      </c>
      <c r="AL21" s="163">
        <v>36.82</v>
      </c>
      <c r="AM21" s="163">
        <v>6.24</v>
      </c>
      <c r="AN21" s="163">
        <v>7.85</v>
      </c>
      <c r="AO21" s="163">
        <v>7.7</v>
      </c>
      <c r="AP21" s="163">
        <v>67.599999999999994</v>
      </c>
      <c r="AQ21" s="163">
        <v>10.36</v>
      </c>
      <c r="AR21" s="163">
        <v>2.96</v>
      </c>
      <c r="AS21" s="163">
        <v>5.98</v>
      </c>
    </row>
    <row r="22" spans="1:45" ht="15" customHeight="1" thickBot="1" x14ac:dyDescent="0.3">
      <c r="A22" s="73" t="str">
        <f t="shared" si="12"/>
        <v>Z160x3,0</v>
      </c>
      <c r="B22" s="12" t="str">
        <f t="shared" si="7"/>
        <v>160</v>
      </c>
      <c r="C22" s="91">
        <f t="shared" si="8"/>
        <v>59.5</v>
      </c>
      <c r="D22" s="91">
        <f t="shared" si="9"/>
        <v>65.5</v>
      </c>
      <c r="E22" s="91">
        <f t="shared" si="10"/>
        <v>22</v>
      </c>
      <c r="F22" s="135" t="str">
        <f t="shared" si="11"/>
        <v>Z160</v>
      </c>
      <c r="G22" s="82" t="s">
        <v>34</v>
      </c>
      <c r="H22" s="118">
        <v>3</v>
      </c>
      <c r="I22" s="98">
        <v>7.24</v>
      </c>
      <c r="J22" s="98">
        <f>Z_R_350!J22+(Z_R_390!$A$1-Z_R_350!$A$1)/(Z_R_420!$A$1-Z_R_350!$A$1)*(Z_R_420!J22-Z_R_350!J22)</f>
        <v>7.8285714285714292</v>
      </c>
      <c r="K22" s="98">
        <f>Z_R_350!K22+(Z_R_390!$A$1-Z_R_350!$A$1)/(Z_R_420!$A$1-Z_R_350!$A$1)*(Z_R_420!K22-Z_R_350!K22)</f>
        <v>2.5328571428571425</v>
      </c>
      <c r="L22" s="98">
        <f>Z_R_350!L22+(Z_R_390!$A$1-Z_R_350!$A$1)/(Z_R_420!$A$1-Z_R_350!$A$1)*(Z_R_420!L22-Z_R_350!L22)</f>
        <v>9.2200000000000006</v>
      </c>
      <c r="M22" s="98">
        <f>Z_R_350!M22+(Z_R_390!$A$1-Z_R_350!$A$1)/(Z_R_420!$A$1-Z_R_350!$A$1)*(Z_R_420!M22-Z_R_350!M22)</f>
        <v>356.55</v>
      </c>
      <c r="N22" s="98">
        <f>Z_R_350!N22+(Z_R_390!$A$1-Z_R_350!$A$1)/(Z_R_420!$A$1-Z_R_350!$A$1)*(Z_R_420!N22-Z_R_350!N22)</f>
        <v>43.73</v>
      </c>
      <c r="O22" s="98">
        <f>Z_R_350!O22+(Z_R_390!$A$1-Z_R_350!$A$1)/(Z_R_420!$A$1-Z_R_350!$A$1)*(Z_R_420!O22-Z_R_350!O22)</f>
        <v>6.21</v>
      </c>
      <c r="P22" s="98">
        <f>Z_R_350!P22+(Z_R_390!$A$1-Z_R_350!$A$1)/(Z_R_420!$A$1-Z_R_350!$A$1)*(Z_R_420!P22-Z_R_350!P22)</f>
        <v>7.85</v>
      </c>
      <c r="Q22" s="98">
        <f>Z_R_350!Q22+(Z_R_390!$A$1-Z_R_350!$A$1)/(Z_R_420!$A$1-Z_R_350!$A$1)*(Z_R_420!Q22-Z_R_350!Q22)</f>
        <v>9.2200000000000006</v>
      </c>
      <c r="R22" s="98">
        <f>Z_R_350!R22+(Z_R_390!$A$1-Z_R_350!$A$1)/(Z_R_420!$A$1-Z_R_350!$A$1)*(Z_R_420!R22-Z_R_350!R22)</f>
        <v>356.55</v>
      </c>
      <c r="S22" s="98">
        <f>Z_R_350!S22+(Z_R_390!$A$1-Z_R_350!$A$1)/(Z_R_420!$A$1-Z_R_350!$A$1)*(Z_R_420!S22-Z_R_350!S22)</f>
        <v>43.73</v>
      </c>
      <c r="T22" s="98">
        <f>Z_R_350!T22+(Z_R_390!$A$1-Z_R_350!$A$1)/(Z_R_420!$A$1-Z_R_350!$A$1)*(Z_R_420!T22-Z_R_350!T22)</f>
        <v>6.21</v>
      </c>
      <c r="U22" s="98">
        <f>Z_R_350!U22+(Z_R_390!$A$1-Z_R_350!$A$1)/(Z_R_420!$A$1-Z_R_350!$A$1)*(Z_R_420!U22-Z_R_350!U22)</f>
        <v>7.85</v>
      </c>
      <c r="V22" s="98">
        <f>Z_R_350!V22+(Z_R_390!$A$1-Z_R_350!$A$1)/(Z_R_420!$A$1-Z_R_350!$A$1)*(Z_R_420!V22-Z_R_350!V22)</f>
        <v>9.2114285714285717</v>
      </c>
      <c r="W22" s="98">
        <f>Z_R_350!W22+(Z_R_390!$A$1-Z_R_350!$A$1)/(Z_R_420!$A$1-Z_R_350!$A$1)*(Z_R_420!W22-Z_R_350!W22)</f>
        <v>80.71142857142857</v>
      </c>
      <c r="X22" s="98">
        <f>Z_R_350!X22+(Z_R_390!$A$1-Z_R_350!$A$1)/(Z_R_420!$A$1-Z_R_350!$A$1)*(Z_R_420!X22-Z_R_350!X22)</f>
        <v>12.34</v>
      </c>
      <c r="Y22" s="98">
        <f>Z_R_350!Y22+(Z_R_390!$A$1-Z_R_350!$A$1)/(Z_R_420!$A$1-Z_R_350!$A$1)*(Z_R_420!Y22-Z_R_350!Y22)</f>
        <v>2.95</v>
      </c>
      <c r="Z22" s="99">
        <f>Z_R_350!Z22+(Z_R_390!$A$1-Z_R_350!$A$1)/(Z_R_420!$A$1-Z_R_350!$A$1)*(Z_R_420!Z22-Z_R_350!Z22)</f>
        <v>5.95</v>
      </c>
      <c r="AB22" s="163">
        <v>7.24</v>
      </c>
      <c r="AC22" s="163">
        <v>7.83</v>
      </c>
      <c r="AD22" s="163">
        <v>2.54</v>
      </c>
      <c r="AE22" s="163">
        <v>9.2200000000000006</v>
      </c>
      <c r="AF22" s="163">
        <v>356.55</v>
      </c>
      <c r="AG22" s="163">
        <v>43.73</v>
      </c>
      <c r="AH22" s="163">
        <v>6.21</v>
      </c>
      <c r="AI22" s="163">
        <v>7.85</v>
      </c>
      <c r="AJ22" s="163">
        <v>9.2200000000000006</v>
      </c>
      <c r="AK22" s="163">
        <v>356.55</v>
      </c>
      <c r="AL22" s="163">
        <v>43.73</v>
      </c>
      <c r="AM22" s="163">
        <v>6.21</v>
      </c>
      <c r="AN22" s="163">
        <v>7.85</v>
      </c>
      <c r="AO22" s="163">
        <v>9.1999999999999993</v>
      </c>
      <c r="AP22" s="163">
        <v>80.58</v>
      </c>
      <c r="AQ22" s="163">
        <v>12.34</v>
      </c>
      <c r="AR22" s="163">
        <v>2.95</v>
      </c>
      <c r="AS22" s="163">
        <v>5.95</v>
      </c>
    </row>
    <row r="23" spans="1:45" ht="15" customHeight="1" thickBot="1" x14ac:dyDescent="0.3">
      <c r="A23" s="71" t="str">
        <f t="shared" si="12"/>
        <v>Z200x1,0</v>
      </c>
      <c r="B23" s="10" t="str">
        <f t="shared" si="7"/>
        <v>200</v>
      </c>
      <c r="C23" s="88">
        <f t="shared" si="8"/>
        <v>59.5</v>
      </c>
      <c r="D23" s="88">
        <f t="shared" si="9"/>
        <v>65.5</v>
      </c>
      <c r="E23" s="88">
        <f t="shared" si="10"/>
        <v>20</v>
      </c>
      <c r="F23" s="133" t="str">
        <f t="shared" si="11"/>
        <v>Z200</v>
      </c>
      <c r="G23" s="80" t="s">
        <v>35</v>
      </c>
      <c r="H23" s="116">
        <v>1</v>
      </c>
      <c r="I23" s="94">
        <v>2.87</v>
      </c>
      <c r="J23" s="94">
        <f>Z_R_350!J23+(Z_R_390!$A$1-Z_R_350!$A$1)/(Z_R_420!$A$1-Z_R_350!$A$1)*(Z_R_420!J23-Z_R_350!J23)</f>
        <v>1.427142857142857</v>
      </c>
      <c r="K23" s="94">
        <f>Z_R_350!K23+(Z_R_390!$A$1-Z_R_350!$A$1)/(Z_R_420!$A$1-Z_R_350!$A$1)*(Z_R_420!K23-Z_R_350!K23)</f>
        <v>2.7014285714285715</v>
      </c>
      <c r="L23" s="94">
        <f>Z_R_350!L23+(Z_R_390!$A$1-Z_R_350!$A$1)/(Z_R_420!$A$1-Z_R_350!$A$1)*(Z_R_420!L23-Z_R_350!L23)</f>
        <v>2.7842857142857143</v>
      </c>
      <c r="M23" s="94">
        <f>Z_R_350!M23+(Z_R_390!$A$1-Z_R_350!$A$1)/(Z_R_420!$A$1-Z_R_350!$A$1)*(Z_R_420!M23-Z_R_350!M23)</f>
        <v>166.62285714285716</v>
      </c>
      <c r="N23" s="94">
        <f>Z_R_350!N23+(Z_R_390!$A$1-Z_R_350!$A$1)/(Z_R_420!$A$1-Z_R_350!$A$1)*(Z_R_420!N23-Z_R_350!N23)</f>
        <v>14.005714285714285</v>
      </c>
      <c r="O23" s="94">
        <f>Z_R_350!O23+(Z_R_390!$A$1-Z_R_350!$A$1)/(Z_R_420!$A$1-Z_R_350!$A$1)*(Z_R_420!O23-Z_R_350!O23)</f>
        <v>7.7228571428571433</v>
      </c>
      <c r="P23" s="94">
        <f>Z_R_350!P23+(Z_R_390!$A$1-Z_R_350!$A$1)/(Z_R_420!$A$1-Z_R_350!$A$1)*(Z_R_420!P23-Z_R_350!P23)</f>
        <v>8.1042857142857141</v>
      </c>
      <c r="Q23" s="94">
        <f>Z_R_350!Q23+(Z_R_390!$A$1-Z_R_350!$A$1)/(Z_R_420!$A$1-Z_R_350!$A$1)*(Z_R_420!Q23-Z_R_350!Q23)</f>
        <v>2.7442857142857142</v>
      </c>
      <c r="R23" s="94">
        <f>Z_R_350!R23+(Z_R_390!$A$1-Z_R_350!$A$1)/(Z_R_420!$A$1-Z_R_350!$A$1)*(Z_R_420!R23-Z_R_350!R23)</f>
        <v>163.45857142857145</v>
      </c>
      <c r="S23" s="94">
        <f>Z_R_350!S23+(Z_R_390!$A$1-Z_R_350!$A$1)/(Z_R_420!$A$1-Z_R_350!$A$1)*(Z_R_420!S23-Z_R_350!S23)</f>
        <v>13.984285714285715</v>
      </c>
      <c r="T23" s="94">
        <f>Z_R_350!T23+(Z_R_390!$A$1-Z_R_350!$A$1)/(Z_R_420!$A$1-Z_R_350!$A$1)*(Z_R_420!T23-Z_R_350!T23)</f>
        <v>7.7128571428571435</v>
      </c>
      <c r="U23" s="94">
        <f>Z_R_350!U23+(Z_R_390!$A$1-Z_R_350!$A$1)/(Z_R_420!$A$1-Z_R_350!$A$1)*(Z_R_420!U23-Z_R_350!U23)</f>
        <v>11.69142857142857</v>
      </c>
      <c r="V23" s="94">
        <f>Z_R_350!V23+(Z_R_390!$A$1-Z_R_350!$A$1)/(Z_R_420!$A$1-Z_R_350!$A$1)*(Z_R_420!V23-Z_R_350!V23)</f>
        <v>3.2271428571428573</v>
      </c>
      <c r="W23" s="94">
        <f>Z_R_350!W23+(Z_R_390!$A$1-Z_R_350!$A$1)/(Z_R_420!$A$1-Z_R_350!$A$1)*(Z_R_420!W23-Z_R_350!W23)</f>
        <v>22.817142857142859</v>
      </c>
      <c r="X23" s="94">
        <f>Z_R_350!X23+(Z_R_390!$A$1-Z_R_350!$A$1)/(Z_R_420!$A$1-Z_R_350!$A$1)*(Z_R_420!X23-Z_R_350!X23)</f>
        <v>3.3785714285714286</v>
      </c>
      <c r="Y23" s="94">
        <f>Z_R_350!Y23+(Z_R_390!$A$1-Z_R_350!$A$1)/(Z_R_420!$A$1-Z_R_350!$A$1)*(Z_R_420!Y23-Z_R_350!Y23)</f>
        <v>2.652857142857143</v>
      </c>
      <c r="Z23" s="95">
        <f>Z_R_350!Z23+(Z_R_390!$A$1-Z_R_350!$A$1)/(Z_R_420!$A$1-Z_R_350!$A$1)*(Z_R_420!Z23-Z_R_350!Z23)</f>
        <v>5.6557142857142857</v>
      </c>
      <c r="AB23" s="163">
        <v>2.87</v>
      </c>
      <c r="AC23" s="163">
        <v>1.43</v>
      </c>
      <c r="AD23" s="163">
        <v>2.69</v>
      </c>
      <c r="AE23" s="163">
        <v>2.78</v>
      </c>
      <c r="AF23" s="163">
        <v>166.5</v>
      </c>
      <c r="AG23" s="163">
        <v>13.99</v>
      </c>
      <c r="AH23" s="163">
        <v>7.72</v>
      </c>
      <c r="AI23" s="163">
        <v>8.1</v>
      </c>
      <c r="AJ23" s="163">
        <v>2.72</v>
      </c>
      <c r="AK23" s="163">
        <v>162.5</v>
      </c>
      <c r="AL23" s="163">
        <v>13.85</v>
      </c>
      <c r="AM23" s="163">
        <v>7.72</v>
      </c>
      <c r="AN23" s="163">
        <v>11.73</v>
      </c>
      <c r="AO23" s="163">
        <v>3.22</v>
      </c>
      <c r="AP23" s="163">
        <v>22.77</v>
      </c>
      <c r="AQ23" s="163">
        <v>3.37</v>
      </c>
      <c r="AR23" s="163">
        <v>2.65</v>
      </c>
      <c r="AS23" s="163">
        <v>5.65</v>
      </c>
    </row>
    <row r="24" spans="1:45" ht="15" customHeight="1" thickBot="1" x14ac:dyDescent="0.3">
      <c r="A24" s="72" t="str">
        <f t="shared" si="12"/>
        <v>Z200x1,2</v>
      </c>
      <c r="B24" s="11" t="str">
        <f t="shared" si="7"/>
        <v>200</v>
      </c>
      <c r="C24" s="90">
        <f t="shared" si="8"/>
        <v>59.5</v>
      </c>
      <c r="D24" s="90">
        <f t="shared" si="9"/>
        <v>65.5</v>
      </c>
      <c r="E24" s="90">
        <f t="shared" si="10"/>
        <v>20</v>
      </c>
      <c r="F24" s="134" t="str">
        <f t="shared" si="11"/>
        <v>Z200</v>
      </c>
      <c r="G24" s="81" t="s">
        <v>35</v>
      </c>
      <c r="H24" s="117">
        <v>1.2</v>
      </c>
      <c r="I24" s="96">
        <v>3.41</v>
      </c>
      <c r="J24" s="96">
        <f>Z_R_350!J24+(Z_R_390!$A$1-Z_R_350!$A$1)/(Z_R_420!$A$1-Z_R_350!$A$1)*(Z_R_420!J24-Z_R_350!J24)</f>
        <v>1.9942857142857142</v>
      </c>
      <c r="K24" s="96">
        <f>Z_R_350!K24+(Z_R_390!$A$1-Z_R_350!$A$1)/(Z_R_420!$A$1-Z_R_350!$A$1)*(Z_R_420!K24-Z_R_350!K24)</f>
        <v>2.6514285714285717</v>
      </c>
      <c r="L24" s="96">
        <f>Z_R_350!L24+(Z_R_390!$A$1-Z_R_350!$A$1)/(Z_R_420!$A$1-Z_R_350!$A$1)*(Z_R_420!L24-Z_R_350!L24)</f>
        <v>3.5328571428571429</v>
      </c>
      <c r="M24" s="96">
        <f>Z_R_350!M24+(Z_R_390!$A$1-Z_R_350!$A$1)/(Z_R_420!$A$1-Z_R_350!$A$1)*(Z_R_420!M24-Z_R_350!M24)</f>
        <v>213.30714285714285</v>
      </c>
      <c r="N24" s="96">
        <f>Z_R_350!N24+(Z_R_390!$A$1-Z_R_350!$A$1)/(Z_R_420!$A$1-Z_R_350!$A$1)*(Z_R_420!N24-Z_R_350!N24)</f>
        <v>18.662857142857142</v>
      </c>
      <c r="O24" s="96">
        <f>Z_R_350!O24+(Z_R_390!$A$1-Z_R_350!$A$1)/(Z_R_420!$A$1-Z_R_350!$A$1)*(Z_R_420!O24-Z_R_350!O24)</f>
        <v>7.758571428571428</v>
      </c>
      <c r="P24" s="96">
        <f>Z_R_350!P24+(Z_R_390!$A$1-Z_R_350!$A$1)/(Z_R_420!$A$1-Z_R_350!$A$1)*(Z_R_420!P24-Z_R_350!P24)</f>
        <v>8.5685714285714294</v>
      </c>
      <c r="Q24" s="96">
        <f>Z_R_350!Q24+(Z_R_390!$A$1-Z_R_350!$A$1)/(Z_R_420!$A$1-Z_R_350!$A$1)*(Z_R_420!Q24-Z_R_350!Q24)</f>
        <v>3.4871428571428571</v>
      </c>
      <c r="R24" s="96">
        <f>Z_R_350!R24+(Z_R_390!$A$1-Z_R_350!$A$1)/(Z_R_420!$A$1-Z_R_350!$A$1)*(Z_R_420!R24-Z_R_350!R24)</f>
        <v>209.48142857142858</v>
      </c>
      <c r="S24" s="96">
        <f>Z_R_350!S24+(Z_R_390!$A$1-Z_R_350!$A$1)/(Z_R_420!$A$1-Z_R_350!$A$1)*(Z_R_420!S24-Z_R_350!S24)</f>
        <v>18.667142857142856</v>
      </c>
      <c r="T24" s="96">
        <f>Z_R_350!T24+(Z_R_390!$A$1-Z_R_350!$A$1)/(Z_R_420!$A$1-Z_R_350!$A$1)*(Z_R_420!T24-Z_R_350!T24)</f>
        <v>7.7442857142857147</v>
      </c>
      <c r="U24" s="96">
        <f>Z_R_350!U24+(Z_R_390!$A$1-Z_R_350!$A$1)/(Z_R_420!$A$1-Z_R_350!$A$1)*(Z_R_420!U24-Z_R_350!U24)</f>
        <v>11.221428571428572</v>
      </c>
      <c r="V24" s="96">
        <f>Z_R_350!V24+(Z_R_390!$A$1-Z_R_350!$A$1)/(Z_R_420!$A$1-Z_R_350!$A$1)*(Z_R_420!V24-Z_R_350!V24)</f>
        <v>3.9514285714285715</v>
      </c>
      <c r="W24" s="96">
        <f>Z_R_350!W24+(Z_R_390!$A$1-Z_R_350!$A$1)/(Z_R_420!$A$1-Z_R_350!$A$1)*(Z_R_420!W24-Z_R_350!W24)</f>
        <v>29.252857142857142</v>
      </c>
      <c r="X24" s="96">
        <f>Z_R_350!X24+(Z_R_390!$A$1-Z_R_350!$A$1)/(Z_R_420!$A$1-Z_R_350!$A$1)*(Z_R_420!X24-Z_R_350!X24)</f>
        <v>4.41</v>
      </c>
      <c r="Y24" s="96">
        <f>Z_R_350!Y24+(Z_R_390!$A$1-Z_R_350!$A$1)/(Z_R_420!$A$1-Z_R_350!$A$1)*(Z_R_420!Y24-Z_R_350!Y24)</f>
        <v>2.7128571428571431</v>
      </c>
      <c r="Z24" s="97">
        <f>Z_R_350!Z24+(Z_R_390!$A$1-Z_R_350!$A$1)/(Z_R_420!$A$1-Z_R_350!$A$1)*(Z_R_420!Z24-Z_R_350!Z24)</f>
        <v>5.7557142857142862</v>
      </c>
      <c r="AB24" s="163">
        <v>3.41</v>
      </c>
      <c r="AC24" s="163">
        <v>1.99</v>
      </c>
      <c r="AD24" s="163">
        <v>2.65</v>
      </c>
      <c r="AE24" s="163">
        <v>3.53</v>
      </c>
      <c r="AF24" s="163">
        <v>213.2</v>
      </c>
      <c r="AG24" s="163">
        <v>18.63</v>
      </c>
      <c r="AH24" s="163">
        <v>7.76</v>
      </c>
      <c r="AI24" s="163">
        <v>8.56</v>
      </c>
      <c r="AJ24" s="163">
        <v>3.45</v>
      </c>
      <c r="AK24" s="163">
        <v>207.8</v>
      </c>
      <c r="AL24" s="163">
        <v>18.41</v>
      </c>
      <c r="AM24" s="163">
        <v>7.76</v>
      </c>
      <c r="AN24" s="163">
        <v>11.29</v>
      </c>
      <c r="AO24" s="163">
        <v>3.95</v>
      </c>
      <c r="AP24" s="163">
        <v>29.23</v>
      </c>
      <c r="AQ24" s="163">
        <v>4.41</v>
      </c>
      <c r="AR24" s="163">
        <v>2.71</v>
      </c>
      <c r="AS24" s="163">
        <v>5.76</v>
      </c>
    </row>
    <row r="25" spans="1:45" ht="15" customHeight="1" thickBot="1" x14ac:dyDescent="0.3">
      <c r="A25" s="72" t="str">
        <f t="shared" si="12"/>
        <v>Z200x1,5</v>
      </c>
      <c r="B25" s="11" t="str">
        <f t="shared" si="7"/>
        <v>200</v>
      </c>
      <c r="C25" s="90">
        <f t="shared" si="8"/>
        <v>59.5</v>
      </c>
      <c r="D25" s="90">
        <f t="shared" si="9"/>
        <v>65.5</v>
      </c>
      <c r="E25" s="90">
        <f t="shared" si="10"/>
        <v>20</v>
      </c>
      <c r="F25" s="134" t="str">
        <f t="shared" si="11"/>
        <v>Z200</v>
      </c>
      <c r="G25" s="81" t="s">
        <v>35</v>
      </c>
      <c r="H25" s="117">
        <v>1.5</v>
      </c>
      <c r="I25" s="96">
        <v>4.13</v>
      </c>
      <c r="J25" s="96">
        <f>Z_R_350!J25+(Z_R_390!$A$1-Z_R_350!$A$1)/(Z_R_420!$A$1-Z_R_350!$A$1)*(Z_R_420!J25-Z_R_350!J25)</f>
        <v>2.9557142857142855</v>
      </c>
      <c r="K25" s="96">
        <f>Z_R_350!K25+(Z_R_390!$A$1-Z_R_350!$A$1)/(Z_R_420!$A$1-Z_R_350!$A$1)*(Z_R_420!K25-Z_R_350!K25)</f>
        <v>2.6414285714285715</v>
      </c>
      <c r="L25" s="96">
        <f>Z_R_350!L25+(Z_R_390!$A$1-Z_R_350!$A$1)/(Z_R_420!$A$1-Z_R_350!$A$1)*(Z_R_420!L25-Z_R_350!L25)</f>
        <v>4.72</v>
      </c>
      <c r="M25" s="96">
        <f>Z_R_350!M25+(Z_R_390!$A$1-Z_R_350!$A$1)/(Z_R_420!$A$1-Z_R_350!$A$1)*(Z_R_420!M25-Z_R_350!M25)</f>
        <v>285.75</v>
      </c>
      <c r="N25" s="96">
        <f>Z_R_350!N25+(Z_R_390!$A$1-Z_R_350!$A$1)/(Z_R_420!$A$1-Z_R_350!$A$1)*(Z_R_420!N25-Z_R_350!N25)</f>
        <v>26.224285714285713</v>
      </c>
      <c r="O25" s="96">
        <f>Z_R_350!O25+(Z_R_390!$A$1-Z_R_350!$A$1)/(Z_R_420!$A$1-Z_R_350!$A$1)*(Z_R_420!O25-Z_R_350!O25)</f>
        <v>7.77</v>
      </c>
      <c r="P25" s="96">
        <f>Z_R_350!P25+(Z_R_390!$A$1-Z_R_350!$A$1)/(Z_R_420!$A$1-Z_R_350!$A$1)*(Z_R_420!P25-Z_R_350!P25)</f>
        <v>9.1042857142857141</v>
      </c>
      <c r="Q25" s="96">
        <f>Z_R_350!Q25+(Z_R_390!$A$1-Z_R_350!$A$1)/(Z_R_420!$A$1-Z_R_350!$A$1)*(Z_R_420!Q25-Z_R_350!Q25)</f>
        <v>4.7</v>
      </c>
      <c r="R25" s="96">
        <f>Z_R_350!R25+(Z_R_390!$A$1-Z_R_350!$A$1)/(Z_R_420!$A$1-Z_R_350!$A$1)*(Z_R_420!R25-Z_R_350!R25)</f>
        <v>281.72571428571428</v>
      </c>
      <c r="S25" s="96">
        <f>Z_R_350!S25+(Z_R_390!$A$1-Z_R_350!$A$1)/(Z_R_420!$A$1-Z_R_350!$A$1)*(Z_R_420!S25-Z_R_350!S25)</f>
        <v>26.511428571428571</v>
      </c>
      <c r="T25" s="96">
        <f>Z_R_350!T25+(Z_R_390!$A$1-Z_R_350!$A$1)/(Z_R_420!$A$1-Z_R_350!$A$1)*(Z_R_420!T25-Z_R_350!T25)</f>
        <v>7.7342857142857149</v>
      </c>
      <c r="U25" s="96">
        <f>Z_R_350!U25+(Z_R_390!$A$1-Z_R_350!$A$1)/(Z_R_420!$A$1-Z_R_350!$A$1)*(Z_R_420!U25-Z_R_350!U25)</f>
        <v>10.621428571428572</v>
      </c>
      <c r="V25" s="96">
        <f>Z_R_350!V25+(Z_R_390!$A$1-Z_R_350!$A$1)/(Z_R_420!$A$1-Z_R_350!$A$1)*(Z_R_420!V25-Z_R_350!V25)</f>
        <v>5.2328571428571431</v>
      </c>
      <c r="W25" s="96">
        <f>Z_R_350!W25+(Z_R_390!$A$1-Z_R_350!$A$1)/(Z_R_420!$A$1-Z_R_350!$A$1)*(Z_R_420!W25-Z_R_350!W25)</f>
        <v>41.34</v>
      </c>
      <c r="X25" s="96">
        <f>Z_R_350!X25+(Z_R_390!$A$1-Z_R_350!$A$1)/(Z_R_420!$A$1-Z_R_350!$A$1)*(Z_R_420!X25-Z_R_350!X25)</f>
        <v>6.4014285714285712</v>
      </c>
      <c r="Y25" s="96">
        <f>Z_R_350!Y25+(Z_R_390!$A$1-Z_R_350!$A$1)/(Z_R_420!$A$1-Z_R_350!$A$1)*(Z_R_420!Y25-Z_R_350!Y25)</f>
        <v>2.8085714285714283</v>
      </c>
      <c r="Z25" s="97">
        <f>Z_R_350!Z25+(Z_R_390!$A$1-Z_R_350!$A$1)/(Z_R_420!$A$1-Z_R_350!$A$1)*(Z_R_420!Z25-Z_R_350!Z25)</f>
        <v>5.9985714285714282</v>
      </c>
      <c r="AB25" s="163">
        <v>4.13</v>
      </c>
      <c r="AC25" s="163">
        <v>2.95</v>
      </c>
      <c r="AD25" s="163">
        <v>2.64</v>
      </c>
      <c r="AE25" s="163">
        <v>4.74</v>
      </c>
      <c r="AF25" s="163">
        <v>286.3</v>
      </c>
      <c r="AG25" s="163">
        <v>26.33</v>
      </c>
      <c r="AH25" s="163">
        <v>7.77</v>
      </c>
      <c r="AI25" s="163">
        <v>9.1199999999999992</v>
      </c>
      <c r="AJ25" s="163">
        <v>4.6900000000000004</v>
      </c>
      <c r="AK25" s="163">
        <v>278.60000000000002</v>
      </c>
      <c r="AL25" s="163">
        <v>25.93</v>
      </c>
      <c r="AM25" s="163">
        <v>7.78</v>
      </c>
      <c r="AN25" s="163">
        <v>10.74</v>
      </c>
      <c r="AO25" s="163">
        <v>5.24</v>
      </c>
      <c r="AP25" s="163">
        <v>41.39</v>
      </c>
      <c r="AQ25" s="163">
        <v>6.4</v>
      </c>
      <c r="AR25" s="163">
        <v>2.81</v>
      </c>
      <c r="AS25" s="163">
        <v>6.33</v>
      </c>
    </row>
    <row r="26" spans="1:45" ht="15" customHeight="1" thickBot="1" x14ac:dyDescent="0.3">
      <c r="A26" s="72" t="str">
        <f t="shared" si="12"/>
        <v>Z200x2,0</v>
      </c>
      <c r="B26" s="11" t="str">
        <f t="shared" si="7"/>
        <v>200</v>
      </c>
      <c r="C26" s="90">
        <f t="shared" si="8"/>
        <v>59.5</v>
      </c>
      <c r="D26" s="90">
        <f t="shared" si="9"/>
        <v>65.5</v>
      </c>
      <c r="E26" s="90">
        <f t="shared" si="10"/>
        <v>20.5</v>
      </c>
      <c r="F26" s="134" t="str">
        <f t="shared" si="11"/>
        <v>Z200</v>
      </c>
      <c r="G26" s="81" t="s">
        <v>36</v>
      </c>
      <c r="H26" s="117">
        <v>2</v>
      </c>
      <c r="I26" s="96">
        <v>5.49</v>
      </c>
      <c r="J26" s="96">
        <f>Z_R_350!J26+(Z_R_390!$A$1-Z_R_350!$A$1)/(Z_R_420!$A$1-Z_R_350!$A$1)*(Z_R_420!J26-Z_R_350!J26)</f>
        <v>4.652857142857143</v>
      </c>
      <c r="K26" s="96">
        <f>Z_R_350!K26+(Z_R_390!$A$1-Z_R_350!$A$1)/(Z_R_420!$A$1-Z_R_350!$A$1)*(Z_R_420!K26-Z_R_350!K26)</f>
        <v>2.5171428571428569</v>
      </c>
      <c r="L26" s="96">
        <f>Z_R_350!L26+(Z_R_390!$A$1-Z_R_350!$A$1)/(Z_R_420!$A$1-Z_R_350!$A$1)*(Z_R_420!L26-Z_R_350!L26)</f>
        <v>6.8542857142857141</v>
      </c>
      <c r="M26" s="96">
        <f>Z_R_350!M26+(Z_R_390!$A$1-Z_R_350!$A$1)/(Z_R_420!$A$1-Z_R_350!$A$1)*(Z_R_420!M26-Z_R_350!M26)</f>
        <v>407.12428571428569</v>
      </c>
      <c r="N26" s="96">
        <f>Z_R_350!N26+(Z_R_390!$A$1-Z_R_350!$A$1)/(Z_R_420!$A$1-Z_R_350!$A$1)*(Z_R_420!N26-Z_R_350!N26)</f>
        <v>39.598571428571432</v>
      </c>
      <c r="O26" s="96">
        <f>Z_R_350!O26+(Z_R_390!$A$1-Z_R_350!$A$1)/(Z_R_420!$A$1-Z_R_350!$A$1)*(Z_R_420!O26-Z_R_350!O26)</f>
        <v>7.6971428571428566</v>
      </c>
      <c r="P26" s="96">
        <f>Z_R_350!P26+(Z_R_390!$A$1-Z_R_350!$A$1)/(Z_R_420!$A$1-Z_R_350!$A$1)*(Z_R_420!P26-Z_R_350!P26)</f>
        <v>9.7214285714285715</v>
      </c>
      <c r="Q26" s="96">
        <f>Z_R_350!Q26+(Z_R_390!$A$1-Z_R_350!$A$1)/(Z_R_420!$A$1-Z_R_350!$A$1)*(Z_R_420!Q26-Z_R_350!Q26)</f>
        <v>6.8428571428571425</v>
      </c>
      <c r="R26" s="96">
        <f>Z_R_350!R26+(Z_R_390!$A$1-Z_R_350!$A$1)/(Z_R_420!$A$1-Z_R_350!$A$1)*(Z_R_420!R26-Z_R_350!R26)</f>
        <v>405.71857142857141</v>
      </c>
      <c r="S26" s="96">
        <f>Z_R_350!S26+(Z_R_390!$A$1-Z_R_350!$A$1)/(Z_R_420!$A$1-Z_R_350!$A$1)*(Z_R_420!S26-Z_R_350!S26)</f>
        <v>40.268571428571427</v>
      </c>
      <c r="T26" s="96">
        <f>Z_R_350!T26+(Z_R_390!$A$1-Z_R_350!$A$1)/(Z_R_420!$A$1-Z_R_350!$A$1)*(Z_R_420!T26-Z_R_350!T26)</f>
        <v>7.6914285714285713</v>
      </c>
      <c r="U26" s="96">
        <f>Z_R_350!U26+(Z_R_390!$A$1-Z_R_350!$A$1)/(Z_R_420!$A$1-Z_R_350!$A$1)*(Z_R_420!U26-Z_R_350!U26)</f>
        <v>9.96142857142857</v>
      </c>
      <c r="V26" s="96">
        <f>Z_R_350!V26+(Z_R_390!$A$1-Z_R_350!$A$1)/(Z_R_420!$A$1-Z_R_350!$A$1)*(Z_R_420!V26-Z_R_350!V26)</f>
        <v>6.9671428571428571</v>
      </c>
      <c r="W26" s="96">
        <f>Z_R_350!W26+(Z_R_390!$A$1-Z_R_350!$A$1)/(Z_R_420!$A$1-Z_R_350!$A$1)*(Z_R_420!W26-Z_R_350!W26)</f>
        <v>54.784285714285716</v>
      </c>
      <c r="X26" s="96">
        <f>Z_R_350!X26+(Z_R_390!$A$1-Z_R_350!$A$1)/(Z_R_420!$A$1-Z_R_350!$A$1)*(Z_R_420!X26-Z_R_350!X26)</f>
        <v>8.444285714285714</v>
      </c>
      <c r="Y26" s="96">
        <f>Z_R_350!Y26+(Z_R_390!$A$1-Z_R_350!$A$1)/(Z_R_420!$A$1-Z_R_350!$A$1)*(Z_R_420!Y26-Z_R_350!Y26)</f>
        <v>2.8</v>
      </c>
      <c r="Z26" s="97">
        <f>Z_R_350!Z26+(Z_R_390!$A$1-Z_R_350!$A$1)/(Z_R_420!$A$1-Z_R_350!$A$1)*(Z_R_420!Z26-Z_R_350!Z26)</f>
        <v>5.98</v>
      </c>
      <c r="AB26" s="163">
        <v>5.49</v>
      </c>
      <c r="AC26" s="163">
        <v>4.66</v>
      </c>
      <c r="AD26" s="163">
        <v>2.52</v>
      </c>
      <c r="AE26" s="163">
        <v>6.88</v>
      </c>
      <c r="AF26" s="163">
        <v>407.1</v>
      </c>
      <c r="AG26" s="163">
        <v>39.65</v>
      </c>
      <c r="AH26" s="163">
        <v>7.69</v>
      </c>
      <c r="AI26" s="163">
        <v>9.73</v>
      </c>
      <c r="AJ26" s="163">
        <v>6.84</v>
      </c>
      <c r="AK26" s="163">
        <v>400.6</v>
      </c>
      <c r="AL26" s="163">
        <v>39.659999999999997</v>
      </c>
      <c r="AM26" s="163">
        <v>7.75</v>
      </c>
      <c r="AN26" s="163">
        <v>10.1</v>
      </c>
      <c r="AO26" s="163">
        <v>6.99</v>
      </c>
      <c r="AP26" s="163">
        <v>55.03</v>
      </c>
      <c r="AQ26" s="163">
        <v>8.4499999999999993</v>
      </c>
      <c r="AR26" s="163">
        <v>2.8</v>
      </c>
      <c r="AS26" s="163">
        <v>5.98</v>
      </c>
    </row>
    <row r="27" spans="1:45" ht="15" customHeight="1" thickBot="1" x14ac:dyDescent="0.3">
      <c r="A27" s="72" t="str">
        <f t="shared" si="12"/>
        <v>Z200x2,5</v>
      </c>
      <c r="B27" s="11" t="str">
        <f t="shared" si="7"/>
        <v>200</v>
      </c>
      <c r="C27" s="90">
        <f t="shared" si="8"/>
        <v>59.5</v>
      </c>
      <c r="D27" s="90">
        <f t="shared" si="9"/>
        <v>65.5</v>
      </c>
      <c r="E27" s="90">
        <f t="shared" si="10"/>
        <v>21</v>
      </c>
      <c r="F27" s="134" t="str">
        <f t="shared" si="11"/>
        <v>Z200</v>
      </c>
      <c r="G27" s="81" t="s">
        <v>37</v>
      </c>
      <c r="H27" s="117">
        <v>2.5</v>
      </c>
      <c r="I27" s="96">
        <v>6.83</v>
      </c>
      <c r="J27" s="96">
        <f>Z_R_350!J27+(Z_R_390!$A$1-Z_R_350!$A$1)/(Z_R_420!$A$1-Z_R_350!$A$1)*(Z_R_420!J27-Z_R_350!J27)</f>
        <v>6.2514285714285718</v>
      </c>
      <c r="K27" s="96">
        <f>Z_R_350!K27+(Z_R_390!$A$1-Z_R_350!$A$1)/(Z_R_420!$A$1-Z_R_350!$A$1)*(Z_R_420!K27-Z_R_350!K27)</f>
        <v>2.4128571428571428</v>
      </c>
      <c r="L27" s="96">
        <f>Z_R_350!L27+(Z_R_390!$A$1-Z_R_350!$A$1)/(Z_R_420!$A$1-Z_R_350!$A$1)*(Z_R_420!L27-Z_R_350!L27)</f>
        <v>8.69</v>
      </c>
      <c r="M27" s="96">
        <f>Z_R_350!M27+(Z_R_390!$A$1-Z_R_350!$A$1)/(Z_R_420!$A$1-Z_R_350!$A$1)*(Z_R_420!M27-Z_R_350!M27)</f>
        <v>508.87</v>
      </c>
      <c r="N27" s="96">
        <f>Z_R_350!N27+(Z_R_390!$A$1-Z_R_350!$A$1)/(Z_R_420!$A$1-Z_R_350!$A$1)*(Z_R_420!N27-Z_R_350!N27)</f>
        <v>50.03</v>
      </c>
      <c r="O27" s="96">
        <f>Z_R_350!O27+(Z_R_390!$A$1-Z_R_350!$A$1)/(Z_R_420!$A$1-Z_R_350!$A$1)*(Z_R_420!O27-Z_R_350!O27)</f>
        <v>7.64</v>
      </c>
      <c r="P27" s="96">
        <f>Z_R_350!P27+(Z_R_390!$A$1-Z_R_350!$A$1)/(Z_R_420!$A$1-Z_R_350!$A$1)*(Z_R_420!P27-Z_R_350!P27)</f>
        <v>9.83</v>
      </c>
      <c r="Q27" s="96">
        <f>Z_R_350!Q27+(Z_R_390!$A$1-Z_R_350!$A$1)/(Z_R_420!$A$1-Z_R_350!$A$1)*(Z_R_420!Q27-Z_R_350!Q27)</f>
        <v>8.69</v>
      </c>
      <c r="R27" s="96">
        <f>Z_R_350!R27+(Z_R_390!$A$1-Z_R_350!$A$1)/(Z_R_420!$A$1-Z_R_350!$A$1)*(Z_R_420!R27-Z_R_350!R27)</f>
        <v>508.87</v>
      </c>
      <c r="S27" s="96">
        <f>Z_R_350!S27+(Z_R_390!$A$1-Z_R_350!$A$1)/(Z_R_420!$A$1-Z_R_350!$A$1)*(Z_R_420!S27-Z_R_350!S27)</f>
        <v>50.03</v>
      </c>
      <c r="T27" s="96">
        <f>Z_R_350!T27+(Z_R_390!$A$1-Z_R_350!$A$1)/(Z_R_420!$A$1-Z_R_350!$A$1)*(Z_R_420!T27-Z_R_350!T27)</f>
        <v>7.64</v>
      </c>
      <c r="U27" s="96">
        <f>Z_R_350!U27+(Z_R_390!$A$1-Z_R_350!$A$1)/(Z_R_420!$A$1-Z_R_350!$A$1)*(Z_R_420!U27-Z_R_350!U27)</f>
        <v>9.83</v>
      </c>
      <c r="V27" s="96">
        <f>Z_R_350!V27+(Z_R_390!$A$1-Z_R_350!$A$1)/(Z_R_420!$A$1-Z_R_350!$A$1)*(Z_R_420!V27-Z_R_350!V27)</f>
        <v>8.694285714285714</v>
      </c>
      <c r="W27" s="96">
        <f>Z_R_350!W27+(Z_R_390!$A$1-Z_R_350!$A$1)/(Z_R_420!$A$1-Z_R_350!$A$1)*(Z_R_420!W27-Z_R_350!W27)</f>
        <v>67.63</v>
      </c>
      <c r="X27" s="96">
        <f>Z_R_350!X27+(Z_R_390!$A$1-Z_R_350!$A$1)/(Z_R_420!$A$1-Z_R_350!$A$1)*(Z_R_420!X27-Z_R_350!X27)</f>
        <v>10.334285714285715</v>
      </c>
      <c r="Y27" s="96">
        <f>Z_R_350!Y27+(Z_R_390!$A$1-Z_R_350!$A$1)/(Z_R_420!$A$1-Z_R_350!$A$1)*(Z_R_420!Y27-Z_R_350!Y27)</f>
        <v>2.78</v>
      </c>
      <c r="Z27" s="97">
        <f>Z_R_350!Z27+(Z_R_390!$A$1-Z_R_350!$A$1)/(Z_R_420!$A$1-Z_R_350!$A$1)*(Z_R_420!Z27-Z_R_350!Z27)</f>
        <v>5.96</v>
      </c>
      <c r="AB27" s="163">
        <v>6.83</v>
      </c>
      <c r="AC27" s="163">
        <v>6.25</v>
      </c>
      <c r="AD27" s="163">
        <v>2.41</v>
      </c>
      <c r="AE27" s="163">
        <v>8.69</v>
      </c>
      <c r="AF27" s="163">
        <v>508.87</v>
      </c>
      <c r="AG27" s="163">
        <v>50.03</v>
      </c>
      <c r="AH27" s="163">
        <v>7.64</v>
      </c>
      <c r="AI27" s="163">
        <v>9.83</v>
      </c>
      <c r="AJ27" s="163">
        <v>8.69</v>
      </c>
      <c r="AK27" s="163">
        <v>508.87</v>
      </c>
      <c r="AL27" s="163">
        <v>50.12</v>
      </c>
      <c r="AM27" s="163">
        <v>7.67</v>
      </c>
      <c r="AN27" s="163">
        <v>9.8800000000000008</v>
      </c>
      <c r="AO27" s="163">
        <v>8.6999999999999993</v>
      </c>
      <c r="AP27" s="163">
        <v>67.63</v>
      </c>
      <c r="AQ27" s="163">
        <v>10.34</v>
      </c>
      <c r="AR27" s="163">
        <v>2.78</v>
      </c>
      <c r="AS27" s="163">
        <v>5.96</v>
      </c>
    </row>
    <row r="28" spans="1:45" ht="15" customHeight="1" thickBot="1" x14ac:dyDescent="0.3">
      <c r="A28" s="72" t="str">
        <f t="shared" si="12"/>
        <v>Z200x3,0</v>
      </c>
      <c r="B28" s="11" t="str">
        <f t="shared" si="7"/>
        <v>200</v>
      </c>
      <c r="C28" s="90">
        <f t="shared" si="8"/>
        <v>59.5</v>
      </c>
      <c r="D28" s="90">
        <f t="shared" si="9"/>
        <v>65.5</v>
      </c>
      <c r="E28" s="90">
        <f t="shared" si="10"/>
        <v>22</v>
      </c>
      <c r="F28" s="134" t="str">
        <f t="shared" si="11"/>
        <v>Z200</v>
      </c>
      <c r="G28" s="81" t="s">
        <v>38</v>
      </c>
      <c r="H28" s="117">
        <v>3</v>
      </c>
      <c r="I28" s="96">
        <v>8.18</v>
      </c>
      <c r="J28" s="96">
        <f>Z_R_350!J28+(Z_R_390!$A$1-Z_R_350!$A$1)/(Z_R_420!$A$1-Z_R_350!$A$1)*(Z_R_420!J28-Z_R_350!J28)</f>
        <v>7.9871428571428575</v>
      </c>
      <c r="K28" s="96">
        <f>Z_R_350!K28+(Z_R_390!$A$1-Z_R_350!$A$1)/(Z_R_420!$A$1-Z_R_350!$A$1)*(Z_R_420!K28-Z_R_350!K28)</f>
        <v>2.3328571428571427</v>
      </c>
      <c r="L28" s="96">
        <f>Z_R_350!L28+(Z_R_390!$A$1-Z_R_350!$A$1)/(Z_R_420!$A$1-Z_R_350!$A$1)*(Z_R_420!L28-Z_R_350!L28)</f>
        <v>10.42</v>
      </c>
      <c r="M28" s="96">
        <f>Z_R_350!M28+(Z_R_390!$A$1-Z_R_350!$A$1)/(Z_R_420!$A$1-Z_R_350!$A$1)*(Z_R_420!M28-Z_R_350!M28)</f>
        <v>605.64</v>
      </c>
      <c r="N28" s="96">
        <f>Z_R_350!N28+(Z_R_390!$A$1-Z_R_350!$A$1)/(Z_R_420!$A$1-Z_R_350!$A$1)*(Z_R_420!N28-Z_R_350!N28)</f>
        <v>59.55</v>
      </c>
      <c r="O28" s="96">
        <f>Z_R_350!O28+(Z_R_390!$A$1-Z_R_350!$A$1)/(Z_R_420!$A$1-Z_R_350!$A$1)*(Z_R_420!O28-Z_R_350!O28)</f>
        <v>7.62</v>
      </c>
      <c r="P28" s="96">
        <f>Z_R_350!P28+(Z_R_390!$A$1-Z_R_350!$A$1)/(Z_R_420!$A$1-Z_R_350!$A$1)*(Z_R_420!P28-Z_R_350!P28)</f>
        <v>9.83</v>
      </c>
      <c r="Q28" s="96">
        <f>Z_R_350!Q28+(Z_R_390!$A$1-Z_R_350!$A$1)/(Z_R_420!$A$1-Z_R_350!$A$1)*(Z_R_420!Q28-Z_R_350!Q28)</f>
        <v>10.42</v>
      </c>
      <c r="R28" s="96">
        <f>Z_R_350!R28+(Z_R_390!$A$1-Z_R_350!$A$1)/(Z_R_420!$A$1-Z_R_350!$A$1)*(Z_R_420!R28-Z_R_350!R28)</f>
        <v>605.64</v>
      </c>
      <c r="S28" s="96">
        <f>Z_R_350!S28+(Z_R_390!$A$1-Z_R_350!$A$1)/(Z_R_420!$A$1-Z_R_350!$A$1)*(Z_R_420!S28-Z_R_350!S28)</f>
        <v>59.55</v>
      </c>
      <c r="T28" s="96">
        <f>Z_R_350!T28+(Z_R_390!$A$1-Z_R_350!$A$1)/(Z_R_420!$A$1-Z_R_350!$A$1)*(Z_R_420!T28-Z_R_350!T28)</f>
        <v>7.62</v>
      </c>
      <c r="U28" s="96">
        <f>Z_R_350!U28+(Z_R_390!$A$1-Z_R_350!$A$1)/(Z_R_420!$A$1-Z_R_350!$A$1)*(Z_R_420!U28-Z_R_350!U28)</f>
        <v>9.83</v>
      </c>
      <c r="V28" s="96">
        <f>Z_R_350!V28+(Z_R_390!$A$1-Z_R_350!$A$1)/(Z_R_420!$A$1-Z_R_350!$A$1)*(Z_R_420!V28-Z_R_350!V28)</f>
        <v>10.415714285714285</v>
      </c>
      <c r="W28" s="96">
        <f>Z_R_350!W28+(Z_R_390!$A$1-Z_R_350!$A$1)/(Z_R_420!$A$1-Z_R_350!$A$1)*(Z_R_420!W28-Z_R_350!W28)</f>
        <v>80.784285714285716</v>
      </c>
      <c r="X28" s="96">
        <f>Z_R_350!X28+(Z_R_390!$A$1-Z_R_350!$A$1)/(Z_R_420!$A$1-Z_R_350!$A$1)*(Z_R_420!X28-Z_R_350!X28)</f>
        <v>12.31</v>
      </c>
      <c r="Y28" s="96">
        <f>Z_R_350!Y28+(Z_R_390!$A$1-Z_R_350!$A$1)/(Z_R_420!$A$1-Z_R_350!$A$1)*(Z_R_420!Y28-Z_R_350!Y28)</f>
        <v>2.78</v>
      </c>
      <c r="Z28" s="97">
        <f>Z_R_350!Z28+(Z_R_390!$A$1-Z_R_350!$A$1)/(Z_R_420!$A$1-Z_R_350!$A$1)*(Z_R_420!Z28-Z_R_350!Z28)</f>
        <v>5.93</v>
      </c>
      <c r="AB28" s="163">
        <v>8.18</v>
      </c>
      <c r="AC28" s="163">
        <v>7.98</v>
      </c>
      <c r="AD28" s="163">
        <v>2.33</v>
      </c>
      <c r="AE28" s="163">
        <v>10.42</v>
      </c>
      <c r="AF28" s="163">
        <v>605.64</v>
      </c>
      <c r="AG28" s="163">
        <v>59.55</v>
      </c>
      <c r="AH28" s="163">
        <v>7.62</v>
      </c>
      <c r="AI28" s="163">
        <v>9.83</v>
      </c>
      <c r="AJ28" s="163">
        <v>10.42</v>
      </c>
      <c r="AK28" s="163">
        <v>605.64</v>
      </c>
      <c r="AL28" s="163">
        <v>59.55</v>
      </c>
      <c r="AM28" s="163">
        <v>7.62</v>
      </c>
      <c r="AN28" s="163">
        <v>9.83</v>
      </c>
      <c r="AO28" s="163">
        <v>10.41</v>
      </c>
      <c r="AP28" s="163">
        <v>80.709999999999994</v>
      </c>
      <c r="AQ28" s="163">
        <v>12.31</v>
      </c>
      <c r="AR28" s="163">
        <v>2.78</v>
      </c>
      <c r="AS28" s="163">
        <v>5.93</v>
      </c>
    </row>
    <row r="29" spans="1:45" ht="15" customHeight="1" thickBot="1" x14ac:dyDescent="0.3">
      <c r="A29" s="73" t="str">
        <f t="shared" si="12"/>
        <v>Z200x3,5</v>
      </c>
      <c r="B29" s="12" t="str">
        <f t="shared" si="7"/>
        <v>200</v>
      </c>
      <c r="C29" s="91">
        <f t="shared" si="8"/>
        <v>59.5</v>
      </c>
      <c r="D29" s="91">
        <f t="shared" si="9"/>
        <v>65.5</v>
      </c>
      <c r="E29" s="91">
        <f t="shared" si="10"/>
        <v>23</v>
      </c>
      <c r="F29" s="135" t="str">
        <f t="shared" si="11"/>
        <v>Z200</v>
      </c>
      <c r="G29" s="82" t="s">
        <v>39</v>
      </c>
      <c r="H29" s="118">
        <v>3.5</v>
      </c>
      <c r="I29" s="98">
        <v>9.5399999999999991</v>
      </c>
      <c r="J29" s="98">
        <f>Z_R_350!J29+(Z_R_390!$A$1-Z_R_350!$A$1)/(Z_R_420!$A$1-Z_R_350!$A$1)*(Z_R_420!J29-Z_R_350!J29)</f>
        <v>9.8471428571428579</v>
      </c>
      <c r="K29" s="98">
        <f>Z_R_350!K29+(Z_R_390!$A$1-Z_R_350!$A$1)/(Z_R_420!$A$1-Z_R_350!$A$1)*(Z_R_420!K29-Z_R_350!K29)</f>
        <v>2.2628571428571429</v>
      </c>
      <c r="L29" s="98">
        <f>Z_R_350!L29+(Z_R_390!$A$1-Z_R_350!$A$1)/(Z_R_420!$A$1-Z_R_350!$A$1)*(Z_R_420!L29-Z_R_350!L29)</f>
        <v>12.14</v>
      </c>
      <c r="M29" s="98">
        <f>Z_R_350!M29+(Z_R_390!$A$1-Z_R_350!$A$1)/(Z_R_420!$A$1-Z_R_350!$A$1)*(Z_R_420!M29-Z_R_350!M29)</f>
        <v>700.71</v>
      </c>
      <c r="N29" s="98">
        <f>Z_R_350!N29+(Z_R_390!$A$1-Z_R_350!$A$1)/(Z_R_420!$A$1-Z_R_350!$A$1)*(Z_R_420!N29-Z_R_350!N29)</f>
        <v>68.900000000000006</v>
      </c>
      <c r="O29" s="98">
        <f>Z_R_350!O29+(Z_R_390!$A$1-Z_R_350!$A$1)/(Z_R_420!$A$1-Z_R_350!$A$1)*(Z_R_420!O29-Z_R_350!O29)</f>
        <v>7.59</v>
      </c>
      <c r="P29" s="98">
        <f>Z_R_350!P29+(Z_R_390!$A$1-Z_R_350!$A$1)/(Z_R_420!$A$1-Z_R_350!$A$1)*(Z_R_420!P29-Z_R_350!P29)</f>
        <v>9.83</v>
      </c>
      <c r="Q29" s="98">
        <f>Z_R_350!Q29+(Z_R_390!$A$1-Z_R_350!$A$1)/(Z_R_420!$A$1-Z_R_350!$A$1)*(Z_R_420!Q29-Z_R_350!Q29)</f>
        <v>12.14</v>
      </c>
      <c r="R29" s="98">
        <f>Z_R_350!R29+(Z_R_390!$A$1-Z_R_350!$A$1)/(Z_R_420!$A$1-Z_R_350!$A$1)*(Z_R_420!R29-Z_R_350!R29)</f>
        <v>700.71</v>
      </c>
      <c r="S29" s="98">
        <f>Z_R_350!S29+(Z_R_390!$A$1-Z_R_350!$A$1)/(Z_R_420!$A$1-Z_R_350!$A$1)*(Z_R_420!S29-Z_R_350!S29)</f>
        <v>68.900000000000006</v>
      </c>
      <c r="T29" s="98">
        <f>Z_R_350!T29+(Z_R_390!$A$1-Z_R_350!$A$1)/(Z_R_420!$A$1-Z_R_350!$A$1)*(Z_R_420!T29-Z_R_350!T29)</f>
        <v>7.59</v>
      </c>
      <c r="U29" s="98">
        <f>Z_R_350!U29+(Z_R_390!$A$1-Z_R_350!$A$1)/(Z_R_420!$A$1-Z_R_350!$A$1)*(Z_R_420!U29-Z_R_350!U29)</f>
        <v>9.83</v>
      </c>
      <c r="V29" s="98">
        <f>Z_R_350!V29+(Z_R_390!$A$1-Z_R_350!$A$1)/(Z_R_420!$A$1-Z_R_350!$A$1)*(Z_R_420!V29-Z_R_350!V29)</f>
        <v>11.957142857142857</v>
      </c>
      <c r="W29" s="98">
        <f>Z_R_350!W29+(Z_R_390!$A$1-Z_R_350!$A$1)/(Z_R_420!$A$1-Z_R_350!$A$1)*(Z_R_420!W29-Z_R_350!W29)</f>
        <v>91.597142857142856</v>
      </c>
      <c r="X29" s="98">
        <f>Z_R_350!X29+(Z_R_390!$A$1-Z_R_350!$A$1)/(Z_R_420!$A$1-Z_R_350!$A$1)*(Z_R_420!X29-Z_R_350!X29)</f>
        <v>14.25</v>
      </c>
      <c r="Y29" s="98">
        <f>Z_R_350!Y29+(Z_R_390!$A$1-Z_R_350!$A$1)/(Z_R_420!$A$1-Z_R_350!$A$1)*(Z_R_420!Y29-Z_R_350!Y29)</f>
        <v>2.7671428571428569</v>
      </c>
      <c r="Z29" s="99">
        <f>Z_R_350!Z29+(Z_R_390!$A$1-Z_R_350!$A$1)/(Z_R_420!$A$1-Z_R_350!$A$1)*(Z_R_420!Z29-Z_R_350!Z29)</f>
        <v>5.8585714285714285</v>
      </c>
      <c r="AB29" s="163">
        <v>9.5399999999999991</v>
      </c>
      <c r="AC29" s="163">
        <v>9.82</v>
      </c>
      <c r="AD29" s="163">
        <v>2.2599999999999998</v>
      </c>
      <c r="AE29" s="163">
        <v>12.14</v>
      </c>
      <c r="AF29" s="163">
        <v>700.71</v>
      </c>
      <c r="AG29" s="163">
        <v>68.900000000000006</v>
      </c>
      <c r="AH29" s="163">
        <v>7.59</v>
      </c>
      <c r="AI29" s="163">
        <v>9.83</v>
      </c>
      <c r="AJ29" s="163">
        <v>12.14</v>
      </c>
      <c r="AK29" s="163">
        <v>700.71</v>
      </c>
      <c r="AL29" s="163">
        <v>68.900000000000006</v>
      </c>
      <c r="AM29" s="163">
        <v>7.59</v>
      </c>
      <c r="AN29" s="163">
        <v>9.83</v>
      </c>
      <c r="AO29" s="163">
        <v>11.86</v>
      </c>
      <c r="AP29" s="163">
        <v>90.34</v>
      </c>
      <c r="AQ29" s="163">
        <v>14.25</v>
      </c>
      <c r="AR29" s="163">
        <v>2.75</v>
      </c>
      <c r="AS29" s="163">
        <v>5.83</v>
      </c>
    </row>
    <row r="30" spans="1:45" ht="15" customHeight="1" thickBot="1" x14ac:dyDescent="0.3">
      <c r="A30" s="71" t="str">
        <f t="shared" si="12"/>
        <v>Z250x1,0</v>
      </c>
      <c r="B30" s="10" t="str">
        <f t="shared" si="7"/>
        <v>250</v>
      </c>
      <c r="C30" s="88">
        <f t="shared" si="8"/>
        <v>67</v>
      </c>
      <c r="D30" s="88">
        <f t="shared" si="9"/>
        <v>78</v>
      </c>
      <c r="E30" s="88">
        <f t="shared" si="10"/>
        <v>21.5</v>
      </c>
      <c r="F30" s="133" t="str">
        <f t="shared" si="11"/>
        <v>Z250</v>
      </c>
      <c r="G30" s="80" t="s">
        <v>40</v>
      </c>
      <c r="H30" s="116">
        <v>1</v>
      </c>
      <c r="I30" s="94">
        <v>3.46</v>
      </c>
      <c r="J30" s="94">
        <f>Z_R_350!J30+(Z_R_390!$A$1-Z_R_350!$A$1)/(Z_R_420!$A$1-Z_R_350!$A$1)*(Z_R_420!J30-Z_R_350!J30)</f>
        <v>1.4571428571428571</v>
      </c>
      <c r="K30" s="94">
        <f>Z_R_350!K30+(Z_R_390!$A$1-Z_R_350!$A$1)/(Z_R_420!$A$1-Z_R_350!$A$1)*(Z_R_420!K30-Z_R_350!K30)</f>
        <v>3.0714285714285716</v>
      </c>
      <c r="L30" s="94">
        <f>Z_R_350!L30+(Z_R_390!$A$1-Z_R_350!$A$1)/(Z_R_420!$A$1-Z_R_350!$A$1)*(Z_R_420!L30-Z_R_350!L30)</f>
        <v>3.1642857142857141</v>
      </c>
      <c r="M30" s="94">
        <f>Z_R_350!M30+(Z_R_390!$A$1-Z_R_350!$A$1)/(Z_R_420!$A$1-Z_R_350!$A$1)*(Z_R_420!M30-Z_R_350!M30)</f>
        <v>287.24285714285713</v>
      </c>
      <c r="N30" s="94">
        <f>Z_R_350!N30+(Z_R_390!$A$1-Z_R_350!$A$1)/(Z_R_420!$A$1-Z_R_350!$A$1)*(Z_R_420!N30-Z_R_350!N30)</f>
        <v>18.467142857142857</v>
      </c>
      <c r="O30" s="94">
        <f>Z_R_350!O30+(Z_R_390!$A$1-Z_R_350!$A$1)/(Z_R_420!$A$1-Z_R_350!$A$1)*(Z_R_420!O30-Z_R_350!O30)</f>
        <v>9.5157142857142869</v>
      </c>
      <c r="P30" s="94">
        <f>Z_R_350!P30+(Z_R_390!$A$1-Z_R_350!$A$1)/(Z_R_420!$A$1-Z_R_350!$A$1)*(Z_R_420!P30-Z_R_350!P30)</f>
        <v>9.4457142857142848</v>
      </c>
      <c r="Q30" s="94">
        <f>Z_R_350!Q30+(Z_R_390!$A$1-Z_R_350!$A$1)/(Z_R_420!$A$1-Z_R_350!$A$1)*(Z_R_420!Q30-Z_R_350!Q30)</f>
        <v>3.0942857142857143</v>
      </c>
      <c r="R30" s="94">
        <f>Z_R_350!R30+(Z_R_390!$A$1-Z_R_350!$A$1)/(Z_R_420!$A$1-Z_R_350!$A$1)*(Z_R_420!R30-Z_R_350!R30)</f>
        <v>279.29142857142858</v>
      </c>
      <c r="S30" s="94">
        <f>Z_R_350!S30+(Z_R_390!$A$1-Z_R_350!$A$1)/(Z_R_420!$A$1-Z_R_350!$A$1)*(Z_R_420!S30-Z_R_350!S30)</f>
        <v>18.445714285714285</v>
      </c>
      <c r="T30" s="94">
        <f>Z_R_350!T30+(Z_R_390!$A$1-Z_R_350!$A$1)/(Z_R_420!$A$1-Z_R_350!$A$1)*(Z_R_420!T30-Z_R_350!T30)</f>
        <v>9.4914285714285711</v>
      </c>
      <c r="U30" s="94">
        <f>Z_R_350!U30+(Z_R_390!$A$1-Z_R_350!$A$1)/(Z_R_420!$A$1-Z_R_350!$A$1)*(Z_R_420!U30-Z_R_350!U30)</f>
        <v>15.14</v>
      </c>
      <c r="V30" s="94">
        <f>Z_R_350!V30+(Z_R_390!$A$1-Z_R_350!$A$1)/(Z_R_420!$A$1-Z_R_350!$A$1)*(Z_R_420!V30-Z_R_350!V30)</f>
        <v>3.8271428571428574</v>
      </c>
      <c r="W30" s="94">
        <f>Z_R_350!W30+(Z_R_390!$A$1-Z_R_350!$A$1)/(Z_R_420!$A$1-Z_R_350!$A$1)*(Z_R_420!W30-Z_R_350!W30)</f>
        <v>32.31</v>
      </c>
      <c r="X30" s="94">
        <f>Z_R_350!X30+(Z_R_390!$A$1-Z_R_350!$A$1)/(Z_R_420!$A$1-Z_R_350!$A$1)*(Z_R_420!X30-Z_R_350!X30)</f>
        <v>4.01</v>
      </c>
      <c r="Y30" s="94">
        <f>Z_R_350!Y30+(Z_R_390!$A$1-Z_R_350!$A$1)/(Z_R_420!$A$1-Z_R_350!$A$1)*(Z_R_420!Y30-Z_R_350!Y30)</f>
        <v>2.9014285714285712</v>
      </c>
      <c r="Z30" s="95">
        <f>Z_R_350!Z30+(Z_R_390!$A$1-Z_R_350!$A$1)/(Z_R_420!$A$1-Z_R_350!$A$1)*(Z_R_420!Z30-Z_R_350!Z30)</f>
        <v>6.3557142857142859</v>
      </c>
      <c r="AB30" s="163">
        <v>3.46</v>
      </c>
      <c r="AC30" s="163">
        <v>1.46</v>
      </c>
      <c r="AD30" s="163">
        <v>3.06</v>
      </c>
      <c r="AE30" s="163">
        <v>3.16</v>
      </c>
      <c r="AF30" s="163">
        <v>287</v>
      </c>
      <c r="AG30" s="163">
        <v>18.440000000000001</v>
      </c>
      <c r="AH30" s="163">
        <v>9.52</v>
      </c>
      <c r="AI30" s="163">
        <v>9.44</v>
      </c>
      <c r="AJ30" s="163">
        <v>3.08</v>
      </c>
      <c r="AK30" s="163">
        <v>278.7</v>
      </c>
      <c r="AL30" s="163">
        <v>18.38</v>
      </c>
      <c r="AM30" s="163">
        <v>9.51</v>
      </c>
      <c r="AN30" s="163">
        <v>15.17</v>
      </c>
      <c r="AO30" s="163">
        <v>3.83</v>
      </c>
      <c r="AP30" s="163">
        <v>32.270000000000003</v>
      </c>
      <c r="AQ30" s="163">
        <v>4</v>
      </c>
      <c r="AR30" s="163">
        <v>2.9</v>
      </c>
      <c r="AS30" s="163">
        <v>6.35</v>
      </c>
    </row>
    <row r="31" spans="1:45" ht="15" customHeight="1" thickBot="1" x14ac:dyDescent="0.3">
      <c r="A31" s="72" t="str">
        <f t="shared" si="12"/>
        <v>Z250x1,2</v>
      </c>
      <c r="B31" s="11" t="str">
        <f t="shared" si="7"/>
        <v>250</v>
      </c>
      <c r="C31" s="90">
        <f t="shared" si="8"/>
        <v>67</v>
      </c>
      <c r="D31" s="90">
        <f t="shared" si="9"/>
        <v>78</v>
      </c>
      <c r="E31" s="90">
        <f t="shared" si="10"/>
        <v>21.5</v>
      </c>
      <c r="F31" s="134" t="str">
        <f t="shared" si="11"/>
        <v>Z250</v>
      </c>
      <c r="G31" s="81" t="s">
        <v>40</v>
      </c>
      <c r="H31" s="117">
        <v>1.2</v>
      </c>
      <c r="I31" s="96">
        <v>4.12</v>
      </c>
      <c r="J31" s="96">
        <f>Z_R_350!J31+(Z_R_390!$A$1-Z_R_350!$A$1)/(Z_R_420!$A$1-Z_R_350!$A$1)*(Z_R_420!J31-Z_R_350!J31)</f>
        <v>2.044285714285714</v>
      </c>
      <c r="K31" s="96">
        <f>Z_R_350!K31+(Z_R_390!$A$1-Z_R_350!$A$1)/(Z_R_420!$A$1-Z_R_350!$A$1)*(Z_R_420!K31-Z_R_350!K31)</f>
        <v>3.0157142857142856</v>
      </c>
      <c r="L31" s="96">
        <f>Z_R_350!L31+(Z_R_390!$A$1-Z_R_350!$A$1)/(Z_R_420!$A$1-Z_R_350!$A$1)*(Z_R_420!L31-Z_R_350!L31)</f>
        <v>4.0014285714285718</v>
      </c>
      <c r="M31" s="96">
        <f>Z_R_350!M31+(Z_R_390!$A$1-Z_R_350!$A$1)/(Z_R_420!$A$1-Z_R_350!$A$1)*(Z_R_420!M31-Z_R_350!M31)</f>
        <v>369.73142857142858</v>
      </c>
      <c r="N31" s="96">
        <f>Z_R_350!N31+(Z_R_390!$A$1-Z_R_350!$A$1)/(Z_R_420!$A$1-Z_R_350!$A$1)*(Z_R_420!N31-Z_R_350!N31)</f>
        <v>24.66</v>
      </c>
      <c r="O31" s="96">
        <f>Z_R_350!O31+(Z_R_390!$A$1-Z_R_350!$A$1)/(Z_R_420!$A$1-Z_R_350!$A$1)*(Z_R_420!O31-Z_R_350!O31)</f>
        <v>9.5971428571428561</v>
      </c>
      <c r="P31" s="96">
        <f>Z_R_350!P31+(Z_R_390!$A$1-Z_R_350!$A$1)/(Z_R_420!$A$1-Z_R_350!$A$1)*(Z_R_420!P31-Z_R_350!P31)</f>
        <v>10.005714285714285</v>
      </c>
      <c r="Q31" s="96">
        <f>Z_R_350!Q31+(Z_R_390!$A$1-Z_R_350!$A$1)/(Z_R_420!$A$1-Z_R_350!$A$1)*(Z_R_420!Q31-Z_R_350!Q31)</f>
        <v>3.9214285714285717</v>
      </c>
      <c r="R31" s="96">
        <f>Z_R_350!R31+(Z_R_390!$A$1-Z_R_350!$A$1)/(Z_R_420!$A$1-Z_R_350!$A$1)*(Z_R_420!R31-Z_R_350!R31)</f>
        <v>359.83428571428573</v>
      </c>
      <c r="S31" s="96">
        <f>Z_R_350!S31+(Z_R_390!$A$1-Z_R_350!$A$1)/(Z_R_420!$A$1-Z_R_350!$A$1)*(Z_R_420!S31-Z_R_350!S31)</f>
        <v>24.704285714285717</v>
      </c>
      <c r="T31" s="96">
        <f>Z_R_350!T31+(Z_R_390!$A$1-Z_R_350!$A$1)/(Z_R_420!$A$1-Z_R_350!$A$1)*(Z_R_420!T31-Z_R_350!T31)</f>
        <v>9.5671428571428567</v>
      </c>
      <c r="U31" s="96">
        <f>Z_R_350!U31+(Z_R_390!$A$1-Z_R_350!$A$1)/(Z_R_420!$A$1-Z_R_350!$A$1)*(Z_R_420!U31-Z_R_350!U31)</f>
        <v>14.565714285714286</v>
      </c>
      <c r="V31" s="96">
        <f>Z_R_350!V31+(Z_R_390!$A$1-Z_R_350!$A$1)/(Z_R_420!$A$1-Z_R_350!$A$1)*(Z_R_420!V31-Z_R_350!V31)</f>
        <v>4.6857142857142859</v>
      </c>
      <c r="W31" s="96">
        <f>Z_R_350!W31+(Z_R_390!$A$1-Z_R_350!$A$1)/(Z_R_420!$A$1-Z_R_350!$A$1)*(Z_R_420!W31-Z_R_350!W31)</f>
        <v>41.761428571428567</v>
      </c>
      <c r="X31" s="96">
        <f>Z_R_350!X31+(Z_R_390!$A$1-Z_R_350!$A$1)/(Z_R_420!$A$1-Z_R_350!$A$1)*(Z_R_420!X31-Z_R_350!X31)</f>
        <v>5.2771428571428567</v>
      </c>
      <c r="Y31" s="96">
        <f>Z_R_350!Y31+(Z_R_390!$A$1-Z_R_350!$A$1)/(Z_R_420!$A$1-Z_R_350!$A$1)*(Z_R_420!Y31-Z_R_350!Y31)</f>
        <v>2.9771428571428573</v>
      </c>
      <c r="Z31" s="97">
        <f>Z_R_350!Z31+(Z_R_390!$A$1-Z_R_350!$A$1)/(Z_R_420!$A$1-Z_R_350!$A$1)*(Z_R_420!Z31-Z_R_350!Z31)</f>
        <v>6.4657142857142862</v>
      </c>
      <c r="AB31" s="163">
        <v>4.12</v>
      </c>
      <c r="AC31" s="163">
        <v>2.04</v>
      </c>
      <c r="AD31" s="163">
        <v>3.02</v>
      </c>
      <c r="AE31" s="163">
        <v>4</v>
      </c>
      <c r="AF31" s="163">
        <v>369.4</v>
      </c>
      <c r="AG31" s="163">
        <v>24.62</v>
      </c>
      <c r="AH31" s="163">
        <v>9.6</v>
      </c>
      <c r="AI31" s="163">
        <v>10</v>
      </c>
      <c r="AJ31" s="163">
        <v>3.9</v>
      </c>
      <c r="AK31" s="163">
        <v>358.4</v>
      </c>
      <c r="AL31" s="163">
        <v>24.53</v>
      </c>
      <c r="AM31" s="163">
        <v>9.59</v>
      </c>
      <c r="AN31" s="163">
        <v>14.61</v>
      </c>
      <c r="AO31" s="163">
        <v>4.68</v>
      </c>
      <c r="AP31" s="163">
        <v>41.72</v>
      </c>
      <c r="AQ31" s="163">
        <v>5.26</v>
      </c>
      <c r="AR31" s="163">
        <v>2.98</v>
      </c>
      <c r="AS31" s="163">
        <v>6.46</v>
      </c>
    </row>
    <row r="32" spans="1:45" ht="15" customHeight="1" thickBot="1" x14ac:dyDescent="0.3">
      <c r="A32" s="72" t="str">
        <f t="shared" si="12"/>
        <v>Z250x1,5</v>
      </c>
      <c r="B32" s="11" t="str">
        <f t="shared" si="7"/>
        <v>250</v>
      </c>
      <c r="C32" s="90">
        <f t="shared" si="8"/>
        <v>67</v>
      </c>
      <c r="D32" s="90">
        <f t="shared" si="9"/>
        <v>78</v>
      </c>
      <c r="E32" s="90">
        <f t="shared" si="10"/>
        <v>21.5</v>
      </c>
      <c r="F32" s="134" t="str">
        <f t="shared" si="11"/>
        <v>Z250</v>
      </c>
      <c r="G32" s="81" t="s">
        <v>40</v>
      </c>
      <c r="H32" s="117">
        <v>1.5</v>
      </c>
      <c r="I32" s="96">
        <v>4.99</v>
      </c>
      <c r="J32" s="96">
        <f>Z_R_350!J32+(Z_R_390!$A$1-Z_R_350!$A$1)/(Z_R_420!$A$1-Z_R_350!$A$1)*(Z_R_420!J32-Z_R_350!J32)</f>
        <v>3.0542857142857143</v>
      </c>
      <c r="K32" s="96">
        <f>Z_R_350!K32+(Z_R_390!$A$1-Z_R_350!$A$1)/(Z_R_420!$A$1-Z_R_350!$A$1)*(Z_R_420!K32-Z_R_350!K32)</f>
        <v>3.0414285714285714</v>
      </c>
      <c r="L32" s="96">
        <f>Z_R_350!L32+(Z_R_390!$A$1-Z_R_350!$A$1)/(Z_R_420!$A$1-Z_R_350!$A$1)*(Z_R_420!L32-Z_R_350!L32)</f>
        <v>5.3385714285714281</v>
      </c>
      <c r="M32" s="96">
        <f>Z_R_350!M32+(Z_R_390!$A$1-Z_R_350!$A$1)/(Z_R_420!$A$1-Z_R_350!$A$1)*(Z_R_420!M32-Z_R_350!M32)</f>
        <v>499.17142857142858</v>
      </c>
      <c r="N32" s="96">
        <f>Z_R_350!N32+(Z_R_390!$A$1-Z_R_350!$A$1)/(Z_R_420!$A$1-Z_R_350!$A$1)*(Z_R_420!N32-Z_R_350!N32)</f>
        <v>34.847142857142856</v>
      </c>
      <c r="O32" s="96">
        <f>Z_R_350!O32+(Z_R_390!$A$1-Z_R_350!$A$1)/(Z_R_420!$A$1-Z_R_350!$A$1)*(Z_R_420!O32-Z_R_350!O32)</f>
        <v>9.6585714285714293</v>
      </c>
      <c r="P32" s="96">
        <f>Z_R_350!P32+(Z_R_390!$A$1-Z_R_350!$A$1)/(Z_R_420!$A$1-Z_R_350!$A$1)*(Z_R_420!P32-Z_R_350!P32)</f>
        <v>10.674285714285714</v>
      </c>
      <c r="Q32" s="96">
        <f>Z_R_350!Q32+(Z_R_390!$A$1-Z_R_350!$A$1)/(Z_R_420!$A$1-Z_R_350!$A$1)*(Z_R_420!Q32-Z_R_350!Q32)</f>
        <v>5.2628571428571433</v>
      </c>
      <c r="R32" s="96">
        <f>Z_R_350!R32+(Z_R_390!$A$1-Z_R_350!$A$1)/(Z_R_420!$A$1-Z_R_350!$A$1)*(Z_R_420!R32-Z_R_350!R32)</f>
        <v>487.29285714285714</v>
      </c>
      <c r="S32" s="96">
        <f>Z_R_350!S32+(Z_R_390!$A$1-Z_R_350!$A$1)/(Z_R_420!$A$1-Z_R_350!$A$1)*(Z_R_420!S32-Z_R_350!S32)</f>
        <v>35.284285714285708</v>
      </c>
      <c r="T32" s="96">
        <f>Z_R_350!T32+(Z_R_390!$A$1-Z_R_350!$A$1)/(Z_R_420!$A$1-Z_R_350!$A$1)*(Z_R_420!T32-Z_R_350!T32)</f>
        <v>9.5771428571428565</v>
      </c>
      <c r="U32" s="96">
        <f>Z_R_350!U32+(Z_R_390!$A$1-Z_R_350!$A$1)/(Z_R_420!$A$1-Z_R_350!$A$1)*(Z_R_420!U32-Z_R_350!U32)</f>
        <v>13.81</v>
      </c>
      <c r="V32" s="96">
        <f>Z_R_350!V32+(Z_R_390!$A$1-Z_R_350!$A$1)/(Z_R_420!$A$1-Z_R_350!$A$1)*(Z_R_420!V32-Z_R_350!V32)</f>
        <v>6.2328571428571431</v>
      </c>
      <c r="W32" s="96">
        <f>Z_R_350!W32+(Z_R_390!$A$1-Z_R_350!$A$1)/(Z_R_420!$A$1-Z_R_350!$A$1)*(Z_R_420!W32-Z_R_350!W32)</f>
        <v>61.585714285714289</v>
      </c>
      <c r="X32" s="96">
        <f>Z_R_350!X32+(Z_R_390!$A$1-Z_R_350!$A$1)/(Z_R_420!$A$1-Z_R_350!$A$1)*(Z_R_420!X32-Z_R_350!X32)</f>
        <v>8.2057142857142846</v>
      </c>
      <c r="Y32" s="96">
        <f>Z_R_350!Y32+(Z_R_390!$A$1-Z_R_350!$A$1)/(Z_R_420!$A$1-Z_R_350!$A$1)*(Z_R_420!Y32-Z_R_350!Y32)</f>
        <v>3.1371428571428575</v>
      </c>
      <c r="Z32" s="97">
        <f>Z_R_350!Z32+(Z_R_390!$A$1-Z_R_350!$A$1)/(Z_R_420!$A$1-Z_R_350!$A$1)*(Z_R_420!Z32-Z_R_350!Z32)</f>
        <v>6.8285714285714283</v>
      </c>
      <c r="AB32" s="163">
        <v>4.99</v>
      </c>
      <c r="AC32" s="163">
        <v>3.05</v>
      </c>
      <c r="AD32" s="163">
        <v>3.05</v>
      </c>
      <c r="AE32" s="163">
        <v>5.35</v>
      </c>
      <c r="AF32" s="163">
        <v>502.1</v>
      </c>
      <c r="AG32" s="163">
        <v>34.96</v>
      </c>
      <c r="AH32" s="163">
        <v>9.66</v>
      </c>
      <c r="AI32" s="163">
        <v>10.74</v>
      </c>
      <c r="AJ32" s="163">
        <v>5.21</v>
      </c>
      <c r="AK32" s="163">
        <v>484.5</v>
      </c>
      <c r="AL32" s="163">
        <v>34.79</v>
      </c>
      <c r="AM32" s="163">
        <v>9.65</v>
      </c>
      <c r="AN32" s="163">
        <v>13.92</v>
      </c>
      <c r="AO32" s="163">
        <v>6.32</v>
      </c>
      <c r="AP32" s="163">
        <v>62.76</v>
      </c>
      <c r="AQ32" s="163">
        <v>8.34</v>
      </c>
      <c r="AR32" s="163">
        <v>3.15</v>
      </c>
      <c r="AS32" s="163">
        <v>6.83</v>
      </c>
    </row>
    <row r="33" spans="1:45" ht="15" customHeight="1" thickBot="1" x14ac:dyDescent="0.3">
      <c r="A33" s="72" t="str">
        <f t="shared" si="12"/>
        <v>Z250x2,0</v>
      </c>
      <c r="B33" s="11" t="str">
        <f t="shared" si="7"/>
        <v>250</v>
      </c>
      <c r="C33" s="90">
        <f t="shared" si="8"/>
        <v>67</v>
      </c>
      <c r="D33" s="90">
        <f t="shared" si="9"/>
        <v>78</v>
      </c>
      <c r="E33" s="90">
        <f t="shared" si="10"/>
        <v>21.5</v>
      </c>
      <c r="F33" s="134" t="str">
        <f t="shared" si="11"/>
        <v>Z250</v>
      </c>
      <c r="G33" s="81" t="s">
        <v>40</v>
      </c>
      <c r="H33" s="117">
        <v>2</v>
      </c>
      <c r="I33" s="96">
        <v>6.62</v>
      </c>
      <c r="J33" s="96">
        <f>Z_R_350!J33+(Z_R_390!$A$1-Z_R_350!$A$1)/(Z_R_420!$A$1-Z_R_350!$A$1)*(Z_R_420!J33-Z_R_350!J33)</f>
        <v>4.9557142857142855</v>
      </c>
      <c r="K33" s="96">
        <f>Z_R_350!K33+(Z_R_390!$A$1-Z_R_350!$A$1)/(Z_R_420!$A$1-Z_R_350!$A$1)*(Z_R_420!K33-Z_R_350!K33)</f>
        <v>2.9085714285714288</v>
      </c>
      <c r="L33" s="96">
        <f>Z_R_350!L33+(Z_R_390!$A$1-Z_R_350!$A$1)/(Z_R_420!$A$1-Z_R_350!$A$1)*(Z_R_420!L33-Z_R_350!L33)</f>
        <v>7.7842857142857147</v>
      </c>
      <c r="M33" s="96">
        <f>Z_R_350!M33+(Z_R_390!$A$1-Z_R_350!$A$1)/(Z_R_420!$A$1-Z_R_350!$A$1)*(Z_R_420!M33-Z_R_350!M33)</f>
        <v>726.36</v>
      </c>
      <c r="N33" s="96">
        <f>Z_R_350!N33+(Z_R_390!$A$1-Z_R_350!$A$1)/(Z_R_420!$A$1-Z_R_350!$A$1)*(Z_R_420!N33-Z_R_350!N33)</f>
        <v>54.052857142857142</v>
      </c>
      <c r="O33" s="96">
        <f>Z_R_350!O33+(Z_R_390!$A$1-Z_R_350!$A$1)/(Z_R_420!$A$1-Z_R_350!$A$1)*(Z_R_420!O33-Z_R_350!O33)</f>
        <v>9.6557142857142857</v>
      </c>
      <c r="P33" s="96">
        <f>Z_R_350!P33+(Z_R_390!$A$1-Z_R_350!$A$1)/(Z_R_420!$A$1-Z_R_350!$A$1)*(Z_R_420!P33-Z_R_350!P33)</f>
        <v>11.561428571428571</v>
      </c>
      <c r="Q33" s="96">
        <f>Z_R_350!Q33+(Z_R_390!$A$1-Z_R_350!$A$1)/(Z_R_420!$A$1-Z_R_350!$A$1)*(Z_R_420!Q33-Z_R_350!Q33)</f>
        <v>7.7142857142857144</v>
      </c>
      <c r="R33" s="96">
        <f>Z_R_350!R33+(Z_R_390!$A$1-Z_R_350!$A$1)/(Z_R_420!$A$1-Z_R_350!$A$1)*(Z_R_420!R33-Z_R_350!R33)</f>
        <v>712.89428571428573</v>
      </c>
      <c r="S33" s="96">
        <f>Z_R_350!S33+(Z_R_390!$A$1-Z_R_350!$A$1)/(Z_R_420!$A$1-Z_R_350!$A$1)*(Z_R_420!S33-Z_R_350!S33)</f>
        <v>55.201428571428572</v>
      </c>
      <c r="T33" s="96">
        <f>Z_R_350!T33+(Z_R_390!$A$1-Z_R_350!$A$1)/(Z_R_420!$A$1-Z_R_350!$A$1)*(Z_R_420!T33-Z_R_350!T33)</f>
        <v>9.605714285714285</v>
      </c>
      <c r="U33" s="96">
        <f>Z_R_350!U33+(Z_R_390!$A$1-Z_R_350!$A$1)/(Z_R_420!$A$1-Z_R_350!$A$1)*(Z_R_420!U33-Z_R_350!U33)</f>
        <v>12.912857142857142</v>
      </c>
      <c r="V33" s="96">
        <f>Z_R_350!V33+(Z_R_390!$A$1-Z_R_350!$A$1)/(Z_R_420!$A$1-Z_R_350!$A$1)*(Z_R_420!V33-Z_R_350!V33)</f>
        <v>8.3214285714285712</v>
      </c>
      <c r="W33" s="96">
        <f>Z_R_350!W33+(Z_R_390!$A$1-Z_R_350!$A$1)/(Z_R_420!$A$1-Z_R_350!$A$1)*(Z_R_420!W33-Z_R_350!W33)</f>
        <v>81.945714285714288</v>
      </c>
      <c r="X33" s="96">
        <f>Z_R_350!X33+(Z_R_390!$A$1-Z_R_350!$A$1)/(Z_R_420!$A$1-Z_R_350!$A$1)*(Z_R_420!X33-Z_R_350!X33)</f>
        <v>10.862857142857143</v>
      </c>
      <c r="Y33" s="96">
        <f>Z_R_350!Y33+(Z_R_390!$A$1-Z_R_350!$A$1)/(Z_R_420!$A$1-Z_R_350!$A$1)*(Z_R_420!Y33-Z_R_350!Y33)</f>
        <v>3.1385714285714283</v>
      </c>
      <c r="Z33" s="97">
        <f>Z_R_350!Z33+(Z_R_390!$A$1-Z_R_350!$A$1)/(Z_R_420!$A$1-Z_R_350!$A$1)*(Z_R_420!Z33-Z_R_350!Z33)</f>
        <v>6.7828571428571429</v>
      </c>
      <c r="AB33" s="163">
        <v>6.62</v>
      </c>
      <c r="AC33" s="163">
        <v>4.95</v>
      </c>
      <c r="AD33" s="163">
        <v>2.91</v>
      </c>
      <c r="AE33" s="163">
        <v>7.78</v>
      </c>
      <c r="AF33" s="163">
        <v>690.8</v>
      </c>
      <c r="AG33" s="163">
        <v>54.05</v>
      </c>
      <c r="AH33" s="163">
        <v>9.65</v>
      </c>
      <c r="AI33" s="163">
        <v>11.23</v>
      </c>
      <c r="AJ33" s="163">
        <v>7.71</v>
      </c>
      <c r="AK33" s="163">
        <v>704.8</v>
      </c>
      <c r="AL33" s="163">
        <v>55.16</v>
      </c>
      <c r="AM33" s="163">
        <v>9.65</v>
      </c>
      <c r="AN33" s="163">
        <v>13.05</v>
      </c>
      <c r="AO33" s="163">
        <v>8.35</v>
      </c>
      <c r="AP33" s="163">
        <v>82.5</v>
      </c>
      <c r="AQ33" s="163">
        <v>10.92</v>
      </c>
      <c r="AR33" s="163">
        <v>3.15</v>
      </c>
      <c r="AS33" s="163">
        <v>6.8</v>
      </c>
    </row>
    <row r="34" spans="1:45" ht="15" customHeight="1" thickBot="1" x14ac:dyDescent="0.3">
      <c r="A34" s="72" t="str">
        <f t="shared" si="12"/>
        <v>Z250x2,5</v>
      </c>
      <c r="B34" s="11" t="str">
        <f t="shared" si="7"/>
        <v>250</v>
      </c>
      <c r="C34" s="90">
        <f t="shared" si="8"/>
        <v>68</v>
      </c>
      <c r="D34" s="90">
        <f t="shared" si="9"/>
        <v>79</v>
      </c>
      <c r="E34" s="90">
        <f t="shared" si="10"/>
        <v>22</v>
      </c>
      <c r="F34" s="134" t="str">
        <f t="shared" si="11"/>
        <v>Z250</v>
      </c>
      <c r="G34" s="81" t="s">
        <v>41</v>
      </c>
      <c r="H34" s="117">
        <v>2.5</v>
      </c>
      <c r="I34" s="96">
        <v>8.2799999999999994</v>
      </c>
      <c r="J34" s="96">
        <f>Z_R_350!J34+(Z_R_390!$A$1-Z_R_350!$A$1)/(Z_R_420!$A$1-Z_R_350!$A$1)*(Z_R_420!J34-Z_R_350!J34)</f>
        <v>6.9085714285714284</v>
      </c>
      <c r="K34" s="96">
        <f>Z_R_350!K34+(Z_R_390!$A$1-Z_R_350!$A$1)/(Z_R_420!$A$1-Z_R_350!$A$1)*(Z_R_420!K34-Z_R_350!K34)</f>
        <v>2.8428571428571425</v>
      </c>
      <c r="L34" s="96">
        <f>Z_R_350!L34+(Z_R_390!$A$1-Z_R_350!$A$1)/(Z_R_420!$A$1-Z_R_350!$A$1)*(Z_R_420!L34-Z_R_350!L34)</f>
        <v>10.318571428571429</v>
      </c>
      <c r="M34" s="96">
        <f>Z_R_350!M34+(Z_R_390!$A$1-Z_R_350!$A$1)/(Z_R_420!$A$1-Z_R_350!$A$1)*(Z_R_420!M34-Z_R_350!M34)</f>
        <v>944.25428571428574</v>
      </c>
      <c r="N34" s="96">
        <f>Z_R_350!N34+(Z_R_390!$A$1-Z_R_350!$A$1)/(Z_R_420!$A$1-Z_R_350!$A$1)*(Z_R_420!N34-Z_R_350!N34)</f>
        <v>72.701428571428579</v>
      </c>
      <c r="O34" s="96">
        <f>Z_R_350!O34+(Z_R_390!$A$1-Z_R_350!$A$1)/(Z_R_420!$A$1-Z_R_350!$A$1)*(Z_R_420!O34-Z_R_350!O34)</f>
        <v>9.5628571428571423</v>
      </c>
      <c r="P34" s="96">
        <f>Z_R_350!P34+(Z_R_390!$A$1-Z_R_350!$A$1)/(Z_R_420!$A$1-Z_R_350!$A$1)*(Z_R_420!P34-Z_R_350!P34)</f>
        <v>12.012857142857142</v>
      </c>
      <c r="Q34" s="96">
        <f>Z_R_350!Q34+(Z_R_390!$A$1-Z_R_350!$A$1)/(Z_R_420!$A$1-Z_R_350!$A$1)*(Z_R_420!Q34-Z_R_350!Q34)</f>
        <v>10.312857142857142</v>
      </c>
      <c r="R34" s="96">
        <f>Z_R_350!R34+(Z_R_390!$A$1-Z_R_350!$A$1)/(Z_R_420!$A$1-Z_R_350!$A$1)*(Z_R_420!R34-Z_R_350!R34)</f>
        <v>944.28571428571433</v>
      </c>
      <c r="S34" s="96">
        <f>Z_R_350!S34+(Z_R_390!$A$1-Z_R_350!$A$1)/(Z_R_420!$A$1-Z_R_350!$A$1)*(Z_R_420!S34-Z_R_350!S34)</f>
        <v>74.587142857142865</v>
      </c>
      <c r="T34" s="96">
        <f>Z_R_350!T34+(Z_R_390!$A$1-Z_R_350!$A$1)/(Z_R_420!$A$1-Z_R_350!$A$1)*(Z_R_420!T34-Z_R_350!T34)</f>
        <v>9.5628571428571423</v>
      </c>
      <c r="U34" s="96">
        <f>Z_R_350!U34+(Z_R_390!$A$1-Z_R_350!$A$1)/(Z_R_420!$A$1-Z_R_350!$A$1)*(Z_R_420!U34-Z_R_350!U34)</f>
        <v>12.342857142857143</v>
      </c>
      <c r="V34" s="96">
        <f>Z_R_350!V34+(Z_R_390!$A$1-Z_R_350!$A$1)/(Z_R_420!$A$1-Z_R_350!$A$1)*(Z_R_420!V34-Z_R_350!V34)</f>
        <v>10.544285714285714</v>
      </c>
      <c r="W34" s="96">
        <f>Z_R_350!W34+(Z_R_390!$A$1-Z_R_350!$A$1)/(Z_R_420!$A$1-Z_R_350!$A$1)*(Z_R_420!W34-Z_R_350!W34)</f>
        <v>106.85428571428572</v>
      </c>
      <c r="X34" s="96">
        <f>Z_R_350!X34+(Z_R_390!$A$1-Z_R_350!$A$1)/(Z_R_420!$A$1-Z_R_350!$A$1)*(Z_R_420!X34-Z_R_350!X34)</f>
        <v>13.73</v>
      </c>
      <c r="Y34" s="96">
        <f>Z_R_350!Y34+(Z_R_390!$A$1-Z_R_350!$A$1)/(Z_R_420!$A$1-Z_R_350!$A$1)*(Z_R_420!Y34-Z_R_350!Y34)</f>
        <v>3.18</v>
      </c>
      <c r="Z34" s="97">
        <f>Z_R_350!Z34+(Z_R_390!$A$1-Z_R_350!$A$1)/(Z_R_420!$A$1-Z_R_350!$A$1)*(Z_R_420!Z34-Z_R_350!Z34)</f>
        <v>6.91</v>
      </c>
      <c r="AB34" s="163">
        <v>8.2799999999999994</v>
      </c>
      <c r="AC34" s="163">
        <v>6.92</v>
      </c>
      <c r="AD34" s="163">
        <v>2.85</v>
      </c>
      <c r="AE34" s="163">
        <v>10.34</v>
      </c>
      <c r="AF34" s="163">
        <v>943.4</v>
      </c>
      <c r="AG34" s="163">
        <v>72.989999999999995</v>
      </c>
      <c r="AH34" s="163">
        <v>9.5500000000000007</v>
      </c>
      <c r="AI34" s="163">
        <v>12.07</v>
      </c>
      <c r="AJ34" s="163">
        <v>10.31</v>
      </c>
      <c r="AK34" s="163">
        <v>934.5</v>
      </c>
      <c r="AL34" s="163">
        <v>74.58</v>
      </c>
      <c r="AM34" s="163">
        <v>9.6199999999999992</v>
      </c>
      <c r="AN34" s="163">
        <v>12.49</v>
      </c>
      <c r="AO34" s="163">
        <v>10.55</v>
      </c>
      <c r="AP34" s="163">
        <v>106.98</v>
      </c>
      <c r="AQ34" s="163">
        <v>13.73</v>
      </c>
      <c r="AR34" s="163">
        <v>3.18</v>
      </c>
      <c r="AS34" s="163">
        <v>6.91</v>
      </c>
    </row>
    <row r="35" spans="1:45" ht="15" customHeight="1" thickBot="1" x14ac:dyDescent="0.3">
      <c r="A35" s="73" t="str">
        <f t="shared" si="12"/>
        <v>Z250x3,0</v>
      </c>
      <c r="B35" s="12" t="str">
        <f t="shared" si="7"/>
        <v>250</v>
      </c>
      <c r="C35" s="91">
        <f t="shared" si="8"/>
        <v>69</v>
      </c>
      <c r="D35" s="91">
        <f t="shared" si="9"/>
        <v>80</v>
      </c>
      <c r="E35" s="91">
        <f t="shared" si="10"/>
        <v>22.5</v>
      </c>
      <c r="F35" s="135" t="str">
        <f t="shared" si="11"/>
        <v>Z250</v>
      </c>
      <c r="G35" s="82" t="s">
        <v>42</v>
      </c>
      <c r="H35" s="118">
        <v>3</v>
      </c>
      <c r="I35" s="98">
        <v>9.9499999999999993</v>
      </c>
      <c r="J35" s="98">
        <f>Z_R_350!J35+(Z_R_390!$A$1-Z_R_350!$A$1)/(Z_R_420!$A$1-Z_R_350!$A$1)*(Z_R_420!J35-Z_R_350!J35)</f>
        <v>8.86</v>
      </c>
      <c r="K35" s="98">
        <f>Z_R_350!K35+(Z_R_390!$A$1-Z_R_350!$A$1)/(Z_R_420!$A$1-Z_R_350!$A$1)*(Z_R_420!K35-Z_R_350!K35)</f>
        <v>2.7985714285714285</v>
      </c>
      <c r="L35" s="98">
        <f>Z_R_350!L35+(Z_R_390!$A$1-Z_R_350!$A$1)/(Z_R_420!$A$1-Z_R_350!$A$1)*(Z_R_420!L35-Z_R_350!L35)</f>
        <v>12.67</v>
      </c>
      <c r="M35" s="98">
        <f>Z_R_350!M35+(Z_R_390!$A$1-Z_R_350!$A$1)/(Z_R_420!$A$1-Z_R_350!$A$1)*(Z_R_420!M35-Z_R_350!M35)</f>
        <v>1147.5</v>
      </c>
      <c r="N35" s="98">
        <f>Z_R_350!N35+(Z_R_390!$A$1-Z_R_350!$A$1)/(Z_R_420!$A$1-Z_R_350!$A$1)*(Z_R_420!N35-Z_R_350!N35)</f>
        <v>89.49</v>
      </c>
      <c r="O35" s="98">
        <f>Z_R_350!O35+(Z_R_390!$A$1-Z_R_350!$A$1)/(Z_R_420!$A$1-Z_R_350!$A$1)*(Z_R_420!O35-Z_R_350!O35)</f>
        <v>9.51</v>
      </c>
      <c r="P35" s="98">
        <f>Z_R_350!P35+(Z_R_390!$A$1-Z_R_350!$A$1)/(Z_R_420!$A$1-Z_R_350!$A$1)*(Z_R_420!P35-Z_R_350!P35)</f>
        <v>12.18</v>
      </c>
      <c r="Q35" s="98">
        <f>Z_R_350!Q35+(Z_R_390!$A$1-Z_R_350!$A$1)/(Z_R_420!$A$1-Z_R_350!$A$1)*(Z_R_420!Q35-Z_R_350!Q35)</f>
        <v>12.67</v>
      </c>
      <c r="R35" s="98">
        <f>Z_R_350!R35+(Z_R_390!$A$1-Z_R_350!$A$1)/(Z_R_420!$A$1-Z_R_350!$A$1)*(Z_R_420!R35-Z_R_350!R35)</f>
        <v>1147.5</v>
      </c>
      <c r="S35" s="98">
        <f>Z_R_350!S35+(Z_R_390!$A$1-Z_R_350!$A$1)/(Z_R_420!$A$1-Z_R_350!$A$1)*(Z_R_420!S35-Z_R_350!S35)</f>
        <v>89.49</v>
      </c>
      <c r="T35" s="98">
        <f>Z_R_350!T35+(Z_R_390!$A$1-Z_R_350!$A$1)/(Z_R_420!$A$1-Z_R_350!$A$1)*(Z_R_420!T35-Z_R_350!T35)</f>
        <v>9.51</v>
      </c>
      <c r="U35" s="98">
        <f>Z_R_350!U35+(Z_R_390!$A$1-Z_R_350!$A$1)/(Z_R_420!$A$1-Z_R_350!$A$1)*(Z_R_420!U35-Z_R_350!U35)</f>
        <v>12.18</v>
      </c>
      <c r="V35" s="98">
        <f>Z_R_350!V35+(Z_R_390!$A$1-Z_R_350!$A$1)/(Z_R_420!$A$1-Z_R_350!$A$1)*(Z_R_420!V35-Z_R_350!V35)</f>
        <v>12.674285714285714</v>
      </c>
      <c r="W35" s="98">
        <f>Z_R_350!W35+(Z_R_390!$A$1-Z_R_350!$A$1)/(Z_R_420!$A$1-Z_R_350!$A$1)*(Z_R_420!W35-Z_R_350!W35)</f>
        <v>131.16</v>
      </c>
      <c r="X35" s="98">
        <f>Z_R_350!X35+(Z_R_390!$A$1-Z_R_350!$A$1)/(Z_R_420!$A$1-Z_R_350!$A$1)*(Z_R_420!X35-Z_R_350!X35)</f>
        <v>16.57</v>
      </c>
      <c r="Y35" s="98">
        <f>Z_R_350!Y35+(Z_R_390!$A$1-Z_R_350!$A$1)/(Z_R_420!$A$1-Z_R_350!$A$1)*(Z_R_420!Y35-Z_R_350!Y35)</f>
        <v>3.21</v>
      </c>
      <c r="Z35" s="99">
        <f>Z_R_350!Z35+(Z_R_390!$A$1-Z_R_350!$A$1)/(Z_R_420!$A$1-Z_R_350!$A$1)*(Z_R_420!Z35-Z_R_350!Z35)</f>
        <v>6.98</v>
      </c>
      <c r="AB35" s="163">
        <v>9.9499999999999993</v>
      </c>
      <c r="AC35" s="163">
        <v>8.85</v>
      </c>
      <c r="AD35" s="163">
        <v>2.8</v>
      </c>
      <c r="AE35" s="163">
        <v>12.67</v>
      </c>
      <c r="AF35" s="163">
        <v>1147.5</v>
      </c>
      <c r="AG35" s="163">
        <v>89.49</v>
      </c>
      <c r="AH35" s="163">
        <v>9.51</v>
      </c>
      <c r="AI35" s="163">
        <v>12.18</v>
      </c>
      <c r="AJ35" s="163">
        <v>12.67</v>
      </c>
      <c r="AK35" s="163">
        <v>1147.5</v>
      </c>
      <c r="AL35" s="163">
        <v>89.49</v>
      </c>
      <c r="AM35" s="163">
        <v>7.71</v>
      </c>
      <c r="AN35" s="163">
        <v>12.28</v>
      </c>
      <c r="AO35" s="163">
        <v>12.68</v>
      </c>
      <c r="AP35" s="163">
        <v>131.16</v>
      </c>
      <c r="AQ35" s="163">
        <v>16.57</v>
      </c>
      <c r="AR35" s="163">
        <v>3.21</v>
      </c>
      <c r="AS35" s="163">
        <v>6.98</v>
      </c>
    </row>
    <row r="36" spans="1:45" ht="15" customHeight="1" thickBot="1" x14ac:dyDescent="0.3">
      <c r="A36" s="74" t="str">
        <f t="shared" ref="A36:A48" si="13">CONCATENATE(F36,"x",(IF(H36=INT(H36),CONCATENATE(H36,",",0),H36)))</f>
        <v>Z300x2,0</v>
      </c>
      <c r="B36" s="10" t="str">
        <f t="shared" ref="B36:B48" si="14">LEFT(G36,3)</f>
        <v>300</v>
      </c>
      <c r="C36" s="88">
        <f t="shared" ref="C36:C48" si="15">VALUE(MID(G36,(SEARCH("/",G36,1)+1),(SEARCH("/",G36,(SEARCH("/",G36,1)+1))-SEARCH("/",G36,1)-1)))</f>
        <v>85</v>
      </c>
      <c r="D36" s="88">
        <f t="shared" ref="D36:D48" si="16">VALUE(MID(G36,(SEARCH("/",G36,(SEARCH("/",G36,1)+1))+1),(SEARCH("/",G36,SEARCH("/",G36,(SEARCH("/",G36,1)+1))+1))-(SEARCH("/",G36,(SEARCH("/",G36,1)+1))+1)))</f>
        <v>93</v>
      </c>
      <c r="E36" s="89">
        <f t="shared" ref="E36:E48" si="17">VALUE(MID(G36,(SEARCH("/",G36,SEARCH("/",G36,(SEARCH("/",G36,1)+1))+1)+1),4))</f>
        <v>29.5</v>
      </c>
      <c r="F36" s="9" t="str">
        <f t="shared" ref="F36:F48" si="18">CONCATENATE("Z",LEFT(G36,3))</f>
        <v>Z300</v>
      </c>
      <c r="G36" s="80" t="s">
        <v>43</v>
      </c>
      <c r="H36" s="116">
        <v>2</v>
      </c>
      <c r="I36" s="94">
        <v>8.17</v>
      </c>
      <c r="J36" s="94">
        <f>Z_R_350!J36+(Z_R_390!$A$1-Z_R_350!$A$1)/(Z_R_420!$A$1-Z_R_350!$A$1)*(Z_R_420!J36-Z_R_350!J36)</f>
        <v>5.3528571428571432</v>
      </c>
      <c r="K36" s="94">
        <f>Z_R_350!K36+(Z_R_390!$A$1-Z_R_350!$A$1)/(Z_R_420!$A$1-Z_R_350!$A$1)*(Z_R_420!K36-Z_R_350!K36)</f>
        <v>3.7214285714285715</v>
      </c>
      <c r="L36" s="94">
        <f>Z_R_350!L36+(Z_R_390!$A$1-Z_R_350!$A$1)/(Z_R_420!$A$1-Z_R_350!$A$1)*(Z_R_420!L36-Z_R_350!L36)</f>
        <v>9.02</v>
      </c>
      <c r="M36" s="94">
        <f>Z_R_350!M36+(Z_R_390!$A$1-Z_R_350!$A$1)/(Z_R_420!$A$1-Z_R_350!$A$1)*(Z_R_420!M36-Z_R_350!M36)</f>
        <v>1223.0785714285714</v>
      </c>
      <c r="N36" s="94">
        <f>Z_R_350!N36+(Z_R_390!$A$1-Z_R_350!$A$1)/(Z_R_420!$A$1-Z_R_350!$A$1)*(Z_R_420!N36-Z_R_350!N36)</f>
        <v>73.255714285714291</v>
      </c>
      <c r="O36" s="94">
        <f>Z_R_350!O36+(Z_R_390!$A$1-Z_R_350!$A$1)/(Z_R_420!$A$1-Z_R_350!$A$1)*(Z_R_420!O36-Z_R_350!O36)</f>
        <v>11.634285714285715</v>
      </c>
      <c r="P36" s="94">
        <f>Z_R_350!P36+(Z_R_390!$A$1-Z_R_350!$A$1)/(Z_R_420!$A$1-Z_R_350!$A$1)*(Z_R_420!P36-Z_R_350!P36)</f>
        <v>13.305714285714286</v>
      </c>
      <c r="Q36" s="94">
        <f>Z_R_350!Q36+(Z_R_390!$A$1-Z_R_350!$A$1)/(Z_R_420!$A$1-Z_R_350!$A$1)*(Z_R_420!Q36-Z_R_350!Q36)</f>
        <v>8.9599999999999991</v>
      </c>
      <c r="R36" s="94">
        <f>Z_R_350!R36+(Z_R_390!$A$1-Z_R_350!$A$1)/(Z_R_420!$A$1-Z_R_350!$A$1)*(Z_R_420!R36-Z_R_350!R36)</f>
        <v>1206.1442857142858</v>
      </c>
      <c r="S36" s="94">
        <f>Z_R_350!S36+(Z_R_390!$A$1-Z_R_350!$A$1)/(Z_R_420!$A$1-Z_R_350!$A$1)*(Z_R_420!S36-Z_R_350!S36)</f>
        <v>73.89</v>
      </c>
      <c r="T36" s="94">
        <f>Z_R_350!T36+(Z_R_390!$A$1-Z_R_350!$A$1)/(Z_R_420!$A$1-Z_R_350!$A$1)*(Z_R_420!T36-Z_R_350!T36)</f>
        <v>11.562857142857144</v>
      </c>
      <c r="U36" s="94">
        <f>Z_R_350!U36+(Z_R_390!$A$1-Z_R_350!$A$1)/(Z_R_420!$A$1-Z_R_350!$A$1)*(Z_R_420!U36-Z_R_350!U36)</f>
        <v>16.324285714285715</v>
      </c>
      <c r="V36" s="94">
        <f>Z_R_350!V36+(Z_R_390!$A$1-Z_R_350!$A$1)/(Z_R_420!$A$1-Z_R_350!$A$1)*(Z_R_420!V36-Z_R_350!V36)</f>
        <v>10.264285714285714</v>
      </c>
      <c r="W36" s="94">
        <f>Z_R_350!W36+(Z_R_390!$A$1-Z_R_350!$A$1)/(Z_R_420!$A$1-Z_R_350!$A$1)*(Z_R_420!W36-Z_R_350!W36)</f>
        <v>160.37285714285713</v>
      </c>
      <c r="X36" s="94">
        <f>Z_R_350!X36+(Z_R_390!$A$1-Z_R_350!$A$1)/(Z_R_420!$A$1-Z_R_350!$A$1)*(Z_R_420!X36-Z_R_350!X36)</f>
        <v>17.657142857142855</v>
      </c>
      <c r="Y36" s="94">
        <f>Z_R_350!Y36+(Z_R_390!$A$1-Z_R_350!$A$1)/(Z_R_420!$A$1-Z_R_350!$A$1)*(Z_R_420!Y36-Z_R_350!Y36)</f>
        <v>3.9471428571428575</v>
      </c>
      <c r="Z36" s="95">
        <f>Z_R_350!Z36+(Z_R_390!$A$1-Z_R_350!$A$1)/(Z_R_420!$A$1-Z_R_350!$A$1)*(Z_R_420!Z36-Z_R_350!Z36)</f>
        <v>8.5128571428571433</v>
      </c>
      <c r="AB36" s="163">
        <v>8.17</v>
      </c>
      <c r="AC36" s="163">
        <v>5.35</v>
      </c>
      <c r="AD36" s="163">
        <v>3.72</v>
      </c>
      <c r="AE36" s="163">
        <v>9.0500000000000007</v>
      </c>
      <c r="AF36" s="163">
        <v>1225</v>
      </c>
      <c r="AG36" s="163">
        <v>73.48</v>
      </c>
      <c r="AH36" s="163">
        <v>11.64</v>
      </c>
      <c r="AI36" s="163">
        <v>13.33</v>
      </c>
      <c r="AJ36" s="163">
        <v>8.9499999999999993</v>
      </c>
      <c r="AK36" s="163">
        <v>1206.0999999999999</v>
      </c>
      <c r="AL36" s="163">
        <v>72.47</v>
      </c>
      <c r="AM36" s="163">
        <v>11.64</v>
      </c>
      <c r="AN36" s="163">
        <v>16.489999999999998</v>
      </c>
      <c r="AO36" s="163">
        <v>10.33</v>
      </c>
      <c r="AP36" s="163">
        <v>161.82</v>
      </c>
      <c r="AQ36" s="163">
        <v>17.649999999999999</v>
      </c>
      <c r="AR36" s="163">
        <v>3.96</v>
      </c>
      <c r="AS36" s="163">
        <v>8.9600000000000009</v>
      </c>
    </row>
    <row r="37" spans="1:45" ht="15" customHeight="1" thickBot="1" x14ac:dyDescent="0.3">
      <c r="A37" s="72" t="str">
        <f t="shared" si="13"/>
        <v>Z300x2,5</v>
      </c>
      <c r="B37" s="11" t="str">
        <f t="shared" si="14"/>
        <v>300</v>
      </c>
      <c r="C37" s="90">
        <f t="shared" si="15"/>
        <v>86</v>
      </c>
      <c r="D37" s="90">
        <f t="shared" si="16"/>
        <v>94</v>
      </c>
      <c r="E37" s="90">
        <f t="shared" si="17"/>
        <v>30</v>
      </c>
      <c r="F37" s="134" t="str">
        <f t="shared" si="18"/>
        <v>Z300</v>
      </c>
      <c r="G37" s="81" t="s">
        <v>44</v>
      </c>
      <c r="H37" s="117">
        <v>2.5</v>
      </c>
      <c r="I37" s="96">
        <v>10.220000000000001</v>
      </c>
      <c r="J37" s="96">
        <f>Z_R_350!J37+(Z_R_390!$A$1-Z_R_350!$A$1)/(Z_R_420!$A$1-Z_R_350!$A$1)*(Z_R_420!J37-Z_R_350!J37)</f>
        <v>7.8828571428571435</v>
      </c>
      <c r="K37" s="96">
        <f>Z_R_350!K37+(Z_R_390!$A$1-Z_R_350!$A$1)/(Z_R_420!$A$1-Z_R_350!$A$1)*(Z_R_420!K37-Z_R_350!K37)</f>
        <v>3.6928571428571426</v>
      </c>
      <c r="L37" s="96">
        <f>Z_R_350!L37+(Z_R_390!$A$1-Z_R_350!$A$1)/(Z_R_420!$A$1-Z_R_350!$A$1)*(Z_R_420!L37-Z_R_350!L37)</f>
        <v>12.158571428571427</v>
      </c>
      <c r="M37" s="96">
        <f>Z_R_350!M37+(Z_R_390!$A$1-Z_R_350!$A$1)/(Z_R_420!$A$1-Z_R_350!$A$1)*(Z_R_420!M37-Z_R_350!M37)</f>
        <v>1643.1242857142856</v>
      </c>
      <c r="N37" s="96">
        <f>Z_R_350!N37+(Z_R_390!$A$1-Z_R_350!$A$1)/(Z_R_420!$A$1-Z_R_350!$A$1)*(Z_R_420!N37-Z_R_350!N37)</f>
        <v>103.44571428571429</v>
      </c>
      <c r="O37" s="96">
        <f>Z_R_350!O37+(Z_R_390!$A$1-Z_R_350!$A$1)/(Z_R_420!$A$1-Z_R_350!$A$1)*(Z_R_420!O37-Z_R_350!O37)</f>
        <v>11.615714285714285</v>
      </c>
      <c r="P37" s="96">
        <f>Z_R_350!P37+(Z_R_390!$A$1-Z_R_350!$A$1)/(Z_R_420!$A$1-Z_R_350!$A$1)*(Z_R_420!P37-Z_R_350!P37)</f>
        <v>14.111428571428572</v>
      </c>
      <c r="Q37" s="96">
        <f>Z_R_350!Q37+(Z_R_390!$A$1-Z_R_350!$A$1)/(Z_R_420!$A$1-Z_R_350!$A$1)*(Z_R_420!Q37-Z_R_350!Q37)</f>
        <v>12.104285714285714</v>
      </c>
      <c r="R37" s="96">
        <f>Z_R_350!R37+(Z_R_390!$A$1-Z_R_350!$A$1)/(Z_R_420!$A$1-Z_R_350!$A$1)*(Z_R_420!R37-Z_R_350!R37)</f>
        <v>1624.8728571428571</v>
      </c>
      <c r="S37" s="96">
        <f>Z_R_350!S37+(Z_R_390!$A$1-Z_R_350!$A$1)/(Z_R_420!$A$1-Z_R_350!$A$1)*(Z_R_420!S37-Z_R_350!S37)</f>
        <v>104.74</v>
      </c>
      <c r="T37" s="96">
        <f>Z_R_350!T37+(Z_R_390!$A$1-Z_R_350!$A$1)/(Z_R_420!$A$1-Z_R_350!$A$1)*(Z_R_420!T37-Z_R_350!T37)</f>
        <v>11.575714285714286</v>
      </c>
      <c r="U37" s="96">
        <f>Z_R_350!U37+(Z_R_390!$A$1-Z_R_350!$A$1)/(Z_R_420!$A$1-Z_R_350!$A$1)*(Z_R_420!U37-Z_R_350!U37)</f>
        <v>15.512857142857143</v>
      </c>
      <c r="V37" s="96">
        <f>Z_R_350!V37+(Z_R_390!$A$1-Z_R_350!$A$1)/(Z_R_420!$A$1-Z_R_350!$A$1)*(Z_R_420!V37-Z_R_350!V37)</f>
        <v>12.867142857142857</v>
      </c>
      <c r="W37" s="96">
        <f>Z_R_350!W37+(Z_R_390!$A$1-Z_R_350!$A$1)/(Z_R_420!$A$1-Z_R_350!$A$1)*(Z_R_420!W37-Z_R_350!W37)</f>
        <v>208.70714285714286</v>
      </c>
      <c r="X37" s="96">
        <f>Z_R_350!X37+(Z_R_390!$A$1-Z_R_350!$A$1)/(Z_R_420!$A$1-Z_R_350!$A$1)*(Z_R_420!X37-Z_R_350!X37)</f>
        <v>22.668571428571429</v>
      </c>
      <c r="Y37" s="96">
        <f>Z_R_350!Y37+(Z_R_390!$A$1-Z_R_350!$A$1)/(Z_R_420!$A$1-Z_R_350!$A$1)*(Z_R_420!Y37-Z_R_350!Y37)</f>
        <v>4.0228571428571431</v>
      </c>
      <c r="Z37" s="97">
        <f>Z_R_350!Z37+(Z_R_390!$A$1-Z_R_350!$A$1)/(Z_R_420!$A$1-Z_R_350!$A$1)*(Z_R_420!Z37-Z_R_350!Z37)</f>
        <v>8.5914285714285707</v>
      </c>
      <c r="AB37" s="163">
        <v>10.220000000000001</v>
      </c>
      <c r="AC37" s="163">
        <v>7.88</v>
      </c>
      <c r="AD37" s="163">
        <v>3.7</v>
      </c>
      <c r="AE37" s="163">
        <v>12.14</v>
      </c>
      <c r="AF37" s="163">
        <v>1641.2</v>
      </c>
      <c r="AG37" s="163">
        <v>103.2</v>
      </c>
      <c r="AH37" s="163">
        <v>11.63</v>
      </c>
      <c r="AI37" s="163">
        <v>14.1</v>
      </c>
      <c r="AJ37" s="163">
        <v>12.1</v>
      </c>
      <c r="AK37" s="163">
        <v>1624.8</v>
      </c>
      <c r="AL37" s="163">
        <v>104.74</v>
      </c>
      <c r="AM37" s="163">
        <v>11.64</v>
      </c>
      <c r="AN37" s="163">
        <v>15.72</v>
      </c>
      <c r="AO37" s="163">
        <v>12.86</v>
      </c>
      <c r="AP37" s="163">
        <v>209.54</v>
      </c>
      <c r="AQ37" s="163">
        <v>22.66</v>
      </c>
      <c r="AR37" s="163">
        <v>4.0199999999999996</v>
      </c>
      <c r="AS37" s="163">
        <v>9.1</v>
      </c>
    </row>
    <row r="38" spans="1:45" ht="15" customHeight="1" thickBot="1" x14ac:dyDescent="0.3">
      <c r="A38" s="72" t="str">
        <f t="shared" si="13"/>
        <v>Z300x3,0</v>
      </c>
      <c r="B38" s="11" t="str">
        <f t="shared" si="14"/>
        <v>300</v>
      </c>
      <c r="C38" s="90">
        <f t="shared" si="15"/>
        <v>87</v>
      </c>
      <c r="D38" s="90">
        <f t="shared" si="16"/>
        <v>95</v>
      </c>
      <c r="E38" s="90">
        <f t="shared" si="17"/>
        <v>30.5</v>
      </c>
      <c r="F38" s="134" t="str">
        <f t="shared" si="18"/>
        <v>Z300</v>
      </c>
      <c r="G38" s="81" t="s">
        <v>45</v>
      </c>
      <c r="H38" s="117">
        <v>3</v>
      </c>
      <c r="I38" s="96">
        <v>12.28</v>
      </c>
      <c r="J38" s="96">
        <f>Z_R_350!J38+(Z_R_390!$A$1-Z_R_350!$A$1)/(Z_R_420!$A$1-Z_R_350!$A$1)*(Z_R_420!J38-Z_R_350!J38)</f>
        <v>10.385714285714286</v>
      </c>
      <c r="K38" s="96">
        <f>Z_R_350!K38+(Z_R_390!$A$1-Z_R_350!$A$1)/(Z_R_420!$A$1-Z_R_350!$A$1)*(Z_R_420!K38-Z_R_350!K38)</f>
        <v>3.6285714285714286</v>
      </c>
      <c r="L38" s="96">
        <f>Z_R_350!L38+(Z_R_390!$A$1-Z_R_350!$A$1)/(Z_R_420!$A$1-Z_R_350!$A$1)*(Z_R_420!L38-Z_R_350!L38)</f>
        <v>15.361428571428572</v>
      </c>
      <c r="M38" s="96">
        <f>Z_R_350!M38+(Z_R_390!$A$1-Z_R_350!$A$1)/(Z_R_420!$A$1-Z_R_350!$A$1)*(Z_R_420!M38-Z_R_350!M38)</f>
        <v>2046.5985714285714</v>
      </c>
      <c r="N38" s="96">
        <f>Z_R_350!N38+(Z_R_390!$A$1-Z_R_350!$A$1)/(Z_R_420!$A$1-Z_R_350!$A$1)*(Z_R_420!N38-Z_R_350!N38)</f>
        <v>132.97285714285715</v>
      </c>
      <c r="O38" s="96">
        <f>Z_R_350!O38+(Z_R_390!$A$1-Z_R_350!$A$1)/(Z_R_420!$A$1-Z_R_350!$A$1)*(Z_R_420!O38-Z_R_350!O38)</f>
        <v>11.538571428571428</v>
      </c>
      <c r="P38" s="96">
        <f>Z_R_350!P38+(Z_R_390!$A$1-Z_R_350!$A$1)/(Z_R_420!$A$1-Z_R_350!$A$1)*(Z_R_420!P38-Z_R_350!P38)</f>
        <v>14.611428571428572</v>
      </c>
      <c r="Q38" s="96">
        <f>Z_R_350!Q38+(Z_R_390!$A$1-Z_R_350!$A$1)/(Z_R_420!$A$1-Z_R_350!$A$1)*(Z_R_420!Q38-Z_R_350!Q38)</f>
        <v>15.344285714285714</v>
      </c>
      <c r="R38" s="96">
        <f>Z_R_350!R38+(Z_R_390!$A$1-Z_R_350!$A$1)/(Z_R_420!$A$1-Z_R_350!$A$1)*(Z_R_420!R38-Z_R_350!R38)</f>
        <v>2043.4157142857143</v>
      </c>
      <c r="S38" s="96">
        <f>Z_R_350!S38+(Z_R_390!$A$1-Z_R_350!$A$1)/(Z_R_420!$A$1-Z_R_350!$A$1)*(Z_R_420!S38-Z_R_350!S38)</f>
        <v>135.28</v>
      </c>
      <c r="T38" s="96">
        <f>Z_R_350!T38+(Z_R_390!$A$1-Z_R_350!$A$1)/(Z_R_420!$A$1-Z_R_350!$A$1)*(Z_R_420!T38-Z_R_350!T38)</f>
        <v>11.532857142857143</v>
      </c>
      <c r="U38" s="96">
        <f>Z_R_350!U38+(Z_R_390!$A$1-Z_R_350!$A$1)/(Z_R_420!$A$1-Z_R_350!$A$1)*(Z_R_420!U38-Z_R_350!U38)</f>
        <v>14.945714285714285</v>
      </c>
      <c r="V38" s="96">
        <f>Z_R_350!V38+(Z_R_390!$A$1-Z_R_350!$A$1)/(Z_R_420!$A$1-Z_R_350!$A$1)*(Z_R_420!V38-Z_R_350!V38)</f>
        <v>15.632857142857143</v>
      </c>
      <c r="W38" s="96">
        <f>Z_R_350!W38+(Z_R_390!$A$1-Z_R_350!$A$1)/(Z_R_420!$A$1-Z_R_350!$A$1)*(Z_R_420!W38-Z_R_350!W38)</f>
        <v>260.29428571428571</v>
      </c>
      <c r="X38" s="96">
        <f>Z_R_350!X38+(Z_R_390!$A$1-Z_R_350!$A$1)/(Z_R_420!$A$1-Z_R_350!$A$1)*(Z_R_420!X38-Z_R_350!X38)</f>
        <v>27.504285714285714</v>
      </c>
      <c r="Y38" s="96">
        <f>Z_R_350!Y38+(Z_R_390!$A$1-Z_R_350!$A$1)/(Z_R_420!$A$1-Z_R_350!$A$1)*(Z_R_420!Y38-Z_R_350!Y38)</f>
        <v>4.08</v>
      </c>
      <c r="Z38" s="97">
        <f>Z_R_350!Z38+(Z_R_390!$A$1-Z_R_350!$A$1)/(Z_R_420!$A$1-Z_R_350!$A$1)*(Z_R_420!Z38-Z_R_350!Z38)</f>
        <v>8.73</v>
      </c>
      <c r="AB38" s="163">
        <v>12.28</v>
      </c>
      <c r="AC38" s="163">
        <v>10.39</v>
      </c>
      <c r="AD38" s="163">
        <v>3.63</v>
      </c>
      <c r="AE38" s="163">
        <v>15.43</v>
      </c>
      <c r="AF38" s="163">
        <v>2051.9</v>
      </c>
      <c r="AG38" s="163">
        <v>133.65</v>
      </c>
      <c r="AH38" s="163">
        <v>11.53</v>
      </c>
      <c r="AI38" s="163">
        <v>14.65</v>
      </c>
      <c r="AJ38" s="163">
        <v>15.34</v>
      </c>
      <c r="AK38" s="163">
        <v>2043.4</v>
      </c>
      <c r="AL38" s="163">
        <v>135.28</v>
      </c>
      <c r="AM38" s="163">
        <v>11.61</v>
      </c>
      <c r="AN38" s="163">
        <v>15.16</v>
      </c>
      <c r="AO38" s="163">
        <v>15.65</v>
      </c>
      <c r="AP38" s="163">
        <v>260.62</v>
      </c>
      <c r="AQ38" s="163">
        <v>27.51</v>
      </c>
      <c r="AR38" s="163">
        <v>4.08</v>
      </c>
      <c r="AS38" s="163">
        <v>8.73</v>
      </c>
    </row>
    <row r="39" spans="1:45" ht="15" customHeight="1" thickBot="1" x14ac:dyDescent="0.3">
      <c r="A39" s="73" t="str">
        <f t="shared" si="13"/>
        <v>Z300x3,5</v>
      </c>
      <c r="B39" s="12" t="str">
        <f t="shared" si="14"/>
        <v>300</v>
      </c>
      <c r="C39" s="92">
        <f t="shared" si="15"/>
        <v>88</v>
      </c>
      <c r="D39" s="92">
        <f t="shared" si="16"/>
        <v>96</v>
      </c>
      <c r="E39" s="91">
        <f t="shared" si="17"/>
        <v>31</v>
      </c>
      <c r="F39" s="135" t="str">
        <f t="shared" si="18"/>
        <v>Z300</v>
      </c>
      <c r="G39" s="82" t="s">
        <v>46</v>
      </c>
      <c r="H39" s="118">
        <v>3.5</v>
      </c>
      <c r="I39" s="98">
        <v>14.35</v>
      </c>
      <c r="J39" s="98">
        <f>Z_R_350!J39+(Z_R_390!$A$1-Z_R_350!$A$1)/(Z_R_420!$A$1-Z_R_350!$A$1)*(Z_R_420!J39-Z_R_350!J39)</f>
        <v>12.792857142857143</v>
      </c>
      <c r="K39" s="98">
        <f>Z_R_350!K39+(Z_R_390!$A$1-Z_R_350!$A$1)/(Z_R_420!$A$1-Z_R_350!$A$1)*(Z_R_420!K39-Z_R_350!K39)</f>
        <v>3.5785714285714287</v>
      </c>
      <c r="L39" s="98">
        <f>Z_R_350!L39+(Z_R_390!$A$1-Z_R_350!$A$1)/(Z_R_420!$A$1-Z_R_350!$A$1)*(Z_R_420!L39-Z_R_350!L39)</f>
        <v>18.27</v>
      </c>
      <c r="M39" s="98">
        <f>Z_R_350!M39+(Z_R_390!$A$1-Z_R_350!$A$1)/(Z_R_420!$A$1-Z_R_350!$A$1)*(Z_R_420!M39-Z_R_350!M39)</f>
        <v>2411.48</v>
      </c>
      <c r="N39" s="98">
        <f>Z_R_350!N39+(Z_R_390!$A$1-Z_R_350!$A$1)/(Z_R_420!$A$1-Z_R_350!$A$1)*(Z_R_420!N39-Z_R_350!N39)</f>
        <v>158.36000000000001</v>
      </c>
      <c r="O39" s="98">
        <f>Z_R_350!O39+(Z_R_390!$A$1-Z_R_350!$A$1)/(Z_R_420!$A$1-Z_R_350!$A$1)*(Z_R_420!O39-Z_R_350!O39)</f>
        <v>11.48</v>
      </c>
      <c r="P39" s="98">
        <f>Z_R_350!P39+(Z_R_390!$A$1-Z_R_350!$A$1)/(Z_R_420!$A$1-Z_R_350!$A$1)*(Z_R_420!P39-Z_R_350!P39)</f>
        <v>14.77</v>
      </c>
      <c r="Q39" s="98">
        <f>Z_R_350!Q39+(Z_R_390!$A$1-Z_R_350!$A$1)/(Z_R_420!$A$1-Z_R_350!$A$1)*(Z_R_420!Q39-Z_R_350!Q39)</f>
        <v>18.27</v>
      </c>
      <c r="R39" s="98">
        <f>Z_R_350!R39+(Z_R_390!$A$1-Z_R_350!$A$1)/(Z_R_420!$A$1-Z_R_350!$A$1)*(Z_R_420!R39-Z_R_350!R39)</f>
        <v>2411.48</v>
      </c>
      <c r="S39" s="98">
        <f>Z_R_350!S39+(Z_R_390!$A$1-Z_R_350!$A$1)/(Z_R_420!$A$1-Z_R_350!$A$1)*(Z_R_420!S39-Z_R_350!S39)</f>
        <v>158.36000000000001</v>
      </c>
      <c r="T39" s="98">
        <f>Z_R_350!T39+(Z_R_390!$A$1-Z_R_350!$A$1)/(Z_R_420!$A$1-Z_R_350!$A$1)*(Z_R_420!T39-Z_R_350!T39)</f>
        <v>11.48</v>
      </c>
      <c r="U39" s="98">
        <f>Z_R_350!U39+(Z_R_390!$A$1-Z_R_350!$A$1)/(Z_R_420!$A$1-Z_R_350!$A$1)*(Z_R_420!U39-Z_R_350!U39)</f>
        <v>14.77</v>
      </c>
      <c r="V39" s="98">
        <f>Z_R_350!V39+(Z_R_390!$A$1-Z_R_350!$A$1)/(Z_R_420!$A$1-Z_R_350!$A$1)*(Z_R_420!V39-Z_R_350!V39)</f>
        <v>18.274285714285714</v>
      </c>
      <c r="W39" s="98">
        <f>Z_R_350!W39+(Z_R_390!$A$1-Z_R_350!$A$1)/(Z_R_420!$A$1-Z_R_350!$A$1)*(Z_R_420!W39-Z_R_350!W39)</f>
        <v>309.25</v>
      </c>
      <c r="X39" s="98">
        <f>Z_R_350!X39+(Z_R_390!$A$1-Z_R_350!$A$1)/(Z_R_420!$A$1-Z_R_350!$A$1)*(Z_R_420!X39-Z_R_350!X39)</f>
        <v>32.214285714285715</v>
      </c>
      <c r="Y39" s="98">
        <f>Z_R_350!Y39+(Z_R_390!$A$1-Z_R_350!$A$1)/(Z_R_420!$A$1-Z_R_350!$A$1)*(Z_R_420!Y39-Z_R_350!Y39)</f>
        <v>4.1100000000000003</v>
      </c>
      <c r="Z39" s="99">
        <f>Z_R_350!Z39+(Z_R_390!$A$1-Z_R_350!$A$1)/(Z_R_420!$A$1-Z_R_350!$A$1)*(Z_R_420!Z39-Z_R_350!Z39)</f>
        <v>8.8000000000000007</v>
      </c>
      <c r="AB39" s="163">
        <v>14.35</v>
      </c>
      <c r="AC39" s="163">
        <v>12.77</v>
      </c>
      <c r="AD39" s="163">
        <v>3.58</v>
      </c>
      <c r="AE39" s="163">
        <v>18.27</v>
      </c>
      <c r="AF39" s="163">
        <v>2411.48</v>
      </c>
      <c r="AG39" s="163">
        <v>158.36000000000001</v>
      </c>
      <c r="AH39" s="163">
        <v>11.48</v>
      </c>
      <c r="AI39" s="163">
        <v>14.77</v>
      </c>
      <c r="AJ39" s="163">
        <v>18.27</v>
      </c>
      <c r="AK39" s="163">
        <v>2411.4</v>
      </c>
      <c r="AL39" s="163">
        <v>158.36000000000001</v>
      </c>
      <c r="AM39" s="163">
        <v>11.55</v>
      </c>
      <c r="AN39" s="163">
        <v>14.95</v>
      </c>
      <c r="AO39" s="163">
        <v>18.28</v>
      </c>
      <c r="AP39" s="163">
        <v>309.25</v>
      </c>
      <c r="AQ39" s="163">
        <v>32.22</v>
      </c>
      <c r="AR39" s="163">
        <v>4.1100000000000003</v>
      </c>
      <c r="AS39" s="163">
        <v>8.8000000000000007</v>
      </c>
    </row>
    <row r="40" spans="1:45" ht="15" customHeight="1" thickBot="1" x14ac:dyDescent="0.3">
      <c r="A40" s="74" t="str">
        <f t="shared" si="13"/>
        <v>Z350x2,0</v>
      </c>
      <c r="B40" s="10" t="str">
        <f t="shared" si="14"/>
        <v>350</v>
      </c>
      <c r="C40" s="88">
        <f t="shared" si="15"/>
        <v>85</v>
      </c>
      <c r="D40" s="88">
        <f t="shared" si="16"/>
        <v>93</v>
      </c>
      <c r="E40" s="89">
        <f t="shared" si="17"/>
        <v>29.5</v>
      </c>
      <c r="F40" s="9" t="str">
        <f t="shared" si="18"/>
        <v>Z350</v>
      </c>
      <c r="G40" s="80" t="s">
        <v>47</v>
      </c>
      <c r="H40" s="116">
        <v>2</v>
      </c>
      <c r="I40" s="94">
        <v>8.9600000000000009</v>
      </c>
      <c r="J40" s="94">
        <f>Z_R_350!J40+(Z_R_390!$A$1-Z_R_350!$A$1)/(Z_R_420!$A$1-Z_R_350!$A$1)*(Z_R_420!J40-Z_R_350!J40)</f>
        <v>5.3728571428571428</v>
      </c>
      <c r="K40" s="94">
        <f>Z_R_350!K40+(Z_R_390!$A$1-Z_R_350!$A$1)/(Z_R_420!$A$1-Z_R_350!$A$1)*(Z_R_420!K40-Z_R_350!K40)</f>
        <v>3.5071428571428571</v>
      </c>
      <c r="L40" s="94">
        <f>Z_R_350!L40+(Z_R_390!$A$1-Z_R_350!$A$1)/(Z_R_420!$A$1-Z_R_350!$A$1)*(Z_R_420!L40-Z_R_350!L40)</f>
        <v>9.5399999999999991</v>
      </c>
      <c r="M40" s="94">
        <f>Z_R_350!M40+(Z_R_390!$A$1-Z_R_350!$A$1)/(Z_R_420!$A$1-Z_R_350!$A$1)*(Z_R_420!M40-Z_R_350!M40)</f>
        <v>1717.35</v>
      </c>
      <c r="N40" s="94">
        <f>Z_R_350!N40+(Z_R_390!$A$1-Z_R_350!$A$1)/(Z_R_420!$A$1-Z_R_350!$A$1)*(Z_R_420!N40-Z_R_350!N40)</f>
        <v>86.621428571428567</v>
      </c>
      <c r="O40" s="94">
        <f>Z_R_350!O40+(Z_R_390!$A$1-Z_R_350!$A$1)/(Z_R_420!$A$1-Z_R_350!$A$1)*(Z_R_420!O40-Z_R_350!O40)</f>
        <v>13.408571428571429</v>
      </c>
      <c r="P40" s="94">
        <f>Z_R_350!P40+(Z_R_390!$A$1-Z_R_350!$A$1)/(Z_R_420!$A$1-Z_R_350!$A$1)*(Z_R_420!P40-Z_R_350!P40)</f>
        <v>15.172857142857143</v>
      </c>
      <c r="Q40" s="94">
        <f>Z_R_350!Q40+(Z_R_390!$A$1-Z_R_350!$A$1)/(Z_R_420!$A$1-Z_R_350!$A$1)*(Z_R_420!Q40-Z_R_350!Q40)</f>
        <v>9.4842857142857149</v>
      </c>
      <c r="R40" s="94">
        <f>Z_R_350!R40+(Z_R_390!$A$1-Z_R_350!$A$1)/(Z_R_420!$A$1-Z_R_350!$A$1)*(Z_R_420!R40-Z_R_350!R40)</f>
        <v>1695.2742857142857</v>
      </c>
      <c r="S40" s="94">
        <f>Z_R_350!S40+(Z_R_390!$A$1-Z_R_350!$A$1)/(Z_R_420!$A$1-Z_R_350!$A$1)*(Z_R_420!S40-Z_R_350!S40)</f>
        <v>87.338571428571427</v>
      </c>
      <c r="T40" s="94">
        <f>Z_R_350!T40+(Z_R_390!$A$1-Z_R_350!$A$1)/(Z_R_420!$A$1-Z_R_350!$A$1)*(Z_R_420!T40-Z_R_350!T40)</f>
        <v>13.321428571428571</v>
      </c>
      <c r="U40" s="94">
        <f>Z_R_350!U40+(Z_R_390!$A$1-Z_R_350!$A$1)/(Z_R_420!$A$1-Z_R_350!$A$1)*(Z_R_420!U40-Z_R_350!U40)</f>
        <v>19.417142857142856</v>
      </c>
      <c r="V40" s="94">
        <f>Z_R_350!V40+(Z_R_390!$A$1-Z_R_350!$A$1)/(Z_R_420!$A$1-Z_R_350!$A$1)*(Z_R_420!V40-Z_R_350!V40)</f>
        <v>11.258571428571429</v>
      </c>
      <c r="W40" s="94">
        <f>Z_R_350!W40+(Z_R_390!$A$1-Z_R_350!$A$1)/(Z_R_420!$A$1-Z_R_350!$A$1)*(Z_R_420!W40-Z_R_350!W40)</f>
        <v>160.39285714285714</v>
      </c>
      <c r="X40" s="94">
        <f>Z_R_350!X40+(Z_R_390!$A$1-Z_R_350!$A$1)/(Z_R_420!$A$1-Z_R_350!$A$1)*(Z_R_420!X40-Z_R_350!X40)</f>
        <v>17.62</v>
      </c>
      <c r="Y40" s="94">
        <f>Z_R_350!Y40+(Z_R_390!$A$1-Z_R_350!$A$1)/(Z_R_420!$A$1-Z_R_350!$A$1)*(Z_R_420!Y40-Z_R_350!Y40)</f>
        <v>3.7671428571428573</v>
      </c>
      <c r="Z40" s="95">
        <f>Z_R_350!Z40+(Z_R_390!$A$1-Z_R_350!$A$1)/(Z_R_420!$A$1-Z_R_350!$A$1)*(Z_R_420!Z40-Z_R_350!Z40)</f>
        <v>8.5028571428571436</v>
      </c>
      <c r="AB40" s="163">
        <v>8.9600000000000009</v>
      </c>
      <c r="AC40" s="163">
        <v>5.36</v>
      </c>
      <c r="AD40" s="163">
        <v>3.51</v>
      </c>
      <c r="AE40" s="163">
        <v>9.56</v>
      </c>
      <c r="AF40" s="163">
        <v>1719.5</v>
      </c>
      <c r="AG40" s="163">
        <v>86.84</v>
      </c>
      <c r="AH40" s="163">
        <v>13.41</v>
      </c>
      <c r="AI40" s="163">
        <v>15.2</v>
      </c>
      <c r="AJ40" s="163">
        <v>9.3699999999999992</v>
      </c>
      <c r="AK40" s="163">
        <v>1682.8</v>
      </c>
      <c r="AL40" s="163">
        <v>85.95</v>
      </c>
      <c r="AM40" s="163">
        <v>13.4</v>
      </c>
      <c r="AN40" s="163">
        <v>19.579999999999998</v>
      </c>
      <c r="AO40" s="163">
        <v>11.33</v>
      </c>
      <c r="AP40" s="163">
        <v>161.83000000000001</v>
      </c>
      <c r="AQ40" s="163">
        <v>17.62</v>
      </c>
      <c r="AR40" s="163">
        <v>3.78</v>
      </c>
      <c r="AS40" s="163">
        <v>8.98</v>
      </c>
    </row>
    <row r="41" spans="1:45" ht="15" customHeight="1" thickBot="1" x14ac:dyDescent="0.3">
      <c r="A41" s="72" t="str">
        <f t="shared" si="13"/>
        <v>Z350x2,5</v>
      </c>
      <c r="B41" s="11" t="str">
        <f t="shared" si="14"/>
        <v>350</v>
      </c>
      <c r="C41" s="90">
        <f t="shared" si="15"/>
        <v>86</v>
      </c>
      <c r="D41" s="90">
        <f t="shared" si="16"/>
        <v>94</v>
      </c>
      <c r="E41" s="90">
        <f t="shared" si="17"/>
        <v>30</v>
      </c>
      <c r="F41" s="134" t="str">
        <f t="shared" si="18"/>
        <v>Z350</v>
      </c>
      <c r="G41" s="81" t="s">
        <v>48</v>
      </c>
      <c r="H41" s="117">
        <v>2.5</v>
      </c>
      <c r="I41" s="96">
        <v>11.21</v>
      </c>
      <c r="J41" s="96">
        <f>Z_R_350!J41+(Z_R_390!$A$1-Z_R_350!$A$1)/(Z_R_420!$A$1-Z_R_350!$A$1)*(Z_R_420!J41-Z_R_350!J41)</f>
        <v>7.9171428571428573</v>
      </c>
      <c r="K41" s="96">
        <f>Z_R_350!K41+(Z_R_390!$A$1-Z_R_350!$A$1)/(Z_R_420!$A$1-Z_R_350!$A$1)*(Z_R_420!K41-Z_R_350!K41)</f>
        <v>3.4785714285714286</v>
      </c>
      <c r="L41" s="96">
        <f>Z_R_350!L41+(Z_R_390!$A$1-Z_R_350!$A$1)/(Z_R_420!$A$1-Z_R_350!$A$1)*(Z_R_420!L41-Z_R_350!L41)</f>
        <v>12.832857142857144</v>
      </c>
      <c r="M41" s="96">
        <f>Z_R_350!M41+(Z_R_390!$A$1-Z_R_350!$A$1)/(Z_R_420!$A$1-Z_R_350!$A$1)*(Z_R_420!M41-Z_R_350!M41)</f>
        <v>2312.255714285714</v>
      </c>
      <c r="N41" s="96">
        <f>Z_R_350!N41+(Z_R_390!$A$1-Z_R_350!$A$1)/(Z_R_420!$A$1-Z_R_350!$A$1)*(Z_R_420!N41-Z_R_350!N41)</f>
        <v>122.33714285714285</v>
      </c>
      <c r="O41" s="96">
        <f>Z_R_350!O41+(Z_R_390!$A$1-Z_R_350!$A$1)/(Z_R_420!$A$1-Z_R_350!$A$1)*(Z_R_420!O41-Z_R_350!O41)</f>
        <v>13.415714285714285</v>
      </c>
      <c r="P41" s="96">
        <f>Z_R_350!P41+(Z_R_390!$A$1-Z_R_350!$A$1)/(Z_R_420!$A$1-Z_R_350!$A$1)*(Z_R_420!P41-Z_R_350!P41)</f>
        <v>16.098571428571429</v>
      </c>
      <c r="Q41" s="96">
        <f>Z_R_350!Q41+(Z_R_390!$A$1-Z_R_350!$A$1)/(Z_R_420!$A$1-Z_R_350!$A$1)*(Z_R_420!Q41-Z_R_350!Q41)</f>
        <v>12.788571428571428</v>
      </c>
      <c r="R41" s="96">
        <f>Z_R_350!R41+(Z_R_390!$A$1-Z_R_350!$A$1)/(Z_R_420!$A$1-Z_R_350!$A$1)*(Z_R_420!R41-Z_R_350!R41)</f>
        <v>2289.982857142857</v>
      </c>
      <c r="S41" s="96">
        <f>Z_R_350!S41+(Z_R_390!$A$1-Z_R_350!$A$1)/(Z_R_420!$A$1-Z_R_350!$A$1)*(Z_R_420!S41-Z_R_350!S41)</f>
        <v>123.83571428571429</v>
      </c>
      <c r="T41" s="96">
        <f>Z_R_350!T41+(Z_R_390!$A$1-Z_R_350!$A$1)/(Z_R_420!$A$1-Z_R_350!$A$1)*(Z_R_420!T41-Z_R_350!T41)</f>
        <v>13.374285714285714</v>
      </c>
      <c r="U41" s="96">
        <f>Z_R_350!U41+(Z_R_390!$A$1-Z_R_350!$A$1)/(Z_R_420!$A$1-Z_R_350!$A$1)*(Z_R_420!U41-Z_R_350!U41)</f>
        <v>18.495714285714286</v>
      </c>
      <c r="V41" s="96">
        <f>Z_R_350!V41+(Z_R_390!$A$1-Z_R_350!$A$1)/(Z_R_420!$A$1-Z_R_350!$A$1)*(Z_R_420!V41-Z_R_350!V41)</f>
        <v>14.121428571428572</v>
      </c>
      <c r="W41" s="96">
        <f>Z_R_350!W41+(Z_R_390!$A$1-Z_R_350!$A$1)/(Z_R_420!$A$1-Z_R_350!$A$1)*(Z_R_420!W41-Z_R_350!W41)</f>
        <v>208.94</v>
      </c>
      <c r="X41" s="96">
        <f>Z_R_350!X41+(Z_R_390!$A$1-Z_R_350!$A$1)/(Z_R_420!$A$1-Z_R_350!$A$1)*(Z_R_420!X41-Z_R_350!X41)</f>
        <v>22.651428571428571</v>
      </c>
      <c r="Y41" s="96">
        <f>Z_R_350!Y41+(Z_R_390!$A$1-Z_R_350!$A$1)/(Z_R_420!$A$1-Z_R_350!$A$1)*(Z_R_420!Y41-Z_R_350!Y41)</f>
        <v>3.842857142857143</v>
      </c>
      <c r="Z41" s="97">
        <f>Z_R_350!Z41+(Z_R_390!$A$1-Z_R_350!$A$1)/(Z_R_420!$A$1-Z_R_350!$A$1)*(Z_R_420!Z41-Z_R_350!Z41)</f>
        <v>8.581428571428571</v>
      </c>
      <c r="AB41" s="163">
        <v>11.21</v>
      </c>
      <c r="AC41" s="163">
        <v>7.91</v>
      </c>
      <c r="AD41" s="163">
        <v>3.49</v>
      </c>
      <c r="AE41" s="163">
        <v>12.84</v>
      </c>
      <c r="AF41" s="163">
        <v>2313.6</v>
      </c>
      <c r="AG41" s="163">
        <v>122.43</v>
      </c>
      <c r="AH41" s="163">
        <v>13.42</v>
      </c>
      <c r="AI41" s="163">
        <v>16.100000000000001</v>
      </c>
      <c r="AJ41" s="163">
        <v>12.78</v>
      </c>
      <c r="AK41" s="163">
        <v>2262.9</v>
      </c>
      <c r="AL41" s="163">
        <v>123.83</v>
      </c>
      <c r="AM41" s="163">
        <v>13.43</v>
      </c>
      <c r="AN41" s="163">
        <v>18.690000000000001</v>
      </c>
      <c r="AO41" s="163">
        <v>14.12</v>
      </c>
      <c r="AP41" s="163">
        <v>209.78</v>
      </c>
      <c r="AQ41" s="163">
        <v>22.65</v>
      </c>
      <c r="AR41" s="163">
        <v>3.84</v>
      </c>
      <c r="AS41" s="163">
        <v>9.1199999999999992</v>
      </c>
    </row>
    <row r="42" spans="1:45" ht="15" customHeight="1" thickBot="1" x14ac:dyDescent="0.3">
      <c r="A42" s="72" t="str">
        <f t="shared" si="13"/>
        <v>Z350x3,0</v>
      </c>
      <c r="B42" s="11" t="str">
        <f t="shared" si="14"/>
        <v>350</v>
      </c>
      <c r="C42" s="90">
        <f t="shared" si="15"/>
        <v>87</v>
      </c>
      <c r="D42" s="90">
        <f t="shared" si="16"/>
        <v>95</v>
      </c>
      <c r="E42" s="90">
        <f t="shared" si="17"/>
        <v>30.5</v>
      </c>
      <c r="F42" s="134" t="str">
        <f t="shared" si="18"/>
        <v>Z350</v>
      </c>
      <c r="G42" s="81" t="s">
        <v>49</v>
      </c>
      <c r="H42" s="117">
        <v>3</v>
      </c>
      <c r="I42" s="96">
        <v>13.46</v>
      </c>
      <c r="J42" s="96">
        <f>Z_R_350!J42+(Z_R_390!$A$1-Z_R_350!$A$1)/(Z_R_420!$A$1-Z_R_350!$A$1)*(Z_R_420!J42-Z_R_350!J42)</f>
        <v>10.44</v>
      </c>
      <c r="K42" s="96">
        <f>Z_R_350!K42+(Z_R_390!$A$1-Z_R_350!$A$1)/(Z_R_420!$A$1-Z_R_350!$A$1)*(Z_R_420!K42-Z_R_350!K42)</f>
        <v>3.4185714285714286</v>
      </c>
      <c r="L42" s="96">
        <f>Z_R_350!L42+(Z_R_390!$A$1-Z_R_350!$A$1)/(Z_R_420!$A$1-Z_R_350!$A$1)*(Z_R_420!L42-Z_R_350!L42)</f>
        <v>16.2</v>
      </c>
      <c r="M42" s="96">
        <f>Z_R_350!M42+(Z_R_390!$A$1-Z_R_350!$A$1)/(Z_R_420!$A$1-Z_R_350!$A$1)*(Z_R_420!M42-Z_R_350!M42)</f>
        <v>2884.6257142857144</v>
      </c>
      <c r="N42" s="96">
        <f>Z_R_350!N42+(Z_R_390!$A$1-Z_R_350!$A$1)/(Z_R_420!$A$1-Z_R_350!$A$1)*(Z_R_420!N42-Z_R_350!N42)</f>
        <v>157.34285714285713</v>
      </c>
      <c r="O42" s="96">
        <f>Z_R_350!O42+(Z_R_390!$A$1-Z_R_350!$A$1)/(Z_R_420!$A$1-Z_R_350!$A$1)*(Z_R_420!O42-Z_R_350!O42)</f>
        <v>13.338571428571429</v>
      </c>
      <c r="P42" s="96">
        <f>Z_R_350!P42+(Z_R_390!$A$1-Z_R_350!$A$1)/(Z_R_420!$A$1-Z_R_350!$A$1)*(Z_R_420!P42-Z_R_350!P42)</f>
        <v>16.664285714285715</v>
      </c>
      <c r="Q42" s="96">
        <f>Z_R_350!Q42+(Z_R_390!$A$1-Z_R_350!$A$1)/(Z_R_420!$A$1-Z_R_350!$A$1)*(Z_R_420!Q42-Z_R_350!Q42)</f>
        <v>16.202857142857145</v>
      </c>
      <c r="R42" s="96">
        <f>Z_R_350!R42+(Z_R_390!$A$1-Z_R_350!$A$1)/(Z_R_420!$A$1-Z_R_350!$A$1)*(Z_R_420!R42-Z_R_350!R42)</f>
        <v>2885.6428571428573</v>
      </c>
      <c r="S42" s="96">
        <f>Z_R_350!S42+(Z_R_390!$A$1-Z_R_350!$A$1)/(Z_R_420!$A$1-Z_R_350!$A$1)*(Z_R_420!S42-Z_R_350!S42)</f>
        <v>161.74857142857144</v>
      </c>
      <c r="T42" s="96">
        <f>Z_R_350!T42+(Z_R_390!$A$1-Z_R_350!$A$1)/(Z_R_420!$A$1-Z_R_350!$A$1)*(Z_R_420!T42-Z_R_350!T42)</f>
        <v>13.338571428571429</v>
      </c>
      <c r="U42" s="96">
        <f>Z_R_350!U42+(Z_R_390!$A$1-Z_R_350!$A$1)/(Z_R_420!$A$1-Z_R_350!$A$1)*(Z_R_420!U42-Z_R_350!U42)</f>
        <v>17.842857142857142</v>
      </c>
      <c r="V42" s="96">
        <f>Z_R_350!V42+(Z_R_390!$A$1-Z_R_350!$A$1)/(Z_R_420!$A$1-Z_R_350!$A$1)*(Z_R_420!V42-Z_R_350!V42)</f>
        <v>17.144285714285715</v>
      </c>
      <c r="W42" s="96">
        <f>Z_R_350!W42+(Z_R_390!$A$1-Z_R_350!$A$1)/(Z_R_420!$A$1-Z_R_350!$A$1)*(Z_R_420!W42-Z_R_350!W42)</f>
        <v>260.41285714285715</v>
      </c>
      <c r="X42" s="96">
        <f>Z_R_350!X42+(Z_R_390!$A$1-Z_R_350!$A$1)/(Z_R_420!$A$1-Z_R_350!$A$1)*(Z_R_420!X42-Z_R_350!X42)</f>
        <v>27.464285714285715</v>
      </c>
      <c r="Y42" s="96">
        <f>Z_R_350!Y42+(Z_R_390!$A$1-Z_R_350!$A$1)/(Z_R_420!$A$1-Z_R_350!$A$1)*(Z_R_420!Y42-Z_R_350!Y42)</f>
        <v>3.89</v>
      </c>
      <c r="Z42" s="97">
        <f>Z_R_350!Z42+(Z_R_390!$A$1-Z_R_350!$A$1)/(Z_R_420!$A$1-Z_R_350!$A$1)*(Z_R_420!Z42-Z_R_350!Z42)</f>
        <v>8.7100000000000009</v>
      </c>
      <c r="AB42" s="163">
        <v>13.46</v>
      </c>
      <c r="AC42" s="163">
        <v>10.45</v>
      </c>
      <c r="AD42" s="163">
        <v>3.42</v>
      </c>
      <c r="AE42" s="163">
        <v>16.260000000000002</v>
      </c>
      <c r="AF42" s="163">
        <v>2890.5</v>
      </c>
      <c r="AG42" s="163">
        <v>157.96</v>
      </c>
      <c r="AH42" s="163">
        <v>13.33</v>
      </c>
      <c r="AI42" s="163">
        <v>16.7</v>
      </c>
      <c r="AJ42" s="163">
        <v>16.2</v>
      </c>
      <c r="AK42" s="163">
        <v>2885.6</v>
      </c>
      <c r="AL42" s="163">
        <v>161.74</v>
      </c>
      <c r="AM42" s="163">
        <v>13.41</v>
      </c>
      <c r="AN42" s="163">
        <v>18.03</v>
      </c>
      <c r="AO42" s="163">
        <v>17.149999999999999</v>
      </c>
      <c r="AP42" s="163">
        <v>260.67</v>
      </c>
      <c r="AQ42" s="163">
        <v>27.47</v>
      </c>
      <c r="AR42" s="163">
        <v>3.89</v>
      </c>
      <c r="AS42" s="163">
        <v>8.7100000000000009</v>
      </c>
    </row>
    <row r="43" spans="1:45" ht="15" customHeight="1" thickBot="1" x14ac:dyDescent="0.3">
      <c r="A43" s="73" t="str">
        <f t="shared" si="13"/>
        <v>Z350x3,5</v>
      </c>
      <c r="B43" s="12" t="str">
        <f t="shared" si="14"/>
        <v>350</v>
      </c>
      <c r="C43" s="91">
        <f t="shared" si="15"/>
        <v>88</v>
      </c>
      <c r="D43" s="91">
        <f t="shared" si="16"/>
        <v>96</v>
      </c>
      <c r="E43" s="92">
        <f t="shared" si="17"/>
        <v>31</v>
      </c>
      <c r="F43" s="136" t="str">
        <f t="shared" si="18"/>
        <v>Z350</v>
      </c>
      <c r="G43" s="82" t="s">
        <v>50</v>
      </c>
      <c r="H43" s="118">
        <v>3.5</v>
      </c>
      <c r="I43" s="98">
        <v>15.72</v>
      </c>
      <c r="J43" s="98">
        <f>Z_R_350!J43+(Z_R_390!$A$1-Z_R_350!$A$1)/(Z_R_420!$A$1-Z_R_350!$A$1)*(Z_R_420!J43-Z_R_350!J43)</f>
        <v>12.891428571428571</v>
      </c>
      <c r="K43" s="98">
        <f>Z_R_350!K43+(Z_R_390!$A$1-Z_R_350!$A$1)/(Z_R_420!$A$1-Z_R_350!$A$1)*(Z_R_420!K43-Z_R_350!K43)</f>
        <v>3.3685714285714288</v>
      </c>
      <c r="L43" s="98">
        <f>Z_R_350!L43+(Z_R_390!$A$1-Z_R_350!$A$1)/(Z_R_420!$A$1-Z_R_350!$A$1)*(Z_R_420!L43-Z_R_350!L43)</f>
        <v>19.642857142857142</v>
      </c>
      <c r="M43" s="98">
        <f>Z_R_350!M43+(Z_R_390!$A$1-Z_R_350!$A$1)/(Z_R_420!$A$1-Z_R_350!$A$1)*(Z_R_420!M43-Z_R_350!M43)</f>
        <v>3442.9271428571428</v>
      </c>
      <c r="N43" s="98">
        <f>Z_R_350!N43+(Z_R_390!$A$1-Z_R_350!$A$1)/(Z_R_420!$A$1-Z_R_350!$A$1)*(Z_R_420!N43-Z_R_350!N43)</f>
        <v>191.91</v>
      </c>
      <c r="O43" s="98">
        <f>Z_R_350!O43+(Z_R_390!$A$1-Z_R_350!$A$1)/(Z_R_420!$A$1-Z_R_350!$A$1)*(Z_R_420!O43-Z_R_350!O43)</f>
        <v>13.234285714285713</v>
      </c>
      <c r="P43" s="98">
        <f>Z_R_350!P43+(Z_R_390!$A$1-Z_R_350!$A$1)/(Z_R_420!$A$1-Z_R_350!$A$1)*(Z_R_420!P43-Z_R_350!P43)</f>
        <v>17.062857142857144</v>
      </c>
      <c r="Q43" s="98">
        <f>Z_R_350!Q43+(Z_R_390!$A$1-Z_R_350!$A$1)/(Z_R_420!$A$1-Z_R_350!$A$1)*(Z_R_420!Q43-Z_R_350!Q43)</f>
        <v>19.648571428571429</v>
      </c>
      <c r="R43" s="98">
        <f>Z_R_350!R43+(Z_R_390!$A$1-Z_R_350!$A$1)/(Z_R_420!$A$1-Z_R_350!$A$1)*(Z_R_420!R43-Z_R_350!R43)</f>
        <v>3446.3057142857142</v>
      </c>
      <c r="S43" s="98">
        <f>Z_R_350!S43+(Z_R_390!$A$1-Z_R_350!$A$1)/(Z_R_420!$A$1-Z_R_350!$A$1)*(Z_R_420!S43-Z_R_350!S43)</f>
        <v>195.72857142857143</v>
      </c>
      <c r="T43" s="98">
        <f>Z_R_350!T43+(Z_R_390!$A$1-Z_R_350!$A$1)/(Z_R_420!$A$1-Z_R_350!$A$1)*(Z_R_420!T43-Z_R_350!T43)</f>
        <v>13.234285714285713</v>
      </c>
      <c r="U43" s="98">
        <f>Z_R_350!U43+(Z_R_390!$A$1-Z_R_350!$A$1)/(Z_R_420!$A$1-Z_R_350!$A$1)*(Z_R_420!U43-Z_R_350!U43)</f>
        <v>17.445714285714285</v>
      </c>
      <c r="V43" s="98">
        <f>Z_R_350!V43+(Z_R_390!$A$1-Z_R_350!$A$1)/(Z_R_420!$A$1-Z_R_350!$A$1)*(Z_R_420!V43-Z_R_350!V43)</f>
        <v>20.024285714285714</v>
      </c>
      <c r="W43" s="98">
        <f>Z_R_350!W43+(Z_R_390!$A$1-Z_R_350!$A$1)/(Z_R_420!$A$1-Z_R_350!$A$1)*(Z_R_420!W43-Z_R_350!W43)</f>
        <v>309.32</v>
      </c>
      <c r="X43" s="98">
        <f>Z_R_350!X43+(Z_R_390!$A$1-Z_R_350!$A$1)/(Z_R_420!$A$1-Z_R_350!$A$1)*(Z_R_420!X43-Z_R_350!X43)</f>
        <v>32.17</v>
      </c>
      <c r="Y43" s="98">
        <f>Z_R_350!Y43+(Z_R_390!$A$1-Z_R_350!$A$1)/(Z_R_420!$A$1-Z_R_350!$A$1)*(Z_R_420!Y43-Z_R_350!Y43)</f>
        <v>3.93</v>
      </c>
      <c r="Z43" s="99">
        <f>Z_R_350!Z43+(Z_R_390!$A$1-Z_R_350!$A$1)/(Z_R_420!$A$1-Z_R_350!$A$1)*(Z_R_420!Z43-Z_R_350!Z43)</f>
        <v>8.7899999999999991</v>
      </c>
      <c r="AB43" s="163">
        <v>15.72</v>
      </c>
      <c r="AC43" s="163">
        <v>12.86</v>
      </c>
      <c r="AD43" s="163">
        <v>3.37</v>
      </c>
      <c r="AE43" s="163">
        <v>19.73</v>
      </c>
      <c r="AF43" s="163">
        <v>3452.3</v>
      </c>
      <c r="AG43" s="163">
        <v>192.92</v>
      </c>
      <c r="AH43" s="163">
        <v>13.23</v>
      </c>
      <c r="AI43" s="163">
        <v>17.100000000000001</v>
      </c>
      <c r="AJ43" s="163">
        <v>19.64</v>
      </c>
      <c r="AK43" s="163">
        <v>3445.1</v>
      </c>
      <c r="AL43" s="163">
        <v>195.73</v>
      </c>
      <c r="AM43" s="163">
        <v>13.32</v>
      </c>
      <c r="AN43" s="163">
        <v>17.75</v>
      </c>
      <c r="AO43" s="163">
        <v>20.03</v>
      </c>
      <c r="AP43" s="163">
        <v>309.32</v>
      </c>
      <c r="AQ43" s="163">
        <v>32.17</v>
      </c>
      <c r="AR43" s="163">
        <v>3.93</v>
      </c>
      <c r="AS43" s="163">
        <v>8.7899999999999991</v>
      </c>
    </row>
    <row r="44" spans="1:45" ht="15" customHeight="1" thickBot="1" x14ac:dyDescent="0.3">
      <c r="A44" s="74" t="str">
        <f t="shared" si="13"/>
        <v>Z400x2,0</v>
      </c>
      <c r="B44" s="13" t="str">
        <f t="shared" si="14"/>
        <v>400</v>
      </c>
      <c r="C44" s="89">
        <f t="shared" si="15"/>
        <v>85</v>
      </c>
      <c r="D44" s="89">
        <f t="shared" si="16"/>
        <v>93</v>
      </c>
      <c r="E44" s="88">
        <f t="shared" si="17"/>
        <v>29.5</v>
      </c>
      <c r="F44" s="133" t="str">
        <f t="shared" si="18"/>
        <v>Z400</v>
      </c>
      <c r="G44" s="83" t="s">
        <v>51</v>
      </c>
      <c r="H44" s="116">
        <v>2</v>
      </c>
      <c r="I44" s="100">
        <v>9.74</v>
      </c>
      <c r="J44" s="94">
        <f>Z_R_350!J44+(Z_R_390!$A$1-Z_R_350!$A$1)/(Z_R_420!$A$1-Z_R_350!$A$1)*(Z_R_420!J44-Z_R_350!J44)</f>
        <v>5.387142857142857</v>
      </c>
      <c r="K44" s="94">
        <f>Z_R_350!K44+(Z_R_390!$A$1-Z_R_350!$A$1)/(Z_R_420!$A$1-Z_R_350!$A$1)*(Z_R_420!K44-Z_R_350!K44)</f>
        <v>3.3171428571428572</v>
      </c>
      <c r="L44" s="94">
        <f>Z_R_350!L44+(Z_R_390!$A$1-Z_R_350!$A$1)/(Z_R_420!$A$1-Z_R_350!$A$1)*(Z_R_420!L44-Z_R_350!L44)</f>
        <v>10.054285714285715</v>
      </c>
      <c r="M44" s="94">
        <f>Z_R_350!M44+(Z_R_390!$A$1-Z_R_350!$A$1)/(Z_R_420!$A$1-Z_R_350!$A$1)*(Z_R_420!M44-Z_R_350!M44)</f>
        <v>2304.1757142857145</v>
      </c>
      <c r="N44" s="94">
        <f>Z_R_350!N44+(Z_R_390!$A$1-Z_R_350!$A$1)/(Z_R_420!$A$1-Z_R_350!$A$1)*(Z_R_420!N44-Z_R_350!N44)</f>
        <v>100.10714285714286</v>
      </c>
      <c r="O44" s="94">
        <f>Z_R_350!O44+(Z_R_390!$A$1-Z_R_350!$A$1)/(Z_R_420!$A$1-Z_R_350!$A$1)*(Z_R_420!O44-Z_R_350!O44)</f>
        <v>15.127142857142857</v>
      </c>
      <c r="P44" s="94">
        <f>Z_R_350!P44+(Z_R_390!$A$1-Z_R_350!$A$1)/(Z_R_420!$A$1-Z_R_350!$A$1)*(Z_R_420!P44-Z_R_350!P44)</f>
        <v>16.98</v>
      </c>
      <c r="Q44" s="94">
        <f>Z_R_350!Q44+(Z_R_390!$A$1-Z_R_350!$A$1)/(Z_R_420!$A$1-Z_R_350!$A$1)*(Z_R_420!Q44-Z_R_350!Q44)</f>
        <v>9.9985714285714273</v>
      </c>
      <c r="R44" s="94">
        <f>Z_R_350!R44+(Z_R_390!$A$1-Z_R_350!$A$1)/(Z_R_420!$A$1-Z_R_350!$A$1)*(Z_R_420!R44-Z_R_350!R44)</f>
        <v>2276.5642857142857</v>
      </c>
      <c r="S44" s="94">
        <f>Z_R_350!S44+(Z_R_390!$A$1-Z_R_350!$A$1)/(Z_R_420!$A$1-Z_R_350!$A$1)*(Z_R_420!S44-Z_R_350!S44)</f>
        <v>100.89714285714285</v>
      </c>
      <c r="T44" s="94">
        <f>Z_R_350!T44+(Z_R_390!$A$1-Z_R_350!$A$1)/(Z_R_420!$A$1-Z_R_350!$A$1)*(Z_R_420!T44-Z_R_350!T44)</f>
        <v>15.02</v>
      </c>
      <c r="U44" s="94">
        <f>Z_R_350!U44+(Z_R_390!$A$1-Z_R_350!$A$1)/(Z_R_420!$A$1-Z_R_350!$A$1)*(Z_R_420!U44-Z_R_350!U44)</f>
        <v>22.57</v>
      </c>
      <c r="V44" s="94">
        <f>Z_R_350!V44+(Z_R_390!$A$1-Z_R_350!$A$1)/(Z_R_420!$A$1-Z_R_350!$A$1)*(Z_R_420!V44-Z_R_350!V44)</f>
        <v>12.258571428571429</v>
      </c>
      <c r="W44" s="94">
        <f>Z_R_350!W44+(Z_R_390!$A$1-Z_R_350!$A$1)/(Z_R_420!$A$1-Z_R_350!$A$1)*(Z_R_420!W44-Z_R_350!W44)</f>
        <v>160.4242857142857</v>
      </c>
      <c r="X44" s="94">
        <f>Z_R_350!X44+(Z_R_390!$A$1-Z_R_350!$A$1)/(Z_R_420!$A$1-Z_R_350!$A$1)*(Z_R_420!X44-Z_R_350!X44)</f>
        <v>17.588571428571427</v>
      </c>
      <c r="Y44" s="94">
        <f>Z_R_350!Y44+(Z_R_390!$A$1-Z_R_350!$A$1)/(Z_R_420!$A$1-Z_R_350!$A$1)*(Z_R_420!Y44-Z_R_350!Y44)</f>
        <v>3.612857142857143</v>
      </c>
      <c r="Z44" s="95">
        <f>Z_R_350!Z44+(Z_R_390!$A$1-Z_R_350!$A$1)/(Z_R_420!$A$1-Z_R_350!$A$1)*(Z_R_420!Z44-Z_R_350!Z44)</f>
        <v>8.4985714285714291</v>
      </c>
      <c r="AB44" s="163">
        <v>9.74</v>
      </c>
      <c r="AC44" s="163">
        <v>5.38</v>
      </c>
      <c r="AD44" s="163">
        <v>3.32</v>
      </c>
      <c r="AE44" s="163">
        <v>10.07</v>
      </c>
      <c r="AF44" s="163">
        <v>2306.4</v>
      </c>
      <c r="AG44" s="163">
        <v>100.26</v>
      </c>
      <c r="AH44" s="163">
        <v>15.13</v>
      </c>
      <c r="AI44" s="163">
        <v>17</v>
      </c>
      <c r="AJ44" s="163">
        <v>9.9</v>
      </c>
      <c r="AK44" s="163">
        <v>2262.6999999999998</v>
      </c>
      <c r="AL44" s="163">
        <v>99.51</v>
      </c>
      <c r="AM44" s="163">
        <v>15.12</v>
      </c>
      <c r="AN44" s="163">
        <v>22.74</v>
      </c>
      <c r="AO44" s="163">
        <v>12.33</v>
      </c>
      <c r="AP44" s="163">
        <v>161.85</v>
      </c>
      <c r="AQ44" s="163">
        <v>17.579999999999998</v>
      </c>
      <c r="AR44" s="163">
        <v>3.63</v>
      </c>
      <c r="AS44" s="163">
        <v>9</v>
      </c>
    </row>
    <row r="45" spans="1:45" ht="15" customHeight="1" thickBot="1" x14ac:dyDescent="0.3">
      <c r="A45" s="72" t="str">
        <f t="shared" si="13"/>
        <v>Z400x2,5</v>
      </c>
      <c r="B45" s="11" t="str">
        <f t="shared" si="14"/>
        <v>400</v>
      </c>
      <c r="C45" s="90">
        <f t="shared" si="15"/>
        <v>86</v>
      </c>
      <c r="D45" s="90">
        <f t="shared" si="16"/>
        <v>94</v>
      </c>
      <c r="E45" s="90">
        <f t="shared" si="17"/>
        <v>30</v>
      </c>
      <c r="F45" s="134" t="str">
        <f t="shared" si="18"/>
        <v>Z400</v>
      </c>
      <c r="G45" s="81" t="s">
        <v>52</v>
      </c>
      <c r="H45" s="119">
        <v>2.5</v>
      </c>
      <c r="I45" s="96">
        <v>12.19</v>
      </c>
      <c r="J45" s="96">
        <f>Z_R_350!J45+(Z_R_390!$A$1-Z_R_350!$A$1)/(Z_R_420!$A$1-Z_R_350!$A$1)*(Z_R_420!J45-Z_R_350!J45)</f>
        <v>7.9414285714285722</v>
      </c>
      <c r="K45" s="96">
        <f>Z_R_350!K45+(Z_R_390!$A$1-Z_R_350!$A$1)/(Z_R_420!$A$1-Z_R_350!$A$1)*(Z_R_420!K45-Z_R_350!K45)</f>
        <v>3.2928571428571427</v>
      </c>
      <c r="L45" s="96">
        <f>Z_R_350!L45+(Z_R_390!$A$1-Z_R_350!$A$1)/(Z_R_420!$A$1-Z_R_350!$A$1)*(Z_R_420!L45-Z_R_350!L45)</f>
        <v>13.491428571428571</v>
      </c>
      <c r="M45" s="96">
        <f>Z_R_350!M45+(Z_R_390!$A$1-Z_R_350!$A$1)/(Z_R_420!$A$1-Z_R_350!$A$1)*(Z_R_420!M45-Z_R_350!M45)</f>
        <v>3108.9657142857145</v>
      </c>
      <c r="N45" s="96">
        <f>Z_R_350!N45+(Z_R_390!$A$1-Z_R_350!$A$1)/(Z_R_420!$A$1-Z_R_350!$A$1)*(Z_R_420!N45-Z_R_350!N45)</f>
        <v>141.41142857142856</v>
      </c>
      <c r="O45" s="96">
        <f>Z_R_350!O45+(Z_R_390!$A$1-Z_R_350!$A$1)/(Z_R_420!$A$1-Z_R_350!$A$1)*(Z_R_420!O45-Z_R_350!O45)</f>
        <v>15.17</v>
      </c>
      <c r="P45" s="96">
        <f>Z_R_350!P45+(Z_R_390!$A$1-Z_R_350!$A$1)/(Z_R_420!$A$1-Z_R_350!$A$1)*(Z_R_420!P45-Z_R_350!P45)</f>
        <v>18.009999999999998</v>
      </c>
      <c r="Q45" s="96">
        <f>Z_R_350!Q45+(Z_R_390!$A$1-Z_R_350!$A$1)/(Z_R_420!$A$1-Z_R_350!$A$1)*(Z_R_420!Q45-Z_R_350!Q45)</f>
        <v>13.447142857142858</v>
      </c>
      <c r="R45" s="96">
        <f>Z_R_350!R45+(Z_R_390!$A$1-Z_R_350!$A$1)/(Z_R_420!$A$1-Z_R_350!$A$1)*(Z_R_420!R45-Z_R_350!R45)</f>
        <v>3082.9671428571428</v>
      </c>
      <c r="S45" s="96">
        <f>Z_R_350!S45+(Z_R_390!$A$1-Z_R_350!$A$1)/(Z_R_420!$A$1-Z_R_350!$A$1)*(Z_R_420!S45-Z_R_350!S45)</f>
        <v>143.11142857142858</v>
      </c>
      <c r="T45" s="96">
        <f>Z_R_350!T45+(Z_R_390!$A$1-Z_R_350!$A$1)/(Z_R_420!$A$1-Z_R_350!$A$1)*(Z_R_420!T45-Z_R_350!T45)</f>
        <v>15.128571428571428</v>
      </c>
      <c r="U45" s="96">
        <f>Z_R_350!U45+(Z_R_390!$A$1-Z_R_350!$A$1)/(Z_R_420!$A$1-Z_R_350!$A$1)*(Z_R_420!U45-Z_R_350!U45)</f>
        <v>21.544285714285714</v>
      </c>
      <c r="V45" s="96">
        <f>Z_R_350!V45+(Z_R_390!$A$1-Z_R_350!$A$1)/(Z_R_420!$A$1-Z_R_350!$A$1)*(Z_R_420!V45-Z_R_350!V45)</f>
        <v>15.377142857142857</v>
      </c>
      <c r="W45" s="96">
        <f>Z_R_350!W45+(Z_R_390!$A$1-Z_R_350!$A$1)/(Z_R_420!$A$1-Z_R_350!$A$1)*(Z_R_420!W45-Z_R_350!W45)</f>
        <v>209.05428571428573</v>
      </c>
      <c r="X45" s="96">
        <f>Z_R_350!X45+(Z_R_390!$A$1-Z_R_350!$A$1)/(Z_R_420!$A$1-Z_R_350!$A$1)*(Z_R_420!X45-Z_R_350!X45)</f>
        <v>22.648571428571429</v>
      </c>
      <c r="Y45" s="96">
        <f>Z_R_350!Y45+(Z_R_390!$A$1-Z_R_350!$A$1)/(Z_R_420!$A$1-Z_R_350!$A$1)*(Z_R_420!Y45-Z_R_350!Y45)</f>
        <v>3.6828571428571428</v>
      </c>
      <c r="Z45" s="97">
        <f>Z_R_350!Z45+(Z_R_390!$A$1-Z_R_350!$A$1)/(Z_R_420!$A$1-Z_R_350!$A$1)*(Z_R_420!Z45-Z_R_350!Z45)</f>
        <v>8.5771428571428565</v>
      </c>
      <c r="AB45" s="163">
        <v>12.19</v>
      </c>
      <c r="AC45" s="163">
        <v>7.93</v>
      </c>
      <c r="AD45" s="163">
        <v>3.3</v>
      </c>
      <c r="AE45" s="163">
        <v>13.53</v>
      </c>
      <c r="AF45" s="163">
        <v>3114.3</v>
      </c>
      <c r="AG45" s="163">
        <v>141.86000000000001</v>
      </c>
      <c r="AH45" s="163">
        <v>15.17</v>
      </c>
      <c r="AI45" s="163">
        <v>18.04</v>
      </c>
      <c r="AJ45" s="163">
        <v>13.44</v>
      </c>
      <c r="AK45" s="163">
        <v>3051.5</v>
      </c>
      <c r="AL45" s="163">
        <v>143.09</v>
      </c>
      <c r="AM45" s="163">
        <v>15.18</v>
      </c>
      <c r="AN45" s="163">
        <v>21.74</v>
      </c>
      <c r="AO45" s="163">
        <v>15.37</v>
      </c>
      <c r="AP45" s="163">
        <v>209.9</v>
      </c>
      <c r="AQ45" s="163">
        <v>22.64</v>
      </c>
      <c r="AR45" s="163">
        <v>3.68</v>
      </c>
      <c r="AS45" s="163">
        <v>9.1300000000000008</v>
      </c>
    </row>
    <row r="46" spans="1:45" ht="15" customHeight="1" thickBot="1" x14ac:dyDescent="0.3">
      <c r="A46" s="72" t="str">
        <f t="shared" si="13"/>
        <v>Z400x3,0</v>
      </c>
      <c r="B46" s="11" t="str">
        <f t="shared" si="14"/>
        <v>400</v>
      </c>
      <c r="C46" s="90">
        <f t="shared" si="15"/>
        <v>87</v>
      </c>
      <c r="D46" s="90">
        <f t="shared" si="16"/>
        <v>95</v>
      </c>
      <c r="E46" s="90">
        <f t="shared" si="17"/>
        <v>30.5</v>
      </c>
      <c r="F46" s="134" t="str">
        <f t="shared" si="18"/>
        <v>Z400</v>
      </c>
      <c r="G46" s="81" t="s">
        <v>53</v>
      </c>
      <c r="H46" s="117">
        <v>3</v>
      </c>
      <c r="I46" s="96">
        <v>14.64</v>
      </c>
      <c r="J46" s="96">
        <f>Z_R_350!J46+(Z_R_390!$A$1-Z_R_350!$A$1)/(Z_R_420!$A$1-Z_R_350!$A$1)*(Z_R_420!J46-Z_R_350!J46)</f>
        <v>10.484285714285715</v>
      </c>
      <c r="K46" s="96">
        <f>Z_R_350!K46+(Z_R_390!$A$1-Z_R_350!$A$1)/(Z_R_420!$A$1-Z_R_350!$A$1)*(Z_R_420!K46-Z_R_350!K46)</f>
        <v>3.2328571428571427</v>
      </c>
      <c r="L46" s="96">
        <f>Z_R_350!L46+(Z_R_390!$A$1-Z_R_350!$A$1)/(Z_R_420!$A$1-Z_R_350!$A$1)*(Z_R_420!L46-Z_R_350!L46)</f>
        <v>17.014285714285712</v>
      </c>
      <c r="M46" s="96">
        <f>Z_R_350!M46+(Z_R_390!$A$1-Z_R_350!$A$1)/(Z_R_420!$A$1-Z_R_350!$A$1)*(Z_R_420!M46-Z_R_350!M46)</f>
        <v>3884.7971428571427</v>
      </c>
      <c r="N46" s="96">
        <f>Z_R_350!N46+(Z_R_390!$A$1-Z_R_350!$A$1)/(Z_R_420!$A$1-Z_R_350!$A$1)*(Z_R_420!N46-Z_R_350!N46)</f>
        <v>181.9842857142857</v>
      </c>
      <c r="O46" s="96">
        <f>Z_R_350!O46+(Z_R_390!$A$1-Z_R_350!$A$1)/(Z_R_420!$A$1-Z_R_350!$A$1)*(Z_R_420!O46-Z_R_350!O46)</f>
        <v>15.104285714285714</v>
      </c>
      <c r="P46" s="96">
        <f>Z_R_350!P46+(Z_R_390!$A$1-Z_R_350!$A$1)/(Z_R_420!$A$1-Z_R_350!$A$1)*(Z_R_420!P46-Z_R_350!P46)</f>
        <v>18.651428571428571</v>
      </c>
      <c r="Q46" s="96">
        <f>Z_R_350!Q46+(Z_R_390!$A$1-Z_R_350!$A$1)/(Z_R_420!$A$1-Z_R_350!$A$1)*(Z_R_420!Q46-Z_R_350!Q46)</f>
        <v>17.037142857142857</v>
      </c>
      <c r="R46" s="96">
        <f>Z_R_350!R46+(Z_R_390!$A$1-Z_R_350!$A$1)/(Z_R_420!$A$1-Z_R_350!$A$1)*(Z_R_420!R46-Z_R_350!R46)</f>
        <v>3892.5642857142857</v>
      </c>
      <c r="S46" s="96">
        <f>Z_R_350!S46+(Z_R_390!$A$1-Z_R_350!$A$1)/(Z_R_420!$A$1-Z_R_350!$A$1)*(Z_R_420!S46-Z_R_350!S46)</f>
        <v>187.05142857142857</v>
      </c>
      <c r="T46" s="96">
        <f>Z_R_350!T46+(Z_R_390!$A$1-Z_R_350!$A$1)/(Z_R_420!$A$1-Z_R_350!$A$1)*(Z_R_420!T46-Z_R_350!T46)</f>
        <v>15.112857142857143</v>
      </c>
      <c r="U46" s="96">
        <f>Z_R_350!U46+(Z_R_390!$A$1-Z_R_350!$A$1)/(Z_R_420!$A$1-Z_R_350!$A$1)*(Z_R_420!U46-Z_R_350!U46)</f>
        <v>20.805714285714284</v>
      </c>
      <c r="V46" s="96">
        <f>Z_R_350!V46+(Z_R_390!$A$1-Z_R_350!$A$1)/(Z_R_420!$A$1-Z_R_350!$A$1)*(Z_R_420!V46-Z_R_350!V46)</f>
        <v>18.644285714285715</v>
      </c>
      <c r="W46" s="96">
        <f>Z_R_350!W46+(Z_R_390!$A$1-Z_R_350!$A$1)/(Z_R_420!$A$1-Z_R_350!$A$1)*(Z_R_420!W46-Z_R_350!W46)</f>
        <v>260.60571428571427</v>
      </c>
      <c r="X46" s="96">
        <f>Z_R_350!X46+(Z_R_390!$A$1-Z_R_350!$A$1)/(Z_R_420!$A$1-Z_R_350!$A$1)*(Z_R_420!X46-Z_R_350!X46)</f>
        <v>27.434285714285714</v>
      </c>
      <c r="Y46" s="96">
        <f>Z_R_350!Y46+(Z_R_390!$A$1-Z_R_350!$A$1)/(Z_R_420!$A$1-Z_R_350!$A$1)*(Z_R_420!Y46-Z_R_350!Y46)</f>
        <v>3.73</v>
      </c>
      <c r="Z46" s="97">
        <f>Z_R_350!Z46+(Z_R_390!$A$1-Z_R_350!$A$1)/(Z_R_420!$A$1-Z_R_350!$A$1)*(Z_R_420!Z46-Z_R_350!Z46)</f>
        <v>8.6999999999999993</v>
      </c>
      <c r="AB46" s="163">
        <v>14.64</v>
      </c>
      <c r="AC46" s="163">
        <v>10.49</v>
      </c>
      <c r="AD46" s="163">
        <v>3.24</v>
      </c>
      <c r="AE46" s="163">
        <v>17.07</v>
      </c>
      <c r="AF46" s="163">
        <v>3893.8</v>
      </c>
      <c r="AG46" s="163">
        <v>182.75</v>
      </c>
      <c r="AH46" s="163">
        <v>15.1</v>
      </c>
      <c r="AI46" s="163">
        <v>18.690000000000001</v>
      </c>
      <c r="AJ46" s="163">
        <v>17.03</v>
      </c>
      <c r="AK46" s="163">
        <v>3862.1</v>
      </c>
      <c r="AL46" s="163">
        <v>187.05</v>
      </c>
      <c r="AM46" s="163">
        <v>15.17</v>
      </c>
      <c r="AN46" s="163">
        <v>20.98</v>
      </c>
      <c r="AO46" s="163">
        <v>18.649999999999999</v>
      </c>
      <c r="AP46" s="163">
        <v>260.72000000000003</v>
      </c>
      <c r="AQ46" s="163">
        <v>27.44</v>
      </c>
      <c r="AR46" s="163">
        <v>3.73</v>
      </c>
      <c r="AS46" s="163">
        <v>8.6999999999999993</v>
      </c>
    </row>
    <row r="47" spans="1:45" ht="15" customHeight="1" thickBot="1" x14ac:dyDescent="0.3">
      <c r="A47" s="72" t="str">
        <f t="shared" si="13"/>
        <v>Z400x3,5</v>
      </c>
      <c r="B47" s="11" t="str">
        <f t="shared" si="14"/>
        <v>400</v>
      </c>
      <c r="C47" s="90">
        <f t="shared" si="15"/>
        <v>88</v>
      </c>
      <c r="D47" s="90">
        <f t="shared" si="16"/>
        <v>96</v>
      </c>
      <c r="E47" s="90">
        <f t="shared" si="17"/>
        <v>31</v>
      </c>
      <c r="F47" s="134" t="str">
        <f t="shared" si="18"/>
        <v>Z400</v>
      </c>
      <c r="G47" s="81" t="s">
        <v>54</v>
      </c>
      <c r="H47" s="117">
        <v>3.5</v>
      </c>
      <c r="I47" s="96">
        <v>17.09</v>
      </c>
      <c r="J47" s="96">
        <f>Z_R_350!J47+(Z_R_390!$A$1-Z_R_350!$A$1)/(Z_R_420!$A$1-Z_R_350!$A$1)*(Z_R_420!J47-Z_R_350!J47)</f>
        <v>12.955714285714285</v>
      </c>
      <c r="K47" s="96">
        <f>Z_R_350!K47+(Z_R_390!$A$1-Z_R_350!$A$1)/(Z_R_420!$A$1-Z_R_350!$A$1)*(Z_R_420!K47-Z_R_350!K47)</f>
        <v>3.1885714285714286</v>
      </c>
      <c r="L47" s="96">
        <f>Z_R_350!L47+(Z_R_390!$A$1-Z_R_350!$A$1)/(Z_R_420!$A$1-Z_R_350!$A$1)*(Z_R_420!L47-Z_R_350!L47)</f>
        <v>20.621428571428574</v>
      </c>
      <c r="M47" s="96">
        <f>Z_R_350!M47+(Z_R_390!$A$1-Z_R_350!$A$1)/(Z_R_420!$A$1-Z_R_350!$A$1)*(Z_R_420!M47-Z_R_350!M47)</f>
        <v>4642.4928571428572</v>
      </c>
      <c r="N47" s="96">
        <f>Z_R_350!N47+(Z_R_390!$A$1-Z_R_350!$A$1)/(Z_R_420!$A$1-Z_R_350!$A$1)*(Z_R_420!N47-Z_R_350!N47)</f>
        <v>222.13428571428571</v>
      </c>
      <c r="O47" s="96">
        <f>Z_R_350!O47+(Z_R_390!$A$1-Z_R_350!$A$1)/(Z_R_420!$A$1-Z_R_350!$A$1)*(Z_R_420!O47-Z_R_350!O47)</f>
        <v>14.994285714285715</v>
      </c>
      <c r="P47" s="96">
        <f>Z_R_350!P47+(Z_R_390!$A$1-Z_R_350!$A$1)/(Z_R_420!$A$1-Z_R_350!$A$1)*(Z_R_420!P47-Z_R_350!P47)</f>
        <v>19.100000000000001</v>
      </c>
      <c r="Q47" s="96">
        <f>Z_R_350!Q47+(Z_R_390!$A$1-Z_R_350!$A$1)/(Z_R_420!$A$1-Z_R_350!$A$1)*(Z_R_420!Q47-Z_R_350!Q47)</f>
        <v>20.657142857142858</v>
      </c>
      <c r="R47" s="96">
        <f>Z_R_350!R47+(Z_R_390!$A$1-Z_R_350!$A$1)/(Z_R_420!$A$1-Z_R_350!$A$1)*(Z_R_420!R47-Z_R_350!R47)</f>
        <v>4654.9085714285711</v>
      </c>
      <c r="S47" s="96">
        <f>Z_R_350!S47+(Z_R_390!$A$1-Z_R_350!$A$1)/(Z_R_420!$A$1-Z_R_350!$A$1)*(Z_R_420!S47-Z_R_350!S47)</f>
        <v>228.67571428571429</v>
      </c>
      <c r="T47" s="96">
        <f>Z_R_350!T47+(Z_R_390!$A$1-Z_R_350!$A$1)/(Z_R_420!$A$1-Z_R_350!$A$1)*(Z_R_420!T47-Z_R_350!T47)</f>
        <v>15.004285714285714</v>
      </c>
      <c r="U47" s="96">
        <f>Z_R_350!U47+(Z_R_390!$A$1-Z_R_350!$A$1)/(Z_R_420!$A$1-Z_R_350!$A$1)*(Z_R_420!U47-Z_R_350!U47)</f>
        <v>20.358571428571427</v>
      </c>
      <c r="V47" s="96">
        <f>Z_R_350!V47+(Z_R_390!$A$1-Z_R_350!$A$1)/(Z_R_420!$A$1-Z_R_350!$A$1)*(Z_R_420!V47-Z_R_350!V47)</f>
        <v>21.774285714285714</v>
      </c>
      <c r="W47" s="96">
        <f>Z_R_350!W47+(Z_R_390!$A$1-Z_R_350!$A$1)/(Z_R_420!$A$1-Z_R_350!$A$1)*(Z_R_420!W47-Z_R_350!W47)</f>
        <v>309.38</v>
      </c>
      <c r="X47" s="96">
        <f>Z_R_350!X47+(Z_R_390!$A$1-Z_R_350!$A$1)/(Z_R_420!$A$1-Z_R_350!$A$1)*(Z_R_420!X47-Z_R_350!X47)</f>
        <v>32.134285714285717</v>
      </c>
      <c r="Y47" s="96">
        <f>Z_R_350!Y47+(Z_R_390!$A$1-Z_R_350!$A$1)/(Z_R_420!$A$1-Z_R_350!$A$1)*(Z_R_420!Y47-Z_R_350!Y47)</f>
        <v>3.76</v>
      </c>
      <c r="Z47" s="97">
        <f>Z_R_350!Z47+(Z_R_390!$A$1-Z_R_350!$A$1)/(Z_R_420!$A$1-Z_R_350!$A$1)*(Z_R_420!Z47-Z_R_350!Z47)</f>
        <v>8.77</v>
      </c>
      <c r="AB47" s="163">
        <v>17.09</v>
      </c>
      <c r="AC47" s="163">
        <v>12.93</v>
      </c>
      <c r="AD47" s="163">
        <v>3.19</v>
      </c>
      <c r="AE47" s="163">
        <v>20.7</v>
      </c>
      <c r="AF47" s="163">
        <v>4653.7</v>
      </c>
      <c r="AG47" s="163">
        <v>223.19</v>
      </c>
      <c r="AH47" s="163">
        <v>14.99</v>
      </c>
      <c r="AI47" s="163">
        <v>19.149999999999999</v>
      </c>
      <c r="AJ47" s="163">
        <v>20.64</v>
      </c>
      <c r="AK47" s="163">
        <v>4653.6000000000004</v>
      </c>
      <c r="AL47" s="163">
        <v>228.45</v>
      </c>
      <c r="AM47" s="163">
        <v>15.08</v>
      </c>
      <c r="AN47" s="163">
        <v>20.64</v>
      </c>
      <c r="AO47" s="163">
        <v>21.78</v>
      </c>
      <c r="AP47" s="163">
        <v>309.38</v>
      </c>
      <c r="AQ47" s="163">
        <v>32.14</v>
      </c>
      <c r="AR47" s="163">
        <v>3.76</v>
      </c>
      <c r="AS47" s="163">
        <v>8.77</v>
      </c>
    </row>
    <row r="48" spans="1:45" ht="15" customHeight="1" thickBot="1" x14ac:dyDescent="0.3">
      <c r="A48" s="73" t="str">
        <f t="shared" si="13"/>
        <v>Z400x4,0</v>
      </c>
      <c r="B48" s="12" t="str">
        <f t="shared" si="14"/>
        <v>400</v>
      </c>
      <c r="C48" s="91">
        <f t="shared" si="15"/>
        <v>89</v>
      </c>
      <c r="D48" s="91">
        <f t="shared" si="16"/>
        <v>97</v>
      </c>
      <c r="E48" s="91">
        <f t="shared" si="17"/>
        <v>31.5</v>
      </c>
      <c r="F48" s="135" t="str">
        <f t="shared" si="18"/>
        <v>Z400</v>
      </c>
      <c r="G48" s="82" t="s">
        <v>55</v>
      </c>
      <c r="H48" s="118">
        <v>4</v>
      </c>
      <c r="I48" s="98">
        <v>19.55</v>
      </c>
      <c r="J48" s="98">
        <f>Z_R_350!J48+(Z_R_390!$A$1-Z_R_350!$A$1)/(Z_R_420!$A$1-Z_R_350!$A$1)*(Z_R_420!J48-Z_R_350!J48)</f>
        <v>15.572857142857142</v>
      </c>
      <c r="K48" s="98">
        <f>Z_R_350!K48+(Z_R_390!$A$1-Z_R_350!$A$1)/(Z_R_420!$A$1-Z_R_350!$A$1)*(Z_R_420!K48-Z_R_350!K48)</f>
        <v>3.1442857142857141</v>
      </c>
      <c r="L48" s="98">
        <f>Z_R_350!L48+(Z_R_390!$A$1-Z_R_350!$A$1)/(Z_R_420!$A$1-Z_R_350!$A$1)*(Z_R_420!L48-Z_R_350!L48)</f>
        <v>24.422857142857143</v>
      </c>
      <c r="M48" s="98">
        <f>Z_R_350!M48+(Z_R_390!$A$1-Z_R_350!$A$1)/(Z_R_420!$A$1-Z_R_350!$A$1)*(Z_R_420!M48-Z_R_350!M48)</f>
        <v>5422.7928571428574</v>
      </c>
      <c r="N48" s="98">
        <f>Z_R_350!N48+(Z_R_390!$A$1-Z_R_350!$A$1)/(Z_R_420!$A$1-Z_R_350!$A$1)*(Z_R_420!N48-Z_R_350!N48)</f>
        <v>264.68857142857144</v>
      </c>
      <c r="O48" s="98">
        <f>Z_R_350!O48+(Z_R_390!$A$1-Z_R_350!$A$1)/(Z_R_420!$A$1-Z_R_350!$A$1)*(Z_R_420!O48-Z_R_350!O48)</f>
        <v>14.894285714285713</v>
      </c>
      <c r="P48" s="98">
        <f>Z_R_350!P48+(Z_R_390!$A$1-Z_R_350!$A$1)/(Z_R_420!$A$1-Z_R_350!$A$1)*(Z_R_420!P48-Z_R_350!P48)</f>
        <v>19.514285714285716</v>
      </c>
      <c r="Q48" s="98">
        <f>Z_R_350!Q48+(Z_R_390!$A$1-Z_R_350!$A$1)/(Z_R_420!$A$1-Z_R_350!$A$1)*(Z_R_420!Q48-Z_R_350!Q48)</f>
        <v>24.428571428571431</v>
      </c>
      <c r="R48" s="98">
        <f>Z_R_350!R48+(Z_R_390!$A$1-Z_R_350!$A$1)/(Z_R_420!$A$1-Z_R_350!$A$1)*(Z_R_420!R48-Z_R_350!R48)</f>
        <v>5427.9857142857145</v>
      </c>
      <c r="S48" s="98">
        <f>Z_R_350!S48+(Z_R_390!$A$1-Z_R_350!$A$1)/(Z_R_420!$A$1-Z_R_350!$A$1)*(Z_R_420!S48-Z_R_350!S48)</f>
        <v>269.61857142857139</v>
      </c>
      <c r="T48" s="98">
        <f>Z_R_350!T48+(Z_R_390!$A$1-Z_R_350!$A$1)/(Z_R_420!$A$1-Z_R_350!$A$1)*(Z_R_420!T48-Z_R_350!T48)</f>
        <v>14.9</v>
      </c>
      <c r="U48" s="98">
        <f>Z_R_350!U48+(Z_R_390!$A$1-Z_R_350!$A$1)/(Z_R_420!$A$1-Z_R_350!$A$1)*(Z_R_420!U48-Z_R_350!U48)</f>
        <v>19.97</v>
      </c>
      <c r="V48" s="98">
        <f>Z_R_350!V48+(Z_R_390!$A$1-Z_R_350!$A$1)/(Z_R_420!$A$1-Z_R_350!$A$1)*(Z_R_420!V48-Z_R_350!V48)</f>
        <v>24.904285714285713</v>
      </c>
      <c r="W48" s="98">
        <f>Z_R_350!W48+(Z_R_390!$A$1-Z_R_350!$A$1)/(Z_R_420!$A$1-Z_R_350!$A$1)*(Z_R_420!W48-Z_R_350!W48)</f>
        <v>359.6</v>
      </c>
      <c r="X48" s="98">
        <f>Z_R_350!X48+(Z_R_390!$A$1-Z_R_350!$A$1)/(Z_R_420!$A$1-Z_R_350!$A$1)*(Z_R_420!X48-Z_R_350!X48)</f>
        <v>36.874285714285712</v>
      </c>
      <c r="Y48" s="98">
        <f>Z_R_350!Y48+(Z_R_390!$A$1-Z_R_350!$A$1)/(Z_R_420!$A$1-Z_R_350!$A$1)*(Z_R_420!Y48-Z_R_350!Y48)</f>
        <v>3.79</v>
      </c>
      <c r="Z48" s="99">
        <f>Z_R_350!Z48+(Z_R_390!$A$1-Z_R_350!$A$1)/(Z_R_420!$A$1-Z_R_350!$A$1)*(Z_R_420!Z48-Z_R_350!Z48)</f>
        <v>8.85</v>
      </c>
      <c r="AB48" s="163">
        <v>19.55</v>
      </c>
      <c r="AC48" s="163">
        <v>15.54</v>
      </c>
      <c r="AD48" s="163">
        <v>3.14</v>
      </c>
      <c r="AE48" s="163">
        <v>24.53</v>
      </c>
      <c r="AF48" s="163">
        <v>5438.1</v>
      </c>
      <c r="AG48" s="163">
        <v>266.18</v>
      </c>
      <c r="AH48" s="163">
        <v>14.89</v>
      </c>
      <c r="AI48" s="163">
        <v>19.57</v>
      </c>
      <c r="AJ48" s="163">
        <v>24.42</v>
      </c>
      <c r="AK48" s="163">
        <v>5426</v>
      </c>
      <c r="AL48" s="163">
        <v>269.61</v>
      </c>
      <c r="AM48" s="163">
        <v>15</v>
      </c>
      <c r="AN48" s="163">
        <v>20.34</v>
      </c>
      <c r="AO48" s="163">
        <v>24.91</v>
      </c>
      <c r="AP48" s="163">
        <v>359.6</v>
      </c>
      <c r="AQ48" s="163">
        <v>36.880000000000003</v>
      </c>
      <c r="AR48" s="163">
        <v>3.79</v>
      </c>
      <c r="AS48" s="163">
        <v>8.85</v>
      </c>
    </row>
    <row r="49" spans="4:26" ht="15" customHeight="1" x14ac:dyDescent="0.25">
      <c r="D49" s="167"/>
    </row>
    <row r="50" spans="4:26" ht="15" customHeight="1" x14ac:dyDescent="0.25">
      <c r="I50" s="168">
        <f>I11-AB11</f>
        <v>0</v>
      </c>
      <c r="J50" s="168">
        <f t="shared" ref="J50:Z50" si="19">J11-AC11</f>
        <v>2.8571428571428914E-3</v>
      </c>
      <c r="K50" s="168">
        <f t="shared" si="19"/>
        <v>6.999999999999984E-2</v>
      </c>
      <c r="L50" s="168">
        <f t="shared" si="19"/>
        <v>0</v>
      </c>
      <c r="M50" s="168">
        <f t="shared" si="19"/>
        <v>2.8571428571424917E-2</v>
      </c>
      <c r="N50" s="168">
        <f t="shared" si="19"/>
        <v>2.2857142857143131E-2</v>
      </c>
      <c r="O50" s="168">
        <f t="shared" si="19"/>
        <v>-1.4285714285717788E-3</v>
      </c>
      <c r="P50" s="168">
        <f t="shared" si="19"/>
        <v>2.8571428571435575E-3</v>
      </c>
      <c r="Q50" s="168">
        <f t="shared" si="19"/>
        <v>2.4285714285714022E-2</v>
      </c>
      <c r="R50" s="168">
        <f t="shared" si="19"/>
        <v>0.57428571428572184</v>
      </c>
      <c r="S50" s="168">
        <f t="shared" si="19"/>
        <v>0.13142857142857167</v>
      </c>
      <c r="T50" s="168">
        <f t="shared" si="19"/>
        <v>-1.5714285714285126E-2</v>
      </c>
      <c r="U50" s="168">
        <f t="shared" si="19"/>
        <v>-5.2857142857142492E-2</v>
      </c>
      <c r="V50" s="168">
        <f t="shared" si="19"/>
        <v>7.1428571428571175E-3</v>
      </c>
      <c r="W50" s="168">
        <f t="shared" si="19"/>
        <v>4.5714285714286262E-2</v>
      </c>
      <c r="X50" s="168">
        <f t="shared" si="19"/>
        <v>1.28571428571429E-2</v>
      </c>
      <c r="Y50" s="168">
        <f t="shared" si="19"/>
        <v>-2.8571428571426694E-3</v>
      </c>
      <c r="Z50" s="168">
        <f t="shared" si="19"/>
        <v>9.9999999999997868E-3</v>
      </c>
    </row>
    <row r="51" spans="4:26" ht="15" customHeight="1" x14ac:dyDescent="0.25">
      <c r="I51" s="168">
        <f t="shared" ref="I51:Z51" si="20">I12-AB12</f>
        <v>0</v>
      </c>
      <c r="J51" s="168">
        <f t="shared" si="20"/>
        <v>4.2857142857142261E-3</v>
      </c>
      <c r="K51" s="168">
        <f t="shared" si="20"/>
        <v>-2.8571428571431134E-3</v>
      </c>
      <c r="L51" s="168">
        <f t="shared" si="20"/>
        <v>2.8571428571426694E-3</v>
      </c>
      <c r="M51" s="168">
        <f t="shared" si="20"/>
        <v>1.5714285714281573E-2</v>
      </c>
      <c r="N51" s="168">
        <f t="shared" si="20"/>
        <v>1.9999999999999574E-2</v>
      </c>
      <c r="O51" s="168">
        <f t="shared" si="20"/>
        <v>0</v>
      </c>
      <c r="P51" s="168">
        <f t="shared" si="20"/>
        <v>2.8571428571435575E-3</v>
      </c>
      <c r="Q51" s="168">
        <f t="shared" si="20"/>
        <v>5.2857142857142936E-2</v>
      </c>
      <c r="R51" s="168">
        <f t="shared" si="20"/>
        <v>1.0442857142857207</v>
      </c>
      <c r="S51" s="168">
        <f t="shared" si="20"/>
        <v>0.24857142857142911</v>
      </c>
      <c r="T51" s="168">
        <f t="shared" si="20"/>
        <v>-2.5714285714284912E-2</v>
      </c>
      <c r="U51" s="168">
        <f t="shared" si="20"/>
        <v>-6.7142857142857615E-2</v>
      </c>
      <c r="V51" s="168">
        <f t="shared" si="20"/>
        <v>1.4285714285713347E-3</v>
      </c>
      <c r="W51" s="168">
        <f t="shared" si="20"/>
        <v>2.1428571428572241E-2</v>
      </c>
      <c r="X51" s="168">
        <f t="shared" si="20"/>
        <v>0</v>
      </c>
      <c r="Y51" s="168">
        <f t="shared" si="20"/>
        <v>-2.8571428571426694E-3</v>
      </c>
      <c r="Z51" s="168">
        <f t="shared" si="20"/>
        <v>0</v>
      </c>
    </row>
    <row r="52" spans="4:26" ht="15" customHeight="1" x14ac:dyDescent="0.25">
      <c r="I52" s="168">
        <f t="shared" ref="I52:Z52" si="21">I13-AB13</f>
        <v>0</v>
      </c>
      <c r="J52" s="168">
        <f t="shared" si="21"/>
        <v>5.7142857142857828E-3</v>
      </c>
      <c r="K52" s="168">
        <f t="shared" si="21"/>
        <v>1.4285714285713347E-3</v>
      </c>
      <c r="L52" s="168">
        <f t="shared" si="21"/>
        <v>-2.857142857142847E-2</v>
      </c>
      <c r="M52" s="168">
        <f t="shared" si="21"/>
        <v>-0.5</v>
      </c>
      <c r="N52" s="168">
        <f t="shared" si="21"/>
        <v>-0.14999999999999858</v>
      </c>
      <c r="O52" s="168">
        <f t="shared" si="21"/>
        <v>0</v>
      </c>
      <c r="P52" s="168">
        <f t="shared" si="21"/>
        <v>-2.5714285714285801E-2</v>
      </c>
      <c r="Q52" s="168">
        <f t="shared" si="21"/>
        <v>8.5714285714280081E-3</v>
      </c>
      <c r="R52" s="168">
        <f t="shared" si="21"/>
        <v>5.1428571428559167E-2</v>
      </c>
      <c r="S52" s="168">
        <f t="shared" si="21"/>
        <v>0.51142857142857423</v>
      </c>
      <c r="T52" s="168">
        <f t="shared" si="21"/>
        <v>-4.0000000000000036E-2</v>
      </c>
      <c r="U52" s="168">
        <f t="shared" si="21"/>
        <v>-0.10571428571428587</v>
      </c>
      <c r="V52" s="168">
        <f t="shared" si="21"/>
        <v>2.8571428571426694E-3</v>
      </c>
      <c r="W52" s="168">
        <f t="shared" si="21"/>
        <v>7.142857142859782E-3</v>
      </c>
      <c r="X52" s="168">
        <f t="shared" si="21"/>
        <v>-1.2857142857143344E-2</v>
      </c>
      <c r="Y52" s="168">
        <f t="shared" si="21"/>
        <v>1.28571428571429E-2</v>
      </c>
      <c r="Z52" s="168">
        <f t="shared" si="21"/>
        <v>-0.29714285714285715</v>
      </c>
    </row>
    <row r="53" spans="4:26" ht="15" customHeight="1" x14ac:dyDescent="0.25">
      <c r="I53" s="168">
        <f t="shared" ref="I53:Z53" si="22">I14-AB14</f>
        <v>0</v>
      </c>
      <c r="J53" s="168">
        <f t="shared" si="22"/>
        <v>-5.7142857142862269E-3</v>
      </c>
      <c r="K53" s="168">
        <f t="shared" si="22"/>
        <v>2.8571428571426694E-3</v>
      </c>
      <c r="L53" s="168">
        <f t="shared" si="22"/>
        <v>0</v>
      </c>
      <c r="M53" s="168">
        <f t="shared" si="22"/>
        <v>0</v>
      </c>
      <c r="N53" s="168">
        <f t="shared" si="22"/>
        <v>0</v>
      </c>
      <c r="O53" s="168">
        <f t="shared" si="22"/>
        <v>0</v>
      </c>
      <c r="P53" s="168">
        <f t="shared" si="22"/>
        <v>0</v>
      </c>
      <c r="Q53" s="168">
        <f t="shared" si="22"/>
        <v>-1.7142857142856904E-2</v>
      </c>
      <c r="R53" s="168">
        <f t="shared" si="22"/>
        <v>-0.95428571428570308</v>
      </c>
      <c r="S53" s="168">
        <f t="shared" si="22"/>
        <v>-4.5714285714286262E-2</v>
      </c>
      <c r="T53" s="168">
        <f t="shared" si="22"/>
        <v>-5.7142857142853387E-3</v>
      </c>
      <c r="U53" s="168">
        <f t="shared" si="22"/>
        <v>2.2857142857143131E-2</v>
      </c>
      <c r="V53" s="168">
        <f t="shared" si="22"/>
        <v>-2.857142857142847E-2</v>
      </c>
      <c r="W53" s="168">
        <f t="shared" si="22"/>
        <v>-0.28000000000000114</v>
      </c>
      <c r="X53" s="168">
        <f t="shared" si="22"/>
        <v>-5.7142857142853387E-3</v>
      </c>
      <c r="Y53" s="168">
        <f t="shared" si="22"/>
        <v>0</v>
      </c>
      <c r="Z53" s="168">
        <f t="shared" si="22"/>
        <v>-1.1428571428571566E-2</v>
      </c>
    </row>
    <row r="54" spans="4:26" ht="15" customHeight="1" x14ac:dyDescent="0.25">
      <c r="I54" s="168">
        <f t="shared" ref="I54:Z54" si="23">I15-AB15</f>
        <v>0</v>
      </c>
      <c r="J54" s="168">
        <f t="shared" si="23"/>
        <v>-1.4285714285708906E-3</v>
      </c>
      <c r="K54" s="168">
        <f t="shared" si="23"/>
        <v>2.8571428571426694E-3</v>
      </c>
      <c r="L54" s="168">
        <f t="shared" si="23"/>
        <v>0</v>
      </c>
      <c r="M54" s="168">
        <f t="shared" si="23"/>
        <v>0</v>
      </c>
      <c r="N54" s="168">
        <f t="shared" si="23"/>
        <v>0</v>
      </c>
      <c r="O54" s="168">
        <f t="shared" si="23"/>
        <v>0</v>
      </c>
      <c r="P54" s="168">
        <f t="shared" si="23"/>
        <v>0</v>
      </c>
      <c r="Q54" s="168">
        <f t="shared" si="23"/>
        <v>0</v>
      </c>
      <c r="R54" s="168">
        <f t="shared" si="23"/>
        <v>0</v>
      </c>
      <c r="S54" s="168">
        <f t="shared" si="23"/>
        <v>0</v>
      </c>
      <c r="T54" s="168">
        <f t="shared" si="23"/>
        <v>0</v>
      </c>
      <c r="U54" s="168">
        <f t="shared" si="23"/>
        <v>0</v>
      </c>
      <c r="V54" s="168">
        <f t="shared" si="23"/>
        <v>-5.7142857142853387E-3</v>
      </c>
      <c r="W54" s="168">
        <f t="shared" si="23"/>
        <v>0</v>
      </c>
      <c r="X54" s="168">
        <f t="shared" si="23"/>
        <v>-5.7142857142871151E-3</v>
      </c>
      <c r="Y54" s="168">
        <f t="shared" si="23"/>
        <v>0</v>
      </c>
      <c r="Z54" s="168">
        <f t="shared" si="23"/>
        <v>0</v>
      </c>
    </row>
    <row r="55" spans="4:26" ht="15" customHeight="1" x14ac:dyDescent="0.25">
      <c r="I55" s="168">
        <f t="shared" ref="I55:Z55" si="24">I16-AB16</f>
        <v>0</v>
      </c>
      <c r="J55" s="168">
        <f t="shared" si="24"/>
        <v>0</v>
      </c>
      <c r="K55" s="168">
        <f t="shared" si="24"/>
        <v>-7.1428571428575616E-3</v>
      </c>
      <c r="L55" s="168">
        <f t="shared" si="24"/>
        <v>0</v>
      </c>
      <c r="M55" s="168">
        <f t="shared" si="24"/>
        <v>0</v>
      </c>
      <c r="N55" s="168">
        <f t="shared" si="24"/>
        <v>0</v>
      </c>
      <c r="O55" s="168">
        <f t="shared" si="24"/>
        <v>0</v>
      </c>
      <c r="P55" s="168">
        <f t="shared" si="24"/>
        <v>0</v>
      </c>
      <c r="Q55" s="168">
        <f t="shared" si="24"/>
        <v>0</v>
      </c>
      <c r="R55" s="168">
        <f t="shared" si="24"/>
        <v>0</v>
      </c>
      <c r="S55" s="168">
        <f t="shared" si="24"/>
        <v>0</v>
      </c>
      <c r="T55" s="168">
        <f t="shared" si="24"/>
        <v>0</v>
      </c>
      <c r="U55" s="168">
        <f t="shared" si="24"/>
        <v>0</v>
      </c>
      <c r="V55" s="168">
        <f t="shared" si="24"/>
        <v>1.1428571428570677E-2</v>
      </c>
      <c r="W55" s="168">
        <f t="shared" si="24"/>
        <v>0.15999999999999659</v>
      </c>
      <c r="X55" s="168">
        <f t="shared" si="24"/>
        <v>-5.7142857142853387E-3</v>
      </c>
      <c r="Y55" s="168">
        <f t="shared" si="24"/>
        <v>0</v>
      </c>
      <c r="Z55" s="168">
        <f t="shared" si="24"/>
        <v>0</v>
      </c>
    </row>
    <row r="56" spans="4:26" ht="15" customHeight="1" x14ac:dyDescent="0.25">
      <c r="I56" s="168">
        <f t="shared" ref="I56:Z56" si="25">I17-AB17</f>
        <v>0</v>
      </c>
      <c r="J56" s="168">
        <f t="shared" si="25"/>
        <v>7.1428571428571175E-3</v>
      </c>
      <c r="K56" s="168">
        <f t="shared" si="25"/>
        <v>-4.285714285714004E-3</v>
      </c>
      <c r="L56" s="168">
        <f t="shared" si="25"/>
        <v>4.285714285714004E-3</v>
      </c>
      <c r="M56" s="168">
        <f t="shared" si="25"/>
        <v>6.2857142857140502E-2</v>
      </c>
      <c r="N56" s="168">
        <f t="shared" si="25"/>
        <v>2.1428571428572241E-2</v>
      </c>
      <c r="O56" s="168">
        <f t="shared" si="25"/>
        <v>4.2857142857144481E-3</v>
      </c>
      <c r="P56" s="168">
        <f t="shared" si="25"/>
        <v>1.4285714285717788E-3</v>
      </c>
      <c r="Q56" s="168">
        <f t="shared" si="25"/>
        <v>1.4285714285714235E-2</v>
      </c>
      <c r="R56" s="168">
        <f t="shared" si="25"/>
        <v>0.66857142857142549</v>
      </c>
      <c r="S56" s="168">
        <f t="shared" si="25"/>
        <v>0.13571428571428612</v>
      </c>
      <c r="T56" s="168">
        <f t="shared" si="25"/>
        <v>-1.5714285714286014E-2</v>
      </c>
      <c r="U56" s="168">
        <f t="shared" si="25"/>
        <v>-5.1428571428571601E-2</v>
      </c>
      <c r="V56" s="168">
        <f t="shared" si="25"/>
        <v>7.1428571428575616E-3</v>
      </c>
      <c r="W56" s="168">
        <f t="shared" si="25"/>
        <v>4.5714285714286262E-2</v>
      </c>
      <c r="X56" s="168">
        <f t="shared" si="25"/>
        <v>8.5714285714284522E-3</v>
      </c>
      <c r="Y56" s="168">
        <f t="shared" si="25"/>
        <v>2.8571428571426694E-3</v>
      </c>
      <c r="Z56" s="168">
        <f t="shared" si="25"/>
        <v>-4.2857142857144481E-3</v>
      </c>
    </row>
    <row r="57" spans="4:26" ht="15" customHeight="1" x14ac:dyDescent="0.25">
      <c r="I57" s="168">
        <f t="shared" ref="I57:Z57" si="26">I18-AB18</f>
        <v>0</v>
      </c>
      <c r="J57" s="168">
        <f t="shared" si="26"/>
        <v>0</v>
      </c>
      <c r="K57" s="168">
        <f t="shared" si="26"/>
        <v>5.7142857142857828E-3</v>
      </c>
      <c r="L57" s="168">
        <f t="shared" si="26"/>
        <v>2.8571428571431134E-3</v>
      </c>
      <c r="M57" s="168">
        <f t="shared" si="26"/>
        <v>5.0000000000011369E-2</v>
      </c>
      <c r="N57" s="168">
        <f t="shared" si="26"/>
        <v>1.7142857142857792E-2</v>
      </c>
      <c r="O57" s="168">
        <f t="shared" si="26"/>
        <v>0</v>
      </c>
      <c r="P57" s="168">
        <f t="shared" si="26"/>
        <v>5.7142857142853387E-3</v>
      </c>
      <c r="Q57" s="168">
        <f t="shared" si="26"/>
        <v>4.2857142857142705E-2</v>
      </c>
      <c r="R57" s="168">
        <f t="shared" si="26"/>
        <v>1.2542857142857287</v>
      </c>
      <c r="S57" s="168">
        <f t="shared" si="26"/>
        <v>0.25714285714285801</v>
      </c>
      <c r="T57" s="168">
        <f t="shared" si="26"/>
        <v>-2.5714285714284912E-2</v>
      </c>
      <c r="U57" s="168">
        <f t="shared" si="26"/>
        <v>-7.1428571428571175E-2</v>
      </c>
      <c r="V57" s="168">
        <f t="shared" si="26"/>
        <v>1.4285714285713347E-3</v>
      </c>
      <c r="W57" s="168">
        <f t="shared" si="26"/>
        <v>1.7142857142857792E-2</v>
      </c>
      <c r="X57" s="168">
        <f t="shared" si="26"/>
        <v>-4.2857142857153363E-3</v>
      </c>
      <c r="Y57" s="168">
        <f t="shared" si="26"/>
        <v>2.8571428571426694E-3</v>
      </c>
      <c r="Z57" s="168">
        <f t="shared" si="26"/>
        <v>-4.2857142857144481E-3</v>
      </c>
    </row>
    <row r="58" spans="4:26" ht="15" customHeight="1" x14ac:dyDescent="0.25">
      <c r="I58" s="168">
        <f t="shared" ref="I58:Z58" si="27">I19-AB19</f>
        <v>0</v>
      </c>
      <c r="J58" s="168">
        <f t="shared" si="27"/>
        <v>5.7142857142853387E-3</v>
      </c>
      <c r="K58" s="168">
        <f t="shared" si="27"/>
        <v>1.4285714285713347E-3</v>
      </c>
      <c r="L58" s="168">
        <f t="shared" si="27"/>
        <v>-2.4285714285714022E-2</v>
      </c>
      <c r="M58" s="168">
        <f t="shared" si="27"/>
        <v>-0.4114285714285586</v>
      </c>
      <c r="N58" s="168">
        <f t="shared" si="27"/>
        <v>-9.5714285714286973E-2</v>
      </c>
      <c r="O58" s="168">
        <f t="shared" si="27"/>
        <v>5.7142857142853387E-3</v>
      </c>
      <c r="P58" s="168">
        <f t="shared" si="27"/>
        <v>-2.2857142857142243E-2</v>
      </c>
      <c r="Q58" s="168">
        <f t="shared" si="27"/>
        <v>9.9999999999997868E-3</v>
      </c>
      <c r="R58" s="168">
        <f t="shared" si="27"/>
        <v>2.4957142857142856</v>
      </c>
      <c r="S58" s="168">
        <f t="shared" si="27"/>
        <v>0.57428571428571473</v>
      </c>
      <c r="T58" s="168">
        <f t="shared" si="27"/>
        <v>-4.4285714285714484E-2</v>
      </c>
      <c r="U58" s="168">
        <f t="shared" si="27"/>
        <v>-0.12142857142857189</v>
      </c>
      <c r="V58" s="168">
        <f t="shared" si="27"/>
        <v>-7.1428571428562293E-3</v>
      </c>
      <c r="W58" s="168">
        <f t="shared" si="27"/>
        <v>-2.8571428571432023E-2</v>
      </c>
      <c r="X58" s="168">
        <f t="shared" si="27"/>
        <v>3.7142857142857366E-2</v>
      </c>
      <c r="Y58" s="168">
        <f t="shared" si="27"/>
        <v>2.8571428571431134E-3</v>
      </c>
      <c r="Z58" s="168">
        <f t="shared" si="27"/>
        <v>-0.29714285714285626</v>
      </c>
    </row>
    <row r="59" spans="4:26" ht="15" customHeight="1" x14ac:dyDescent="0.25">
      <c r="I59" s="168">
        <f t="shared" ref="I59:Z59" si="28">I20-AB20</f>
        <v>0</v>
      </c>
      <c r="J59" s="168">
        <f t="shared" si="28"/>
        <v>-1.1428571428571566E-2</v>
      </c>
      <c r="K59" s="168">
        <f t="shared" si="28"/>
        <v>-2.8571428571426694E-3</v>
      </c>
      <c r="L59" s="168">
        <f t="shared" si="28"/>
        <v>0</v>
      </c>
      <c r="M59" s="168">
        <f t="shared" si="28"/>
        <v>0</v>
      </c>
      <c r="N59" s="168">
        <f t="shared" si="28"/>
        <v>0</v>
      </c>
      <c r="O59" s="168">
        <f t="shared" si="28"/>
        <v>0</v>
      </c>
      <c r="P59" s="168">
        <f t="shared" si="28"/>
        <v>0</v>
      </c>
      <c r="Q59" s="168">
        <f t="shared" si="28"/>
        <v>-1.7142857142856904E-2</v>
      </c>
      <c r="R59" s="168">
        <f t="shared" si="28"/>
        <v>-1.2571428571428385</v>
      </c>
      <c r="S59" s="168">
        <f t="shared" si="28"/>
        <v>-5.714285714285694E-2</v>
      </c>
      <c r="T59" s="168">
        <f t="shared" si="28"/>
        <v>-5.7142857142853387E-3</v>
      </c>
      <c r="U59" s="168">
        <f t="shared" si="28"/>
        <v>2.2857142857143131E-2</v>
      </c>
      <c r="V59" s="168">
        <f t="shared" si="28"/>
        <v>-2.8571428571429358E-2</v>
      </c>
      <c r="W59" s="168">
        <f t="shared" si="28"/>
        <v>-0.2857142857142847</v>
      </c>
      <c r="X59" s="168">
        <f t="shared" si="28"/>
        <v>-5.7142857142853387E-3</v>
      </c>
      <c r="Y59" s="168">
        <f t="shared" si="28"/>
        <v>0</v>
      </c>
      <c r="Z59" s="168">
        <f t="shared" si="28"/>
        <v>-1.1428571428571566E-2</v>
      </c>
    </row>
    <row r="60" spans="4:26" ht="15" customHeight="1" x14ac:dyDescent="0.25">
      <c r="I60" s="168">
        <f t="shared" ref="I60:Z60" si="29">I21-AB21</f>
        <v>0</v>
      </c>
      <c r="J60" s="168">
        <f t="shared" si="29"/>
        <v>2.8571428571426694E-3</v>
      </c>
      <c r="K60" s="168">
        <f t="shared" si="29"/>
        <v>-2.8571428571431134E-3</v>
      </c>
      <c r="L60" s="168">
        <f t="shared" si="29"/>
        <v>0</v>
      </c>
      <c r="M60" s="168">
        <f t="shared" si="29"/>
        <v>0</v>
      </c>
      <c r="N60" s="168">
        <f t="shared" si="29"/>
        <v>0</v>
      </c>
      <c r="O60" s="168">
        <f t="shared" si="29"/>
        <v>0</v>
      </c>
      <c r="P60" s="168">
        <f t="shared" si="29"/>
        <v>0</v>
      </c>
      <c r="Q60" s="168">
        <f t="shared" si="29"/>
        <v>0</v>
      </c>
      <c r="R60" s="168">
        <f t="shared" si="29"/>
        <v>0</v>
      </c>
      <c r="S60" s="168">
        <f t="shared" si="29"/>
        <v>0</v>
      </c>
      <c r="T60" s="168">
        <f t="shared" si="29"/>
        <v>0</v>
      </c>
      <c r="U60" s="168">
        <f t="shared" si="29"/>
        <v>0</v>
      </c>
      <c r="V60" s="168">
        <f t="shared" si="29"/>
        <v>-5.7142857142853387E-3</v>
      </c>
      <c r="W60" s="168">
        <f t="shared" si="29"/>
        <v>0</v>
      </c>
      <c r="X60" s="168">
        <f t="shared" si="29"/>
        <v>0</v>
      </c>
      <c r="Y60" s="168">
        <f t="shared" si="29"/>
        <v>0</v>
      </c>
      <c r="Z60" s="168">
        <f t="shared" si="29"/>
        <v>0</v>
      </c>
    </row>
    <row r="61" spans="4:26" ht="15" customHeight="1" x14ac:dyDescent="0.25">
      <c r="I61" s="168">
        <f t="shared" ref="I61:Z61" si="30">I22-AB22</f>
        <v>0</v>
      </c>
      <c r="J61" s="168">
        <f t="shared" si="30"/>
        <v>-1.4285714285708906E-3</v>
      </c>
      <c r="K61" s="168">
        <f t="shared" si="30"/>
        <v>-7.1428571428575616E-3</v>
      </c>
      <c r="L61" s="168">
        <f t="shared" si="30"/>
        <v>0</v>
      </c>
      <c r="M61" s="168">
        <f t="shared" si="30"/>
        <v>0</v>
      </c>
      <c r="N61" s="168">
        <f t="shared" si="30"/>
        <v>0</v>
      </c>
      <c r="O61" s="168">
        <f t="shared" si="30"/>
        <v>0</v>
      </c>
      <c r="P61" s="168">
        <f t="shared" si="30"/>
        <v>0</v>
      </c>
      <c r="Q61" s="168">
        <f t="shared" si="30"/>
        <v>0</v>
      </c>
      <c r="R61" s="168">
        <f t="shared" si="30"/>
        <v>0</v>
      </c>
      <c r="S61" s="168">
        <f t="shared" si="30"/>
        <v>0</v>
      </c>
      <c r="T61" s="168">
        <f t="shared" si="30"/>
        <v>0</v>
      </c>
      <c r="U61" s="168">
        <f t="shared" si="30"/>
        <v>0</v>
      </c>
      <c r="V61" s="168">
        <f t="shared" si="30"/>
        <v>1.1428571428572454E-2</v>
      </c>
      <c r="W61" s="168">
        <f t="shared" si="30"/>
        <v>0.13142857142857167</v>
      </c>
      <c r="X61" s="168">
        <f t="shared" si="30"/>
        <v>0</v>
      </c>
      <c r="Y61" s="168">
        <f t="shared" si="30"/>
        <v>0</v>
      </c>
      <c r="Z61" s="168">
        <f t="shared" si="30"/>
        <v>0</v>
      </c>
    </row>
    <row r="62" spans="4:26" ht="15" customHeight="1" x14ac:dyDescent="0.25">
      <c r="I62" s="168">
        <f t="shared" ref="I62:Z62" si="31">I23-AB23</f>
        <v>0</v>
      </c>
      <c r="J62" s="168">
        <f t="shared" si="31"/>
        <v>-2.8571428571428914E-3</v>
      </c>
      <c r="K62" s="168">
        <f t="shared" si="31"/>
        <v>1.1428571428571566E-2</v>
      </c>
      <c r="L62" s="168">
        <f t="shared" si="31"/>
        <v>4.2857142857144481E-3</v>
      </c>
      <c r="M62" s="168">
        <f t="shared" si="31"/>
        <v>0.12285714285715699</v>
      </c>
      <c r="N62" s="168">
        <f t="shared" si="31"/>
        <v>1.5714285714285126E-2</v>
      </c>
      <c r="O62" s="168">
        <f t="shared" si="31"/>
        <v>2.8571428571435575E-3</v>
      </c>
      <c r="P62" s="168">
        <f t="shared" si="31"/>
        <v>4.2857142857144481E-3</v>
      </c>
      <c r="Q62" s="168">
        <f t="shared" si="31"/>
        <v>2.4285714285714022E-2</v>
      </c>
      <c r="R62" s="168">
        <f t="shared" si="31"/>
        <v>0.95857142857144595</v>
      </c>
      <c r="S62" s="168">
        <f t="shared" si="31"/>
        <v>0.13428571428571523</v>
      </c>
      <c r="T62" s="168">
        <f t="shared" si="31"/>
        <v>-7.1428571428562293E-3</v>
      </c>
      <c r="U62" s="168">
        <f t="shared" si="31"/>
        <v>-3.8571428571430033E-2</v>
      </c>
      <c r="V62" s="168">
        <f t="shared" si="31"/>
        <v>7.1428571428571175E-3</v>
      </c>
      <c r="W62" s="168">
        <f t="shared" si="31"/>
        <v>4.7142857142858929E-2</v>
      </c>
      <c r="X62" s="168">
        <f t="shared" si="31"/>
        <v>8.5714285714284522E-3</v>
      </c>
      <c r="Y62" s="168">
        <f t="shared" si="31"/>
        <v>2.8571428571431134E-3</v>
      </c>
      <c r="Z62" s="168">
        <f t="shared" si="31"/>
        <v>5.7142857142853387E-3</v>
      </c>
    </row>
    <row r="63" spans="4:26" ht="15" customHeight="1" x14ac:dyDescent="0.25">
      <c r="I63" s="168">
        <f t="shared" ref="I63:Z63" si="32">I24-AB24</f>
        <v>0</v>
      </c>
      <c r="J63" s="168">
        <f t="shared" si="32"/>
        <v>4.2857142857142261E-3</v>
      </c>
      <c r="K63" s="168">
        <f t="shared" si="32"/>
        <v>1.4285714285717788E-3</v>
      </c>
      <c r="L63" s="168">
        <f t="shared" si="32"/>
        <v>2.8571428571431134E-3</v>
      </c>
      <c r="M63" s="168">
        <f t="shared" si="32"/>
        <v>0.1071428571428612</v>
      </c>
      <c r="N63" s="168">
        <f t="shared" si="32"/>
        <v>3.2857142857142918E-2</v>
      </c>
      <c r="O63" s="168">
        <f t="shared" si="32"/>
        <v>-1.4285714285717788E-3</v>
      </c>
      <c r="P63" s="168">
        <f t="shared" si="32"/>
        <v>8.5714285714288962E-3</v>
      </c>
      <c r="Q63" s="168">
        <f t="shared" si="32"/>
        <v>3.7142857142856922E-2</v>
      </c>
      <c r="R63" s="168">
        <f t="shared" si="32"/>
        <v>1.6814285714285688</v>
      </c>
      <c r="S63" s="168">
        <f t="shared" si="32"/>
        <v>0.25714285714285623</v>
      </c>
      <c r="T63" s="168">
        <f t="shared" si="32"/>
        <v>-1.5714285714285126E-2</v>
      </c>
      <c r="U63" s="168">
        <f t="shared" si="32"/>
        <v>-6.8571428571427617E-2</v>
      </c>
      <c r="V63" s="168">
        <f t="shared" si="32"/>
        <v>1.4285714285713347E-3</v>
      </c>
      <c r="W63" s="168">
        <f t="shared" si="32"/>
        <v>2.2857142857141355E-2</v>
      </c>
      <c r="X63" s="168">
        <f t="shared" si="32"/>
        <v>0</v>
      </c>
      <c r="Y63" s="168">
        <f t="shared" si="32"/>
        <v>2.8571428571431134E-3</v>
      </c>
      <c r="Z63" s="168">
        <f t="shared" si="32"/>
        <v>-4.2857142857135599E-3</v>
      </c>
    </row>
    <row r="64" spans="4:26" ht="15" customHeight="1" x14ac:dyDescent="0.25">
      <c r="I64" s="168">
        <f t="shared" ref="I64:Z64" si="33">I25-AB25</f>
        <v>0</v>
      </c>
      <c r="J64" s="168">
        <f t="shared" si="33"/>
        <v>5.7142857142853387E-3</v>
      </c>
      <c r="K64" s="168">
        <f t="shared" si="33"/>
        <v>1.4285714285713347E-3</v>
      </c>
      <c r="L64" s="168">
        <f t="shared" si="33"/>
        <v>-2.0000000000000462E-2</v>
      </c>
      <c r="M64" s="168">
        <f t="shared" si="33"/>
        <v>-0.55000000000001137</v>
      </c>
      <c r="N64" s="168">
        <f t="shared" si="33"/>
        <v>-0.10571428571428498</v>
      </c>
      <c r="O64" s="168">
        <f t="shared" si="33"/>
        <v>0</v>
      </c>
      <c r="P64" s="168">
        <f t="shared" si="33"/>
        <v>-1.5714285714285126E-2</v>
      </c>
      <c r="Q64" s="168">
        <f t="shared" si="33"/>
        <v>9.9999999999997868E-3</v>
      </c>
      <c r="R64" s="168">
        <f t="shared" si="33"/>
        <v>3.1257142857142526</v>
      </c>
      <c r="S64" s="168">
        <f t="shared" si="33"/>
        <v>0.58142857142857096</v>
      </c>
      <c r="T64" s="168">
        <f t="shared" si="33"/>
        <v>-4.5714285714285374E-2</v>
      </c>
      <c r="U64" s="168">
        <f t="shared" si="33"/>
        <v>-0.11857142857142833</v>
      </c>
      <c r="V64" s="168">
        <f t="shared" si="33"/>
        <v>-7.1428571428571175E-3</v>
      </c>
      <c r="W64" s="168">
        <f t="shared" si="33"/>
        <v>-4.9999999999997158E-2</v>
      </c>
      <c r="X64" s="168">
        <f t="shared" si="33"/>
        <v>1.4285714285708906E-3</v>
      </c>
      <c r="Y64" s="168">
        <f t="shared" si="33"/>
        <v>-1.4285714285717788E-3</v>
      </c>
      <c r="Z64" s="168">
        <f t="shared" si="33"/>
        <v>-0.33142857142857185</v>
      </c>
    </row>
    <row r="65" spans="9:26" ht="15" customHeight="1" x14ac:dyDescent="0.25">
      <c r="I65" s="168">
        <f t="shared" ref="I65:Z65" si="34">I26-AB26</f>
        <v>0</v>
      </c>
      <c r="J65" s="168">
        <f t="shared" si="34"/>
        <v>-7.1428571428571175E-3</v>
      </c>
      <c r="K65" s="168">
        <f t="shared" si="34"/>
        <v>-2.8571428571431134E-3</v>
      </c>
      <c r="L65" s="168">
        <f t="shared" si="34"/>
        <v>-2.5714285714285801E-2</v>
      </c>
      <c r="M65" s="168">
        <f t="shared" si="34"/>
        <v>2.4285714285667837E-2</v>
      </c>
      <c r="N65" s="168">
        <f t="shared" si="34"/>
        <v>-5.1428571428566272E-2</v>
      </c>
      <c r="O65" s="168">
        <f t="shared" si="34"/>
        <v>7.1428571428562293E-3</v>
      </c>
      <c r="P65" s="168">
        <f t="shared" si="34"/>
        <v>-8.5714285714288962E-3</v>
      </c>
      <c r="Q65" s="168">
        <f t="shared" si="34"/>
        <v>2.8571428571426694E-3</v>
      </c>
      <c r="R65" s="168">
        <f t="shared" si="34"/>
        <v>5.1185714285713857</v>
      </c>
      <c r="S65" s="168">
        <f t="shared" si="34"/>
        <v>0.60857142857143032</v>
      </c>
      <c r="T65" s="168">
        <f t="shared" si="34"/>
        <v>-5.8571428571428719E-2</v>
      </c>
      <c r="U65" s="168">
        <f t="shared" si="34"/>
        <v>-0.13857142857142968</v>
      </c>
      <c r="V65" s="168">
        <f t="shared" si="34"/>
        <v>-2.2857142857143131E-2</v>
      </c>
      <c r="W65" s="168">
        <f t="shared" si="34"/>
        <v>-0.24571428571428555</v>
      </c>
      <c r="X65" s="168">
        <f t="shared" si="34"/>
        <v>-5.7142857142853387E-3</v>
      </c>
      <c r="Y65" s="168">
        <f t="shared" si="34"/>
        <v>0</v>
      </c>
      <c r="Z65" s="168">
        <f t="shared" si="34"/>
        <v>0</v>
      </c>
    </row>
    <row r="66" spans="9:26" ht="15" customHeight="1" x14ac:dyDescent="0.25">
      <c r="I66" s="168">
        <f t="shared" ref="I66:Z66" si="35">I27-AB27</f>
        <v>0</v>
      </c>
      <c r="J66" s="168">
        <f t="shared" si="35"/>
        <v>1.4285714285717788E-3</v>
      </c>
      <c r="K66" s="168">
        <f t="shared" si="35"/>
        <v>2.8571428571426694E-3</v>
      </c>
      <c r="L66" s="168">
        <f t="shared" si="35"/>
        <v>0</v>
      </c>
      <c r="M66" s="168">
        <f t="shared" si="35"/>
        <v>0</v>
      </c>
      <c r="N66" s="168">
        <f t="shared" si="35"/>
        <v>0</v>
      </c>
      <c r="O66" s="168">
        <f t="shared" si="35"/>
        <v>0</v>
      </c>
      <c r="P66" s="168">
        <f t="shared" si="35"/>
        <v>0</v>
      </c>
      <c r="Q66" s="168">
        <f t="shared" si="35"/>
        <v>0</v>
      </c>
      <c r="R66" s="168">
        <f t="shared" si="35"/>
        <v>0</v>
      </c>
      <c r="S66" s="168">
        <f t="shared" si="35"/>
        <v>-8.9999999999996305E-2</v>
      </c>
      <c r="T66" s="168">
        <f t="shared" si="35"/>
        <v>-3.0000000000000249E-2</v>
      </c>
      <c r="U66" s="168">
        <f t="shared" si="35"/>
        <v>-5.0000000000000711E-2</v>
      </c>
      <c r="V66" s="168">
        <f t="shared" si="35"/>
        <v>-5.7142857142853387E-3</v>
      </c>
      <c r="W66" s="168">
        <f t="shared" si="35"/>
        <v>0</v>
      </c>
      <c r="X66" s="168">
        <f t="shared" si="35"/>
        <v>-5.7142857142853387E-3</v>
      </c>
      <c r="Y66" s="168">
        <f t="shared" si="35"/>
        <v>0</v>
      </c>
      <c r="Z66" s="168">
        <f t="shared" si="35"/>
        <v>0</v>
      </c>
    </row>
    <row r="67" spans="9:26" ht="15" customHeight="1" x14ac:dyDescent="0.25">
      <c r="I67" s="168">
        <f t="shared" ref="I67:Z67" si="36">I28-AB28</f>
        <v>0</v>
      </c>
      <c r="J67" s="168">
        <f t="shared" si="36"/>
        <v>7.1428571428571175E-3</v>
      </c>
      <c r="K67" s="168">
        <f t="shared" si="36"/>
        <v>2.8571428571426694E-3</v>
      </c>
      <c r="L67" s="168">
        <f t="shared" si="36"/>
        <v>0</v>
      </c>
      <c r="M67" s="168">
        <f t="shared" si="36"/>
        <v>0</v>
      </c>
      <c r="N67" s="168">
        <f t="shared" si="36"/>
        <v>0</v>
      </c>
      <c r="O67" s="168">
        <f t="shared" si="36"/>
        <v>0</v>
      </c>
      <c r="P67" s="168">
        <f t="shared" si="36"/>
        <v>0</v>
      </c>
      <c r="Q67" s="168">
        <f t="shared" si="36"/>
        <v>0</v>
      </c>
      <c r="R67" s="168">
        <f t="shared" si="36"/>
        <v>0</v>
      </c>
      <c r="S67" s="168">
        <f t="shared" si="36"/>
        <v>0</v>
      </c>
      <c r="T67" s="168">
        <f t="shared" si="36"/>
        <v>0</v>
      </c>
      <c r="U67" s="168">
        <f t="shared" si="36"/>
        <v>0</v>
      </c>
      <c r="V67" s="168">
        <f t="shared" si="36"/>
        <v>5.7142857142853387E-3</v>
      </c>
      <c r="W67" s="168">
        <f t="shared" si="36"/>
        <v>7.4285714285721838E-2</v>
      </c>
      <c r="X67" s="168">
        <f t="shared" si="36"/>
        <v>0</v>
      </c>
      <c r="Y67" s="168">
        <f t="shared" si="36"/>
        <v>0</v>
      </c>
      <c r="Z67" s="168">
        <f t="shared" si="36"/>
        <v>0</v>
      </c>
    </row>
    <row r="68" spans="9:26" ht="15" customHeight="1" x14ac:dyDescent="0.25">
      <c r="I68" s="168">
        <f t="shared" ref="I68:Z68" si="37">I29-AB29</f>
        <v>0</v>
      </c>
      <c r="J68" s="168">
        <f t="shared" si="37"/>
        <v>2.7142857142857579E-2</v>
      </c>
      <c r="K68" s="168">
        <f t="shared" si="37"/>
        <v>2.8571428571431134E-3</v>
      </c>
      <c r="L68" s="168">
        <f t="shared" si="37"/>
        <v>0</v>
      </c>
      <c r="M68" s="168">
        <f t="shared" si="37"/>
        <v>0</v>
      </c>
      <c r="N68" s="168">
        <f t="shared" si="37"/>
        <v>0</v>
      </c>
      <c r="O68" s="168">
        <f t="shared" si="37"/>
        <v>0</v>
      </c>
      <c r="P68" s="168">
        <f t="shared" si="37"/>
        <v>0</v>
      </c>
      <c r="Q68" s="168">
        <f t="shared" si="37"/>
        <v>0</v>
      </c>
      <c r="R68" s="168">
        <f t="shared" si="37"/>
        <v>0</v>
      </c>
      <c r="S68" s="168">
        <f t="shared" si="37"/>
        <v>0</v>
      </c>
      <c r="T68" s="168">
        <f t="shared" si="37"/>
        <v>0</v>
      </c>
      <c r="U68" s="168">
        <f t="shared" si="37"/>
        <v>0</v>
      </c>
      <c r="V68" s="168">
        <f t="shared" si="37"/>
        <v>9.7142857142857864E-2</v>
      </c>
      <c r="W68" s="168">
        <f t="shared" si="37"/>
        <v>1.2571428571428527</v>
      </c>
      <c r="X68" s="168">
        <f t="shared" si="37"/>
        <v>0</v>
      </c>
      <c r="Y68" s="168">
        <f t="shared" si="37"/>
        <v>1.7142857142856904E-2</v>
      </c>
      <c r="Z68" s="168">
        <f t="shared" si="37"/>
        <v>2.857142857142847E-2</v>
      </c>
    </row>
    <row r="69" spans="9:26" ht="15" customHeight="1" x14ac:dyDescent="0.25">
      <c r="I69" s="168">
        <f t="shared" ref="I69:Z69" si="38">I30-AB30</f>
        <v>0</v>
      </c>
      <c r="J69" s="168">
        <f t="shared" si="38"/>
        <v>-2.8571428571428914E-3</v>
      </c>
      <c r="K69" s="168">
        <f t="shared" si="38"/>
        <v>1.1428571428571566E-2</v>
      </c>
      <c r="L69" s="168">
        <f t="shared" si="38"/>
        <v>4.285714285714004E-3</v>
      </c>
      <c r="M69" s="168">
        <f t="shared" si="38"/>
        <v>0.24285714285713311</v>
      </c>
      <c r="N69" s="168">
        <f t="shared" si="38"/>
        <v>2.7142857142855803E-2</v>
      </c>
      <c r="O69" s="168">
        <f t="shared" si="38"/>
        <v>-4.2857142857126718E-3</v>
      </c>
      <c r="P69" s="168">
        <f t="shared" si="38"/>
        <v>5.7142857142853387E-3</v>
      </c>
      <c r="Q69" s="168">
        <f t="shared" si="38"/>
        <v>1.4285714285714235E-2</v>
      </c>
      <c r="R69" s="168">
        <f t="shared" si="38"/>
        <v>0.59142857142859384</v>
      </c>
      <c r="S69" s="168">
        <f t="shared" si="38"/>
        <v>6.5714285714285836E-2</v>
      </c>
      <c r="T69" s="168">
        <f t="shared" si="38"/>
        <v>-1.8571428571428683E-2</v>
      </c>
      <c r="U69" s="168">
        <f t="shared" si="38"/>
        <v>-2.9999999999999361E-2</v>
      </c>
      <c r="V69" s="168">
        <f t="shared" si="38"/>
        <v>-2.8571428571426694E-3</v>
      </c>
      <c r="W69" s="168">
        <f t="shared" si="38"/>
        <v>3.9999999999999147E-2</v>
      </c>
      <c r="X69" s="168">
        <f t="shared" si="38"/>
        <v>9.9999999999997868E-3</v>
      </c>
      <c r="Y69" s="168">
        <f t="shared" si="38"/>
        <v>1.4285714285713347E-3</v>
      </c>
      <c r="Z69" s="168">
        <f t="shared" si="38"/>
        <v>5.7142857142862269E-3</v>
      </c>
    </row>
    <row r="70" spans="9:26" ht="15" customHeight="1" x14ac:dyDescent="0.25">
      <c r="I70" s="168">
        <f t="shared" ref="I70:Z70" si="39">I31-AB31</f>
        <v>0</v>
      </c>
      <c r="J70" s="168">
        <f t="shared" si="39"/>
        <v>4.285714285714004E-3</v>
      </c>
      <c r="K70" s="168">
        <f t="shared" si="39"/>
        <v>-4.2857142857144481E-3</v>
      </c>
      <c r="L70" s="168">
        <f t="shared" si="39"/>
        <v>1.4285714285717788E-3</v>
      </c>
      <c r="M70" s="168">
        <f t="shared" si="39"/>
        <v>0.33142857142860294</v>
      </c>
      <c r="N70" s="168">
        <f t="shared" si="39"/>
        <v>3.9999999999999147E-2</v>
      </c>
      <c r="O70" s="168">
        <f t="shared" si="39"/>
        <v>-2.8571428571435575E-3</v>
      </c>
      <c r="P70" s="168">
        <f t="shared" si="39"/>
        <v>5.7142857142853387E-3</v>
      </c>
      <c r="Q70" s="168">
        <f t="shared" si="39"/>
        <v>2.1428571428571797E-2</v>
      </c>
      <c r="R70" s="168">
        <f t="shared" si="39"/>
        <v>1.4342857142857497</v>
      </c>
      <c r="S70" s="168">
        <f t="shared" si="39"/>
        <v>0.17428571428571615</v>
      </c>
      <c r="T70" s="168">
        <f t="shared" si="39"/>
        <v>-2.2857142857143131E-2</v>
      </c>
      <c r="U70" s="168">
        <f t="shared" si="39"/>
        <v>-4.4285714285713595E-2</v>
      </c>
      <c r="V70" s="168">
        <f t="shared" si="39"/>
        <v>5.7142857142862269E-3</v>
      </c>
      <c r="W70" s="168">
        <f t="shared" si="39"/>
        <v>4.1428571428568262E-2</v>
      </c>
      <c r="X70" s="168">
        <f t="shared" si="39"/>
        <v>1.7142857142856904E-2</v>
      </c>
      <c r="Y70" s="168">
        <f t="shared" si="39"/>
        <v>-2.8571428571426694E-3</v>
      </c>
      <c r="Z70" s="168">
        <f t="shared" si="39"/>
        <v>5.7142857142862269E-3</v>
      </c>
    </row>
    <row r="71" spans="9:26" ht="15" customHeight="1" x14ac:dyDescent="0.25">
      <c r="I71" s="168">
        <f t="shared" ref="I71:Z71" si="40">I32-AB32</f>
        <v>0</v>
      </c>
      <c r="J71" s="168">
        <f t="shared" si="40"/>
        <v>4.2857142857144481E-3</v>
      </c>
      <c r="K71" s="168">
        <f t="shared" si="40"/>
        <v>-8.5714285714284522E-3</v>
      </c>
      <c r="L71" s="168">
        <f t="shared" si="40"/>
        <v>-1.1428571428571566E-2</v>
      </c>
      <c r="M71" s="168">
        <f t="shared" si="40"/>
        <v>-2.9285714285714448</v>
      </c>
      <c r="N71" s="168">
        <f t="shared" si="40"/>
        <v>-0.11285714285714477</v>
      </c>
      <c r="O71" s="168">
        <f t="shared" si="40"/>
        <v>-1.4285714285708906E-3</v>
      </c>
      <c r="P71" s="168">
        <f t="shared" si="40"/>
        <v>-6.5714285714285836E-2</v>
      </c>
      <c r="Q71" s="168">
        <f t="shared" si="40"/>
        <v>5.285714285714338E-2</v>
      </c>
      <c r="R71" s="168">
        <f t="shared" si="40"/>
        <v>2.7928571428571445</v>
      </c>
      <c r="S71" s="168">
        <f t="shared" si="40"/>
        <v>0.49428571428570933</v>
      </c>
      <c r="T71" s="168">
        <f t="shared" si="40"/>
        <v>-7.2857142857143842E-2</v>
      </c>
      <c r="U71" s="168">
        <f t="shared" si="40"/>
        <v>-0.10999999999999943</v>
      </c>
      <c r="V71" s="168">
        <f t="shared" si="40"/>
        <v>-8.7142857142857189E-2</v>
      </c>
      <c r="W71" s="168">
        <f t="shared" si="40"/>
        <v>-1.174285714285709</v>
      </c>
      <c r="X71" s="168">
        <f t="shared" si="40"/>
        <v>-0.13428571428571523</v>
      </c>
      <c r="Y71" s="168">
        <f t="shared" si="40"/>
        <v>-1.2857142857142456E-2</v>
      </c>
      <c r="Z71" s="168">
        <f t="shared" si="40"/>
        <v>-1.4285714285717788E-3</v>
      </c>
    </row>
    <row r="72" spans="9:26" ht="15" customHeight="1" x14ac:dyDescent="0.25">
      <c r="I72" s="168">
        <f t="shared" ref="I72:Z72" si="41">I33-AB33</f>
        <v>0</v>
      </c>
      <c r="J72" s="168">
        <f t="shared" si="41"/>
        <v>5.7142857142853387E-3</v>
      </c>
      <c r="K72" s="168">
        <f t="shared" si="41"/>
        <v>-1.4285714285713347E-3</v>
      </c>
      <c r="L72" s="168">
        <f t="shared" si="41"/>
        <v>4.2857142857144481E-3</v>
      </c>
      <c r="M72" s="168">
        <f t="shared" si="41"/>
        <v>35.560000000000059</v>
      </c>
      <c r="N72" s="168">
        <f t="shared" si="41"/>
        <v>2.8571428571453339E-3</v>
      </c>
      <c r="O72" s="168">
        <f t="shared" si="41"/>
        <v>5.7142857142853387E-3</v>
      </c>
      <c r="P72" s="168">
        <f t="shared" si="41"/>
        <v>0.33142857142857096</v>
      </c>
      <c r="Q72" s="168">
        <f t="shared" si="41"/>
        <v>4.2857142857144481E-3</v>
      </c>
      <c r="R72" s="168">
        <f t="shared" si="41"/>
        <v>8.0942857142857747</v>
      </c>
      <c r="S72" s="168">
        <f t="shared" si="41"/>
        <v>4.1428571428575367E-2</v>
      </c>
      <c r="T72" s="168">
        <f t="shared" si="41"/>
        <v>-4.4285714285715372E-2</v>
      </c>
      <c r="U72" s="168">
        <f t="shared" si="41"/>
        <v>-0.13714285714285879</v>
      </c>
      <c r="V72" s="168">
        <f t="shared" si="41"/>
        <v>-2.857142857142847E-2</v>
      </c>
      <c r="W72" s="168">
        <f t="shared" si="41"/>
        <v>-0.55428571428571161</v>
      </c>
      <c r="X72" s="168">
        <f t="shared" si="41"/>
        <v>-5.714285714285694E-2</v>
      </c>
      <c r="Y72" s="168">
        <f t="shared" si="41"/>
        <v>-1.1428571428571566E-2</v>
      </c>
      <c r="Z72" s="168">
        <f t="shared" si="41"/>
        <v>-1.7142857142856904E-2</v>
      </c>
    </row>
    <row r="73" spans="9:26" ht="15" customHeight="1" x14ac:dyDescent="0.25">
      <c r="I73" s="168">
        <f t="shared" ref="I73:Z73" si="42">I34-AB34</f>
        <v>0</v>
      </c>
      <c r="J73" s="168">
        <f t="shared" si="42"/>
        <v>-1.1428571428571566E-2</v>
      </c>
      <c r="K73" s="168">
        <f t="shared" si="42"/>
        <v>-7.1428571428575616E-3</v>
      </c>
      <c r="L73" s="168">
        <f t="shared" si="42"/>
        <v>-2.1428571428570464E-2</v>
      </c>
      <c r="M73" s="168">
        <f t="shared" si="42"/>
        <v>0.85428571428576561</v>
      </c>
      <c r="N73" s="168">
        <f t="shared" si="42"/>
        <v>-0.28857142857141582</v>
      </c>
      <c r="O73" s="168">
        <f t="shared" si="42"/>
        <v>1.2857142857141568E-2</v>
      </c>
      <c r="P73" s="168">
        <f t="shared" si="42"/>
        <v>-5.7142857142858716E-2</v>
      </c>
      <c r="Q73" s="168">
        <f t="shared" si="42"/>
        <v>2.8571428571417812E-3</v>
      </c>
      <c r="R73" s="168">
        <f t="shared" si="42"/>
        <v>9.7857142857143344</v>
      </c>
      <c r="S73" s="168">
        <f t="shared" si="42"/>
        <v>7.1428571428668874E-3</v>
      </c>
      <c r="T73" s="168">
        <f t="shared" si="42"/>
        <v>-5.714285714285694E-2</v>
      </c>
      <c r="U73" s="168">
        <f t="shared" si="42"/>
        <v>-0.1471428571428568</v>
      </c>
      <c r="V73" s="168">
        <f t="shared" si="42"/>
        <v>-5.7142857142871151E-3</v>
      </c>
      <c r="W73" s="168">
        <f t="shared" si="42"/>
        <v>-0.125714285714281</v>
      </c>
      <c r="X73" s="168">
        <f t="shared" si="42"/>
        <v>0</v>
      </c>
      <c r="Y73" s="168">
        <f t="shared" si="42"/>
        <v>0</v>
      </c>
      <c r="Z73" s="168">
        <f t="shared" si="42"/>
        <v>0</v>
      </c>
    </row>
    <row r="74" spans="9:26" ht="15" customHeight="1" x14ac:dyDescent="0.25">
      <c r="I74" s="168">
        <f t="shared" ref="I74:Z74" si="43">I35-AB35</f>
        <v>0</v>
      </c>
      <c r="J74" s="168">
        <f t="shared" si="43"/>
        <v>9.9999999999997868E-3</v>
      </c>
      <c r="K74" s="168">
        <f t="shared" si="43"/>
        <v>-1.4285714285713347E-3</v>
      </c>
      <c r="L74" s="168">
        <f t="shared" si="43"/>
        <v>0</v>
      </c>
      <c r="M74" s="168">
        <f t="shared" si="43"/>
        <v>0</v>
      </c>
      <c r="N74" s="168">
        <f t="shared" si="43"/>
        <v>0</v>
      </c>
      <c r="O74" s="168">
        <f t="shared" si="43"/>
        <v>0</v>
      </c>
      <c r="P74" s="168">
        <f t="shared" si="43"/>
        <v>0</v>
      </c>
      <c r="Q74" s="168">
        <f t="shared" si="43"/>
        <v>0</v>
      </c>
      <c r="R74" s="168">
        <f t="shared" si="43"/>
        <v>0</v>
      </c>
      <c r="S74" s="168">
        <f t="shared" si="43"/>
        <v>0</v>
      </c>
      <c r="T74" s="168">
        <f t="shared" si="43"/>
        <v>1.7999999999999998</v>
      </c>
      <c r="U74" s="168">
        <f t="shared" si="43"/>
        <v>-9.9999999999999645E-2</v>
      </c>
      <c r="V74" s="168">
        <f t="shared" si="43"/>
        <v>-5.7142857142853387E-3</v>
      </c>
      <c r="W74" s="168">
        <f t="shared" si="43"/>
        <v>0</v>
      </c>
      <c r="X74" s="168">
        <f t="shared" si="43"/>
        <v>0</v>
      </c>
      <c r="Y74" s="168">
        <f t="shared" si="43"/>
        <v>0</v>
      </c>
      <c r="Z74" s="168">
        <f t="shared" si="43"/>
        <v>0</v>
      </c>
    </row>
    <row r="75" spans="9:26" ht="15" customHeight="1" x14ac:dyDescent="0.25">
      <c r="I75" s="168">
        <f t="shared" ref="I75:Z75" si="44">I36-AB36</f>
        <v>0</v>
      </c>
      <c r="J75" s="168">
        <f t="shared" si="44"/>
        <v>2.8571428571435575E-3</v>
      </c>
      <c r="K75" s="168">
        <f t="shared" si="44"/>
        <v>1.4285714285713347E-3</v>
      </c>
      <c r="L75" s="168">
        <f t="shared" si="44"/>
        <v>-3.0000000000001137E-2</v>
      </c>
      <c r="M75" s="168">
        <f t="shared" si="44"/>
        <v>-1.9214285714285779</v>
      </c>
      <c r="N75" s="168">
        <f t="shared" si="44"/>
        <v>-0.22428571428571331</v>
      </c>
      <c r="O75" s="168">
        <f t="shared" si="44"/>
        <v>-5.7142857142853387E-3</v>
      </c>
      <c r="P75" s="168">
        <f t="shared" si="44"/>
        <v>-2.4285714285714022E-2</v>
      </c>
      <c r="Q75" s="168">
        <f t="shared" si="44"/>
        <v>9.9999999999997868E-3</v>
      </c>
      <c r="R75" s="168">
        <f t="shared" si="44"/>
        <v>4.4285714285933864E-2</v>
      </c>
      <c r="S75" s="168">
        <f t="shared" si="44"/>
        <v>1.4200000000000017</v>
      </c>
      <c r="T75" s="168">
        <f t="shared" si="44"/>
        <v>-7.7142857142856514E-2</v>
      </c>
      <c r="U75" s="168">
        <f t="shared" si="44"/>
        <v>-0.1657142857142837</v>
      </c>
      <c r="V75" s="168">
        <f t="shared" si="44"/>
        <v>-6.5714285714285836E-2</v>
      </c>
      <c r="W75" s="168">
        <f t="shared" si="44"/>
        <v>-1.4471428571428646</v>
      </c>
      <c r="X75" s="168">
        <f t="shared" si="44"/>
        <v>7.1428571428562293E-3</v>
      </c>
      <c r="Y75" s="168">
        <f t="shared" si="44"/>
        <v>-1.2857142857142456E-2</v>
      </c>
      <c r="Z75" s="168">
        <f t="shared" si="44"/>
        <v>-0.44714285714285751</v>
      </c>
    </row>
    <row r="76" spans="9:26" ht="15" customHeight="1" x14ac:dyDescent="0.25">
      <c r="I76" s="168">
        <f t="shared" ref="I76:Z76" si="45">I37-AB37</f>
        <v>0</v>
      </c>
      <c r="J76" s="168">
        <f t="shared" si="45"/>
        <v>2.8571428571435575E-3</v>
      </c>
      <c r="K76" s="168">
        <f t="shared" si="45"/>
        <v>-7.1428571428575616E-3</v>
      </c>
      <c r="L76" s="168">
        <f t="shared" si="45"/>
        <v>1.8571428571426907E-2</v>
      </c>
      <c r="M76" s="168">
        <f t="shared" si="45"/>
        <v>1.9242857142855883</v>
      </c>
      <c r="N76" s="168">
        <f t="shared" si="45"/>
        <v>0.24571428571428555</v>
      </c>
      <c r="O76" s="168">
        <f t="shared" si="45"/>
        <v>-1.4285714285716011E-2</v>
      </c>
      <c r="P76" s="168">
        <f t="shared" si="45"/>
        <v>1.1428571428572454E-2</v>
      </c>
      <c r="Q76" s="168">
        <f t="shared" si="45"/>
        <v>4.2857142857144481E-3</v>
      </c>
      <c r="R76" s="168">
        <f t="shared" si="45"/>
        <v>7.285714285717404E-2</v>
      </c>
      <c r="S76" s="168">
        <f t="shared" si="45"/>
        <v>0</v>
      </c>
      <c r="T76" s="168">
        <f t="shared" si="45"/>
        <v>-6.4285714285714946E-2</v>
      </c>
      <c r="U76" s="168">
        <f t="shared" si="45"/>
        <v>-0.2071428571428573</v>
      </c>
      <c r="V76" s="168">
        <f t="shared" si="45"/>
        <v>7.1428571428580057E-3</v>
      </c>
      <c r="W76" s="168">
        <f t="shared" si="45"/>
        <v>-0.83285714285713652</v>
      </c>
      <c r="X76" s="168">
        <f t="shared" si="45"/>
        <v>8.5714285714288962E-3</v>
      </c>
      <c r="Y76" s="168">
        <f t="shared" si="45"/>
        <v>2.8571428571435575E-3</v>
      </c>
      <c r="Z76" s="168">
        <f t="shared" si="45"/>
        <v>-0.5085714285714289</v>
      </c>
    </row>
    <row r="77" spans="9:26" ht="15" customHeight="1" x14ac:dyDescent="0.25">
      <c r="I77" s="168">
        <f t="shared" ref="I77:Z77" si="46">I38-AB38</f>
        <v>0</v>
      </c>
      <c r="J77" s="168">
        <f t="shared" si="46"/>
        <v>-4.2857142857144481E-3</v>
      </c>
      <c r="K77" s="168">
        <f t="shared" si="46"/>
        <v>-1.4285714285713347E-3</v>
      </c>
      <c r="L77" s="168">
        <f t="shared" si="46"/>
        <v>-6.8571428571427617E-2</v>
      </c>
      <c r="M77" s="168">
        <f t="shared" si="46"/>
        <v>-5.3014285714286871</v>
      </c>
      <c r="N77" s="168">
        <f t="shared" si="46"/>
        <v>-0.67714285714285438</v>
      </c>
      <c r="O77" s="168">
        <f t="shared" si="46"/>
        <v>8.5714285714288962E-3</v>
      </c>
      <c r="P77" s="168">
        <f t="shared" si="46"/>
        <v>-3.8571428571428257E-2</v>
      </c>
      <c r="Q77" s="168">
        <f t="shared" si="46"/>
        <v>4.2857142857144481E-3</v>
      </c>
      <c r="R77" s="168">
        <f t="shared" si="46"/>
        <v>1.571428571423894E-2</v>
      </c>
      <c r="S77" s="168">
        <f t="shared" si="46"/>
        <v>0</v>
      </c>
      <c r="T77" s="168">
        <f t="shared" si="46"/>
        <v>-7.7142857142856514E-2</v>
      </c>
      <c r="U77" s="168">
        <f t="shared" si="46"/>
        <v>-0.2142857142857153</v>
      </c>
      <c r="V77" s="168">
        <f t="shared" si="46"/>
        <v>-1.7142857142857792E-2</v>
      </c>
      <c r="W77" s="168">
        <f t="shared" si="46"/>
        <v>-0.32571428571429806</v>
      </c>
      <c r="X77" s="168">
        <f t="shared" si="46"/>
        <v>-5.7142857142871151E-3</v>
      </c>
      <c r="Y77" s="168">
        <f t="shared" si="46"/>
        <v>0</v>
      </c>
      <c r="Z77" s="168">
        <f t="shared" si="46"/>
        <v>0</v>
      </c>
    </row>
    <row r="78" spans="9:26" ht="15" customHeight="1" x14ac:dyDescent="0.25">
      <c r="I78" s="168">
        <f t="shared" ref="I78:Z78" si="47">I39-AB39</f>
        <v>0</v>
      </c>
      <c r="J78" s="168">
        <f t="shared" si="47"/>
        <v>2.2857142857143131E-2</v>
      </c>
      <c r="K78" s="168">
        <f t="shared" si="47"/>
        <v>-1.4285714285713347E-3</v>
      </c>
      <c r="L78" s="168">
        <f t="shared" si="47"/>
        <v>0</v>
      </c>
      <c r="M78" s="168">
        <f t="shared" si="47"/>
        <v>0</v>
      </c>
      <c r="N78" s="168">
        <f t="shared" si="47"/>
        <v>0</v>
      </c>
      <c r="O78" s="168">
        <f t="shared" si="47"/>
        <v>0</v>
      </c>
      <c r="P78" s="168">
        <f t="shared" si="47"/>
        <v>0</v>
      </c>
      <c r="Q78" s="168">
        <f t="shared" si="47"/>
        <v>0</v>
      </c>
      <c r="R78" s="168">
        <f t="shared" si="47"/>
        <v>7.999999999992724E-2</v>
      </c>
      <c r="S78" s="168">
        <f t="shared" si="47"/>
        <v>0</v>
      </c>
      <c r="T78" s="168">
        <f t="shared" si="47"/>
        <v>-7.0000000000000284E-2</v>
      </c>
      <c r="U78" s="168">
        <f t="shared" si="47"/>
        <v>-0.17999999999999972</v>
      </c>
      <c r="V78" s="168">
        <f t="shared" si="47"/>
        <v>-5.7142857142871151E-3</v>
      </c>
      <c r="W78" s="168">
        <f t="shared" si="47"/>
        <v>0</v>
      </c>
      <c r="X78" s="168">
        <f t="shared" si="47"/>
        <v>-5.7142857142835624E-3</v>
      </c>
      <c r="Y78" s="168">
        <f t="shared" si="47"/>
        <v>0</v>
      </c>
      <c r="Z78" s="168">
        <f t="shared" si="47"/>
        <v>0</v>
      </c>
    </row>
    <row r="79" spans="9:26" ht="15" customHeight="1" x14ac:dyDescent="0.25">
      <c r="I79" s="168">
        <f t="shared" ref="I79:Z79" si="48">I40-AB40</f>
        <v>0</v>
      </c>
      <c r="J79" s="168">
        <f t="shared" si="48"/>
        <v>1.2857142857142456E-2</v>
      </c>
      <c r="K79" s="168">
        <f t="shared" si="48"/>
        <v>-2.8571428571426694E-3</v>
      </c>
      <c r="L79" s="168">
        <f t="shared" si="48"/>
        <v>-2.000000000000135E-2</v>
      </c>
      <c r="M79" s="168">
        <f t="shared" si="48"/>
        <v>-2.1500000000000909</v>
      </c>
      <c r="N79" s="168">
        <f t="shared" si="48"/>
        <v>-0.21857142857143685</v>
      </c>
      <c r="O79" s="168">
        <f t="shared" si="48"/>
        <v>-1.4285714285708906E-3</v>
      </c>
      <c r="P79" s="168">
        <f t="shared" si="48"/>
        <v>-2.7142857142855803E-2</v>
      </c>
      <c r="Q79" s="168">
        <f t="shared" si="48"/>
        <v>0.11428571428571566</v>
      </c>
      <c r="R79" s="168">
        <f t="shared" si="48"/>
        <v>12.47428571428577</v>
      </c>
      <c r="S79" s="168">
        <f t="shared" si="48"/>
        <v>1.3885714285714243</v>
      </c>
      <c r="T79" s="168">
        <f t="shared" si="48"/>
        <v>-7.857142857142918E-2</v>
      </c>
      <c r="U79" s="168">
        <f t="shared" si="48"/>
        <v>-0.16285714285714192</v>
      </c>
      <c r="V79" s="168">
        <f t="shared" si="48"/>
        <v>-7.1428571428571175E-2</v>
      </c>
      <c r="W79" s="168">
        <f t="shared" si="48"/>
        <v>-1.4371428571428737</v>
      </c>
      <c r="X79" s="168">
        <f t="shared" si="48"/>
        <v>0</v>
      </c>
      <c r="Y79" s="168">
        <f t="shared" si="48"/>
        <v>-1.2857142857142456E-2</v>
      </c>
      <c r="Z79" s="168">
        <f t="shared" si="48"/>
        <v>-0.47714285714285687</v>
      </c>
    </row>
    <row r="80" spans="9:26" ht="15" customHeight="1" x14ac:dyDescent="0.25">
      <c r="I80" s="168">
        <f t="shared" ref="I80:Z80" si="49">I41-AB41</f>
        <v>0</v>
      </c>
      <c r="J80" s="168">
        <f t="shared" si="49"/>
        <v>7.1428571428571175E-3</v>
      </c>
      <c r="K80" s="168">
        <f t="shared" si="49"/>
        <v>-1.1428571428571566E-2</v>
      </c>
      <c r="L80" s="168">
        <f t="shared" si="49"/>
        <v>-7.1428571428562293E-3</v>
      </c>
      <c r="M80" s="168">
        <f t="shared" si="49"/>
        <v>-1.3442857142858884</v>
      </c>
      <c r="N80" s="168">
        <f t="shared" si="49"/>
        <v>-9.285714285715585E-2</v>
      </c>
      <c r="O80" s="168">
        <f t="shared" si="49"/>
        <v>-4.2857142857144481E-3</v>
      </c>
      <c r="P80" s="168">
        <f t="shared" si="49"/>
        <v>-1.4285714285726669E-3</v>
      </c>
      <c r="Q80" s="168">
        <f t="shared" si="49"/>
        <v>8.5714285714288962E-3</v>
      </c>
      <c r="R80" s="168">
        <f t="shared" si="49"/>
        <v>27.082857142856938</v>
      </c>
      <c r="S80" s="168">
        <f t="shared" si="49"/>
        <v>5.7142857142906678E-3</v>
      </c>
      <c r="T80" s="168">
        <f t="shared" si="49"/>
        <v>-5.5714285714286049E-2</v>
      </c>
      <c r="U80" s="168">
        <f t="shared" si="49"/>
        <v>-0.19428571428571573</v>
      </c>
      <c r="V80" s="168">
        <f t="shared" si="49"/>
        <v>1.4285714285726669E-3</v>
      </c>
      <c r="W80" s="168">
        <f t="shared" si="49"/>
        <v>-0.84000000000000341</v>
      </c>
      <c r="X80" s="168">
        <f t="shared" si="49"/>
        <v>1.4285714285726669E-3</v>
      </c>
      <c r="Y80" s="168">
        <f t="shared" si="49"/>
        <v>2.8571428571431134E-3</v>
      </c>
      <c r="Z80" s="168">
        <f t="shared" si="49"/>
        <v>-0.53857142857142826</v>
      </c>
    </row>
    <row r="81" spans="9:26" ht="15" customHeight="1" x14ac:dyDescent="0.25">
      <c r="I81" s="168">
        <f t="shared" ref="I81:Z81" si="50">I42-AB42</f>
        <v>0</v>
      </c>
      <c r="J81" s="168">
        <f t="shared" si="50"/>
        <v>-9.9999999999997868E-3</v>
      </c>
      <c r="K81" s="168">
        <f t="shared" si="50"/>
        <v>-1.4285714285713347E-3</v>
      </c>
      <c r="L81" s="168">
        <f t="shared" si="50"/>
        <v>-6.0000000000002274E-2</v>
      </c>
      <c r="M81" s="168">
        <f t="shared" si="50"/>
        <v>-5.8742857142856337</v>
      </c>
      <c r="N81" s="168">
        <f t="shared" si="50"/>
        <v>-0.61714285714288053</v>
      </c>
      <c r="O81" s="168">
        <f t="shared" si="50"/>
        <v>8.5714285714288962E-3</v>
      </c>
      <c r="P81" s="168">
        <f t="shared" si="50"/>
        <v>-3.5714285714284699E-2</v>
      </c>
      <c r="Q81" s="168">
        <f t="shared" si="50"/>
        <v>2.8571428571453339E-3</v>
      </c>
      <c r="R81" s="168">
        <f t="shared" si="50"/>
        <v>4.2857142857428698E-2</v>
      </c>
      <c r="S81" s="168">
        <f t="shared" si="50"/>
        <v>8.5714285714288962E-3</v>
      </c>
      <c r="T81" s="168">
        <f t="shared" si="50"/>
        <v>-7.1428571428571175E-2</v>
      </c>
      <c r="U81" s="168">
        <f t="shared" si="50"/>
        <v>-0.1871428571428595</v>
      </c>
      <c r="V81" s="168">
        <f t="shared" si="50"/>
        <v>-5.7142857142835624E-3</v>
      </c>
      <c r="W81" s="168">
        <f t="shared" si="50"/>
        <v>-0.25714285714286689</v>
      </c>
      <c r="X81" s="168">
        <f t="shared" si="50"/>
        <v>-5.7142857142835624E-3</v>
      </c>
      <c r="Y81" s="168">
        <f t="shared" si="50"/>
        <v>0</v>
      </c>
      <c r="Z81" s="168">
        <f t="shared" si="50"/>
        <v>0</v>
      </c>
    </row>
    <row r="82" spans="9:26" ht="15" customHeight="1" x14ac:dyDescent="0.25">
      <c r="I82" s="168">
        <f t="shared" ref="I82:Z82" si="51">I43-AB43</f>
        <v>0</v>
      </c>
      <c r="J82" s="168">
        <f t="shared" si="51"/>
        <v>3.1428571428572027E-2</v>
      </c>
      <c r="K82" s="168">
        <f t="shared" si="51"/>
        <v>-1.4285714285713347E-3</v>
      </c>
      <c r="L82" s="168">
        <f t="shared" si="51"/>
        <v>-8.7142857142858077E-2</v>
      </c>
      <c r="M82" s="168">
        <f t="shared" si="51"/>
        <v>-9.3728571428573559</v>
      </c>
      <c r="N82" s="168">
        <f t="shared" si="51"/>
        <v>-1.0099999999999909</v>
      </c>
      <c r="O82" s="168">
        <f t="shared" si="51"/>
        <v>4.2857142857126718E-3</v>
      </c>
      <c r="P82" s="168">
        <f t="shared" si="51"/>
        <v>-3.7142857142857366E-2</v>
      </c>
      <c r="Q82" s="168">
        <f t="shared" si="51"/>
        <v>8.5714285714288962E-3</v>
      </c>
      <c r="R82" s="168">
        <f t="shared" si="51"/>
        <v>1.2057142857142935</v>
      </c>
      <c r="S82" s="168">
        <f t="shared" si="51"/>
        <v>-1.4285714285620088E-3</v>
      </c>
      <c r="T82" s="168">
        <f t="shared" si="51"/>
        <v>-8.5714285714287186E-2</v>
      </c>
      <c r="U82" s="168">
        <f t="shared" si="51"/>
        <v>-0.30428571428571516</v>
      </c>
      <c r="V82" s="168">
        <f t="shared" si="51"/>
        <v>-5.7142857142871151E-3</v>
      </c>
      <c r="W82" s="168">
        <f t="shared" si="51"/>
        <v>0</v>
      </c>
      <c r="X82" s="168">
        <f t="shared" si="51"/>
        <v>0</v>
      </c>
      <c r="Y82" s="168">
        <f t="shared" si="51"/>
        <v>0</v>
      </c>
      <c r="Z82" s="168">
        <f t="shared" si="51"/>
        <v>0</v>
      </c>
    </row>
    <row r="83" spans="9:26" ht="15" customHeight="1" x14ac:dyDescent="0.25">
      <c r="I83" s="168">
        <f t="shared" ref="I83:Z83" si="52">I44-AB44</f>
        <v>0</v>
      </c>
      <c r="J83" s="168">
        <f t="shared" si="52"/>
        <v>7.1428571428571175E-3</v>
      </c>
      <c r="K83" s="168">
        <f t="shared" si="52"/>
        <v>-2.8571428571426694E-3</v>
      </c>
      <c r="L83" s="168">
        <f t="shared" si="52"/>
        <v>-1.5714285714285126E-2</v>
      </c>
      <c r="M83" s="168">
        <f t="shared" si="52"/>
        <v>-2.2242857142855428</v>
      </c>
      <c r="N83" s="168">
        <f t="shared" si="52"/>
        <v>-0.15285714285714391</v>
      </c>
      <c r="O83" s="168">
        <f t="shared" si="52"/>
        <v>-2.8571428571435575E-3</v>
      </c>
      <c r="P83" s="168">
        <f t="shared" si="52"/>
        <v>-1.9999999999999574E-2</v>
      </c>
      <c r="Q83" s="168">
        <f t="shared" si="52"/>
        <v>9.8571428571426978E-2</v>
      </c>
      <c r="R83" s="168">
        <f t="shared" si="52"/>
        <v>13.86428571428587</v>
      </c>
      <c r="S83" s="168">
        <f t="shared" si="52"/>
        <v>1.3871428571428481</v>
      </c>
      <c r="T83" s="168">
        <f t="shared" si="52"/>
        <v>-9.9999999999999645E-2</v>
      </c>
      <c r="U83" s="168">
        <f t="shared" si="52"/>
        <v>-0.16999999999999815</v>
      </c>
      <c r="V83" s="168">
        <f t="shared" si="52"/>
        <v>-7.1428571428571175E-2</v>
      </c>
      <c r="W83" s="168">
        <f t="shared" si="52"/>
        <v>-1.4257142857142924</v>
      </c>
      <c r="X83" s="168">
        <f t="shared" si="52"/>
        <v>8.5714285714288962E-3</v>
      </c>
      <c r="Y83" s="168">
        <f t="shared" si="52"/>
        <v>-1.7142857142856904E-2</v>
      </c>
      <c r="Z83" s="168">
        <f t="shared" si="52"/>
        <v>-0.50142857142857089</v>
      </c>
    </row>
    <row r="84" spans="9:26" ht="15" customHeight="1" x14ac:dyDescent="0.25">
      <c r="I84" s="168">
        <f t="shared" ref="I84:Z84" si="53">I45-AB45</f>
        <v>0</v>
      </c>
      <c r="J84" s="168">
        <f t="shared" si="53"/>
        <v>1.1428571428572454E-2</v>
      </c>
      <c r="K84" s="168">
        <f t="shared" si="53"/>
        <v>-7.1428571428571175E-3</v>
      </c>
      <c r="L84" s="168">
        <f t="shared" si="53"/>
        <v>-3.8571428571428257E-2</v>
      </c>
      <c r="M84" s="168">
        <f t="shared" si="53"/>
        <v>-5.3342857142856701</v>
      </c>
      <c r="N84" s="168">
        <f t="shared" si="53"/>
        <v>-0.44857142857145504</v>
      </c>
      <c r="O84" s="168">
        <f t="shared" si="53"/>
        <v>0</v>
      </c>
      <c r="P84" s="168">
        <f t="shared" si="53"/>
        <v>-3.0000000000001137E-2</v>
      </c>
      <c r="Q84" s="168">
        <f t="shared" si="53"/>
        <v>7.1428571428580057E-3</v>
      </c>
      <c r="R84" s="168">
        <f t="shared" si="53"/>
        <v>31.46714285714279</v>
      </c>
      <c r="S84" s="168">
        <f t="shared" si="53"/>
        <v>2.1428571428572241E-2</v>
      </c>
      <c r="T84" s="168">
        <f t="shared" si="53"/>
        <v>-5.1428571428571601E-2</v>
      </c>
      <c r="U84" s="168">
        <f t="shared" si="53"/>
        <v>-0.19571428571428484</v>
      </c>
      <c r="V84" s="168">
        <f t="shared" si="53"/>
        <v>7.1428571428580057E-3</v>
      </c>
      <c r="W84" s="168">
        <f t="shared" si="53"/>
        <v>-0.84571428571427987</v>
      </c>
      <c r="X84" s="168">
        <f t="shared" si="53"/>
        <v>8.5714285714288962E-3</v>
      </c>
      <c r="Y84" s="168">
        <f t="shared" si="53"/>
        <v>2.8571428571426694E-3</v>
      </c>
      <c r="Z84" s="168">
        <f t="shared" si="53"/>
        <v>-0.55285714285714427</v>
      </c>
    </row>
    <row r="85" spans="9:26" ht="15" customHeight="1" x14ac:dyDescent="0.25">
      <c r="I85" s="168">
        <f t="shared" ref="I85:Z85" si="54">I46-AB46</f>
        <v>0</v>
      </c>
      <c r="J85" s="168">
        <f t="shared" si="54"/>
        <v>-5.7142857142853387E-3</v>
      </c>
      <c r="K85" s="168">
        <f t="shared" si="54"/>
        <v>-7.1428571428575616E-3</v>
      </c>
      <c r="L85" s="168">
        <f t="shared" si="54"/>
        <v>-5.5714285714287826E-2</v>
      </c>
      <c r="M85" s="168">
        <f t="shared" si="54"/>
        <v>-9.0028571428574651</v>
      </c>
      <c r="N85" s="168">
        <f t="shared" si="54"/>
        <v>-0.76571428571429578</v>
      </c>
      <c r="O85" s="168">
        <f t="shared" si="54"/>
        <v>4.2857142857144481E-3</v>
      </c>
      <c r="P85" s="168">
        <f t="shared" si="54"/>
        <v>-3.8571428571430033E-2</v>
      </c>
      <c r="Q85" s="168">
        <f t="shared" si="54"/>
        <v>7.1428571428562293E-3</v>
      </c>
      <c r="R85" s="168">
        <f t="shared" si="54"/>
        <v>30.464285714285779</v>
      </c>
      <c r="S85" s="168">
        <f t="shared" si="54"/>
        <v>1.4285714285620088E-3</v>
      </c>
      <c r="T85" s="168">
        <f t="shared" si="54"/>
        <v>-5.714285714285694E-2</v>
      </c>
      <c r="U85" s="168">
        <f t="shared" si="54"/>
        <v>-0.17428571428571615</v>
      </c>
      <c r="V85" s="168">
        <f t="shared" si="54"/>
        <v>-5.7142857142835624E-3</v>
      </c>
      <c r="W85" s="168">
        <f t="shared" si="54"/>
        <v>-0.11428571428575651</v>
      </c>
      <c r="X85" s="168">
        <f t="shared" si="54"/>
        <v>-5.7142857142871151E-3</v>
      </c>
      <c r="Y85" s="168">
        <f t="shared" si="54"/>
        <v>0</v>
      </c>
      <c r="Z85" s="168">
        <f t="shared" si="54"/>
        <v>0</v>
      </c>
    </row>
    <row r="86" spans="9:26" ht="15" customHeight="1" x14ac:dyDescent="0.25">
      <c r="I86" s="168">
        <f t="shared" ref="I86:Z86" si="55">I47-AB47</f>
        <v>0</v>
      </c>
      <c r="J86" s="168">
        <f t="shared" si="55"/>
        <v>2.5714285714284912E-2</v>
      </c>
      <c r="K86" s="168">
        <f t="shared" si="55"/>
        <v>-1.4285714285713347E-3</v>
      </c>
      <c r="L86" s="168">
        <f t="shared" si="55"/>
        <v>-7.8571428571425628E-2</v>
      </c>
      <c r="M86" s="168">
        <f t="shared" si="55"/>
        <v>-11.207142857142571</v>
      </c>
      <c r="N86" s="168">
        <f t="shared" si="55"/>
        <v>-1.0557142857142878</v>
      </c>
      <c r="O86" s="168">
        <f t="shared" si="55"/>
        <v>4.2857142857144481E-3</v>
      </c>
      <c r="P86" s="168">
        <f t="shared" si="55"/>
        <v>-4.9999999999997158E-2</v>
      </c>
      <c r="Q86" s="168">
        <f t="shared" si="55"/>
        <v>1.7142857142857792E-2</v>
      </c>
      <c r="R86" s="168">
        <f t="shared" si="55"/>
        <v>1.3085714285707581</v>
      </c>
      <c r="S86" s="168">
        <f t="shared" si="55"/>
        <v>0.22571428571430374</v>
      </c>
      <c r="T86" s="168">
        <f t="shared" si="55"/>
        <v>-7.5714285714285623E-2</v>
      </c>
      <c r="U86" s="168">
        <f t="shared" si="55"/>
        <v>-0.2814285714285738</v>
      </c>
      <c r="V86" s="168">
        <f t="shared" si="55"/>
        <v>-5.7142857142871151E-3</v>
      </c>
      <c r="W86" s="168">
        <f t="shared" si="55"/>
        <v>0</v>
      </c>
      <c r="X86" s="168">
        <f t="shared" si="55"/>
        <v>-5.7142857142835624E-3</v>
      </c>
      <c r="Y86" s="168">
        <f t="shared" si="55"/>
        <v>0</v>
      </c>
      <c r="Z86" s="168">
        <f t="shared" si="55"/>
        <v>0</v>
      </c>
    </row>
    <row r="87" spans="9:26" ht="15" customHeight="1" x14ac:dyDescent="0.25">
      <c r="I87" s="168">
        <f t="shared" ref="I87:Z87" si="56">I48-AB48</f>
        <v>0</v>
      </c>
      <c r="J87" s="168">
        <f t="shared" si="56"/>
        <v>3.2857142857142918E-2</v>
      </c>
      <c r="K87" s="168">
        <f t="shared" si="56"/>
        <v>4.285714285714004E-3</v>
      </c>
      <c r="L87" s="168">
        <f t="shared" si="56"/>
        <v>-0.10714285714285765</v>
      </c>
      <c r="M87" s="168">
        <f t="shared" si="56"/>
        <v>-15.307142857142935</v>
      </c>
      <c r="N87" s="168">
        <f t="shared" si="56"/>
        <v>-1.4914285714285711</v>
      </c>
      <c r="O87" s="168">
        <f t="shared" si="56"/>
        <v>4.2857142857126718E-3</v>
      </c>
      <c r="P87" s="168">
        <f t="shared" si="56"/>
        <v>-5.5714285714284273E-2</v>
      </c>
      <c r="Q87" s="168">
        <f t="shared" si="56"/>
        <v>8.5714285714288962E-3</v>
      </c>
      <c r="R87" s="168">
        <f t="shared" si="56"/>
        <v>1.9857142857144936</v>
      </c>
      <c r="S87" s="168">
        <f t="shared" si="56"/>
        <v>8.5714285713720528E-3</v>
      </c>
      <c r="T87" s="168">
        <f t="shared" si="56"/>
        <v>-9.9999999999999645E-2</v>
      </c>
      <c r="U87" s="168">
        <f t="shared" si="56"/>
        <v>-0.37000000000000099</v>
      </c>
      <c r="V87" s="168">
        <f t="shared" si="56"/>
        <v>-5.7142857142871151E-3</v>
      </c>
      <c r="W87" s="168">
        <f t="shared" si="56"/>
        <v>0</v>
      </c>
      <c r="X87" s="168">
        <f t="shared" si="56"/>
        <v>-5.7142857142906678E-3</v>
      </c>
      <c r="Y87" s="168">
        <f t="shared" si="56"/>
        <v>0</v>
      </c>
      <c r="Z87" s="168">
        <f t="shared" si="56"/>
        <v>0</v>
      </c>
    </row>
  </sheetData>
  <mergeCells count="33">
    <mergeCell ref="Z7:Z8"/>
    <mergeCell ref="M7:M8"/>
    <mergeCell ref="A4:A10"/>
    <mergeCell ref="J7:J8"/>
    <mergeCell ref="K7:K8"/>
    <mergeCell ref="L7:L8"/>
    <mergeCell ref="B4:B10"/>
    <mergeCell ref="C4:C10"/>
    <mergeCell ref="D4:D10"/>
    <mergeCell ref="E4:E10"/>
    <mergeCell ref="F4:G6"/>
    <mergeCell ref="F7:F10"/>
    <mergeCell ref="G7:G10"/>
    <mergeCell ref="H4:H10"/>
    <mergeCell ref="I4:I9"/>
    <mergeCell ref="J4:K6"/>
    <mergeCell ref="L4:Z4"/>
    <mergeCell ref="L5:U5"/>
    <mergeCell ref="V5:Z6"/>
    <mergeCell ref="L6:P6"/>
    <mergeCell ref="Q6:U6"/>
    <mergeCell ref="N7:N8"/>
    <mergeCell ref="P7:P8"/>
    <mergeCell ref="R7:R8"/>
    <mergeCell ref="Q7:Q8"/>
    <mergeCell ref="Y7:Y8"/>
    <mergeCell ref="O7:O8"/>
    <mergeCell ref="X7:X8"/>
    <mergeCell ref="W7:W8"/>
    <mergeCell ref="T7:T8"/>
    <mergeCell ref="U7:U8"/>
    <mergeCell ref="V7:V8"/>
    <mergeCell ref="S7:S8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zoomScale="80" zoomScaleNormal="80" workbookViewId="0">
      <selection activeCell="C2" sqref="C2:Z2"/>
    </sheetView>
  </sheetViews>
  <sheetFormatPr defaultColWidth="8.85546875" defaultRowHeight="15" customHeight="1" x14ac:dyDescent="0.25"/>
  <cols>
    <col min="1" max="1" width="12.7109375" style="153" customWidth="1"/>
    <col min="2" max="5" width="6.7109375" style="153" customWidth="1"/>
    <col min="6" max="6" width="8.7109375" style="153" customWidth="1"/>
    <col min="7" max="7" width="15.7109375" style="153" customWidth="1"/>
    <col min="8" max="26" width="8.7109375" style="153" customWidth="1"/>
    <col min="27" max="16384" width="8.85546875" style="153"/>
  </cols>
  <sheetData>
    <row r="1" spans="1:26" ht="15" customHeight="1" thickBot="1" x14ac:dyDescent="0.3">
      <c r="A1" s="110">
        <v>420</v>
      </c>
    </row>
    <row r="2" spans="1:26" ht="15" customHeight="1" thickBot="1" x14ac:dyDescent="0.3">
      <c r="A2" s="79" t="str">
        <f>Сводная!A21</f>
        <v>Z250x2,5</v>
      </c>
      <c r="B2" s="93" t="str">
        <f>INDEX(B11:B48,MATCH($A$2,$A$11:$A$48))</f>
        <v>250</v>
      </c>
      <c r="C2" s="105">
        <f t="shared" ref="C2:Z2" si="0">INDEX(C11:C48,MATCH($A$2,$A$11:$A$48))</f>
        <v>68</v>
      </c>
      <c r="D2" s="105">
        <f t="shared" si="0"/>
        <v>79</v>
      </c>
      <c r="E2" s="105">
        <f t="shared" si="0"/>
        <v>22</v>
      </c>
      <c r="F2" s="93" t="str">
        <f t="shared" si="0"/>
        <v>Z250</v>
      </c>
      <c r="G2" s="93" t="str">
        <f t="shared" si="0"/>
        <v>250/68/79/22</v>
      </c>
      <c r="H2" s="105">
        <f t="shared" si="0"/>
        <v>2.5</v>
      </c>
      <c r="I2" s="103">
        <f t="shared" si="0"/>
        <v>8.2799999999999994</v>
      </c>
      <c r="J2" s="103">
        <f t="shared" si="0"/>
        <v>6.81</v>
      </c>
      <c r="K2" s="103">
        <f t="shared" si="0"/>
        <v>2.86</v>
      </c>
      <c r="L2" s="103">
        <f t="shared" si="0"/>
        <v>10.220000000000001</v>
      </c>
      <c r="M2" s="103">
        <f t="shared" si="0"/>
        <v>938.67</v>
      </c>
      <c r="N2" s="103">
        <f t="shared" si="0"/>
        <v>71.87</v>
      </c>
      <c r="O2" s="103">
        <f t="shared" si="0"/>
        <v>9.58</v>
      </c>
      <c r="P2" s="103">
        <f t="shared" si="0"/>
        <v>11.94</v>
      </c>
      <c r="Q2" s="103">
        <f t="shared" si="0"/>
        <v>10.210000000000001</v>
      </c>
      <c r="R2" s="103">
        <f t="shared" si="0"/>
        <v>938.11</v>
      </c>
      <c r="S2" s="103">
        <f t="shared" si="0"/>
        <v>74.540000000000006</v>
      </c>
      <c r="T2" s="103">
        <f t="shared" si="0"/>
        <v>9.58</v>
      </c>
      <c r="U2" s="103">
        <f t="shared" si="0"/>
        <v>12.42</v>
      </c>
      <c r="V2" s="103">
        <f t="shared" si="0"/>
        <v>10.54</v>
      </c>
      <c r="W2" s="103">
        <f t="shared" si="0"/>
        <v>106.76</v>
      </c>
      <c r="X2" s="103">
        <f t="shared" si="0"/>
        <v>13.73</v>
      </c>
      <c r="Y2" s="103">
        <f t="shared" si="0"/>
        <v>3.18</v>
      </c>
      <c r="Z2" s="104">
        <f t="shared" si="0"/>
        <v>6.91</v>
      </c>
    </row>
    <row r="3" spans="1:26" ht="15" customHeight="1" thickBot="1" x14ac:dyDescent="0.3"/>
    <row r="4" spans="1:26" ht="15" customHeight="1" x14ac:dyDescent="0.25">
      <c r="A4" s="361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04" t="s">
        <v>165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26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26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 t="s">
        <v>18</v>
      </c>
      <c r="R6" s="345"/>
      <c r="S6" s="345"/>
      <c r="T6" s="345"/>
      <c r="U6" s="345"/>
      <c r="V6" s="345"/>
      <c r="W6" s="345"/>
      <c r="X6" s="345"/>
      <c r="Y6" s="345"/>
      <c r="Z6" s="357"/>
    </row>
    <row r="7" spans="1:26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 t="s">
        <v>21</v>
      </c>
      <c r="R7" s="364" t="s">
        <v>3</v>
      </c>
      <c r="S7" s="364" t="s">
        <v>156</v>
      </c>
      <c r="T7" s="364" t="s">
        <v>20</v>
      </c>
      <c r="U7" s="381" t="s">
        <v>168</v>
      </c>
      <c r="V7" s="364" t="s">
        <v>21</v>
      </c>
      <c r="W7" s="381" t="s">
        <v>3</v>
      </c>
      <c r="X7" s="364" t="s">
        <v>156</v>
      </c>
      <c r="Y7" s="364" t="s">
        <v>20</v>
      </c>
      <c r="Z7" s="400" t="s">
        <v>168</v>
      </c>
    </row>
    <row r="8" spans="1:26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401"/>
    </row>
    <row r="9" spans="1:26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 t="s">
        <v>172</v>
      </c>
      <c r="R9" s="154" t="s">
        <v>174</v>
      </c>
      <c r="S9" s="154" t="s">
        <v>175</v>
      </c>
      <c r="T9" s="154" t="s">
        <v>176</v>
      </c>
      <c r="U9" s="154" t="s">
        <v>177</v>
      </c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26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 t="s">
        <v>182</v>
      </c>
      <c r="R10" s="156" t="s">
        <v>183</v>
      </c>
      <c r="S10" s="156" t="s">
        <v>184</v>
      </c>
      <c r="T10" s="156" t="s">
        <v>6</v>
      </c>
      <c r="U10" s="156" t="s">
        <v>6</v>
      </c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26" ht="15" customHeight="1" x14ac:dyDescent="0.25">
      <c r="A11" s="144" t="str">
        <f t="shared" ref="A11:A12" si="1">CONCATENATE(F11,"x",(IF(H11=INT(H11),CONCATENATE(H11,",",0),H11)))</f>
        <v>Z140x1,0</v>
      </c>
      <c r="B11" s="145" t="str">
        <f t="shared" ref="B11:B12" si="2">LEFT(G11,3)</f>
        <v>140</v>
      </c>
      <c r="C11" s="146">
        <f t="shared" ref="C11:C12" si="3">VALUE(MID(G11,(SEARCH("/",G11,1)+1),(SEARCH("/",G11,(SEARCH("/",G11,1)+1))-SEARCH("/",G11,1)-1)))</f>
        <v>59.5</v>
      </c>
      <c r="D11" s="146">
        <f t="shared" ref="D11:D12" si="4">VALUE(MID(G11,(SEARCH("/",G11,(SEARCH("/",G11,1)+1))+1),(SEARCH("/",G11,SEARCH("/",G11,(SEARCH("/",G11,1)+1))+1))-(SEARCH("/",G11,(SEARCH("/",G11,1)+1))+1)))</f>
        <v>65.5</v>
      </c>
      <c r="E11" s="146">
        <f t="shared" ref="E11:E12" si="5">VALUE(MID(G11,(SEARCH("/",G11,SEARCH("/",G11,(SEARCH("/",G11,1)+1))+1)+1),4))</f>
        <v>20</v>
      </c>
      <c r="F11" s="158" t="str">
        <f t="shared" ref="F11:F12" si="6">CONCATENATE("Z",LEFT(G11,3))</f>
        <v>Z140</v>
      </c>
      <c r="G11" s="159" t="s">
        <v>27</v>
      </c>
      <c r="H11" s="160">
        <v>1</v>
      </c>
      <c r="I11" s="161">
        <v>2.38</v>
      </c>
      <c r="J11" s="161">
        <v>1.38</v>
      </c>
      <c r="K11" s="161">
        <v>3.03</v>
      </c>
      <c r="L11" s="161">
        <v>2.4500000000000002</v>
      </c>
      <c r="M11" s="161">
        <v>75.31</v>
      </c>
      <c r="N11" s="161">
        <v>9.25</v>
      </c>
      <c r="O11" s="161">
        <v>5.53</v>
      </c>
      <c r="P11" s="161">
        <v>5.86</v>
      </c>
      <c r="Q11" s="161">
        <v>2.4</v>
      </c>
      <c r="R11" s="161">
        <v>73.56</v>
      </c>
      <c r="S11" s="161">
        <v>9.2100000000000009</v>
      </c>
      <c r="T11" s="161">
        <v>5.53</v>
      </c>
      <c r="U11" s="161">
        <v>7.98</v>
      </c>
      <c r="V11" s="161">
        <v>2.61</v>
      </c>
      <c r="W11" s="161">
        <v>22.38</v>
      </c>
      <c r="X11" s="161">
        <v>3.27</v>
      </c>
      <c r="Y11" s="161">
        <v>2.92</v>
      </c>
      <c r="Z11" s="162">
        <v>5.57</v>
      </c>
    </row>
    <row r="12" spans="1:26" ht="15" customHeight="1" x14ac:dyDescent="0.25">
      <c r="A12" s="147" t="str">
        <f t="shared" si="1"/>
        <v>Z140x1,2</v>
      </c>
      <c r="B12" s="148" t="str">
        <f t="shared" si="2"/>
        <v>140</v>
      </c>
      <c r="C12" s="149">
        <f t="shared" si="3"/>
        <v>59.5</v>
      </c>
      <c r="D12" s="149">
        <f t="shared" si="4"/>
        <v>65.5</v>
      </c>
      <c r="E12" s="149">
        <f t="shared" si="5"/>
        <v>20</v>
      </c>
      <c r="F12" s="154" t="str">
        <f t="shared" si="6"/>
        <v>Z140</v>
      </c>
      <c r="G12" s="155" t="s">
        <v>27</v>
      </c>
      <c r="H12" s="164">
        <v>1.2</v>
      </c>
      <c r="I12" s="165">
        <v>2.83</v>
      </c>
      <c r="J12" s="165">
        <v>1.91</v>
      </c>
      <c r="K12" s="165">
        <v>3.01</v>
      </c>
      <c r="L12" s="165">
        <v>3.12</v>
      </c>
      <c r="M12" s="165">
        <v>96.14</v>
      </c>
      <c r="N12" s="165">
        <v>12.32</v>
      </c>
      <c r="O12" s="165">
        <v>5.55</v>
      </c>
      <c r="P12" s="165">
        <v>6.2</v>
      </c>
      <c r="Q12" s="165">
        <v>3.06</v>
      </c>
      <c r="R12" s="165">
        <v>93.99</v>
      </c>
      <c r="S12" s="165">
        <v>12.3</v>
      </c>
      <c r="T12" s="165">
        <v>5.53</v>
      </c>
      <c r="U12" s="165">
        <v>7.64</v>
      </c>
      <c r="V12" s="165">
        <v>3.21</v>
      </c>
      <c r="W12" s="165">
        <v>28.76</v>
      </c>
      <c r="X12" s="165">
        <v>4.3</v>
      </c>
      <c r="Y12" s="165">
        <v>2.98</v>
      </c>
      <c r="Z12" s="166">
        <v>5.7</v>
      </c>
    </row>
    <row r="13" spans="1:26" ht="15" customHeight="1" x14ac:dyDescent="0.25">
      <c r="A13" s="72" t="str">
        <f>CONCATENATE(F13,"x",(IF(H13=INT(H13),CONCATENATE(H13,",",0),H13)))</f>
        <v>Z140x1,5</v>
      </c>
      <c r="B13" s="11" t="str">
        <f>LEFT(G13,3)</f>
        <v>140</v>
      </c>
      <c r="C13" s="90">
        <f>VALUE(MID(G13,(SEARCH("/",G13,1)+1),(SEARCH("/",G13,(SEARCH("/",G13,1)+1))-SEARCH("/",G13,1)-1)))</f>
        <v>59.5</v>
      </c>
      <c r="D13" s="90">
        <f>VALUE(MID(G13,(SEARCH("/",G13,(SEARCH("/",G13,1)+1))+1),(SEARCH("/",G13,SEARCH("/",G13,(SEARCH("/",G13,1)+1))+1))-(SEARCH("/",G13,(SEARCH("/",G13,1)+1))+1)))</f>
        <v>65.5</v>
      </c>
      <c r="E13" s="90">
        <f>VALUE(MID(G13,(SEARCH("/",G13,SEARCH("/",G13,(SEARCH("/",G13,1)+1))+1)+1),4))</f>
        <v>20</v>
      </c>
      <c r="F13" s="134" t="str">
        <f>CONCATENATE("Z",LEFT(G13,3))</f>
        <v>Z140</v>
      </c>
      <c r="G13" s="81" t="s">
        <v>27</v>
      </c>
      <c r="H13" s="117">
        <v>1.5</v>
      </c>
      <c r="I13" s="96">
        <v>3.42</v>
      </c>
      <c r="J13" s="96">
        <v>2.84</v>
      </c>
      <c r="K13" s="96">
        <v>2.98</v>
      </c>
      <c r="L13" s="96">
        <v>4.17</v>
      </c>
      <c r="M13" s="96">
        <v>128.37</v>
      </c>
      <c r="N13" s="96">
        <v>17.32</v>
      </c>
      <c r="O13" s="96">
        <v>5.54</v>
      </c>
      <c r="P13" s="96">
        <v>6.59</v>
      </c>
      <c r="Q13" s="96">
        <v>4.13</v>
      </c>
      <c r="R13" s="96">
        <v>126.08</v>
      </c>
      <c r="S13" s="96">
        <v>17.510000000000002</v>
      </c>
      <c r="T13" s="96">
        <v>5.52</v>
      </c>
      <c r="U13" s="96">
        <v>7.2</v>
      </c>
      <c r="V13" s="96">
        <v>4.32</v>
      </c>
      <c r="W13" s="96">
        <v>41.05</v>
      </c>
      <c r="X13" s="96">
        <v>6.38</v>
      </c>
      <c r="Y13" s="96">
        <v>3.07</v>
      </c>
      <c r="Z13" s="97">
        <v>6.01</v>
      </c>
    </row>
    <row r="14" spans="1:26" ht="15" customHeight="1" x14ac:dyDescent="0.25">
      <c r="A14" s="72" t="str">
        <f>CONCATENATE(F14,"x",(IF(H14=INT(H14),CONCATENATE(H14,",",0),H14)))</f>
        <v>Z140x2,0</v>
      </c>
      <c r="B14" s="11" t="str">
        <f t="shared" ref="B14:B35" si="7">LEFT(G14,3)</f>
        <v>140</v>
      </c>
      <c r="C14" s="90">
        <f t="shared" ref="C14:C35" si="8">VALUE(MID(G14,(SEARCH("/",G14,1)+1),(SEARCH("/",G14,(SEARCH("/",G14,1)+1))-SEARCH("/",G14,1)-1)))</f>
        <v>59.5</v>
      </c>
      <c r="D14" s="90">
        <f t="shared" ref="D14:D35" si="9">VALUE(MID(G14,(SEARCH("/",G14,(SEARCH("/",G14,1)+1))+1),(SEARCH("/",G14,SEARCH("/",G14,(SEARCH("/",G14,1)+1))+1))-(SEARCH("/",G14,(SEARCH("/",G14,1)+1))+1)))</f>
        <v>65.5</v>
      </c>
      <c r="E14" s="90">
        <f t="shared" ref="E14:E35" si="10">VALUE(MID(G14,(SEARCH("/",G14,SEARCH("/",G14,(SEARCH("/",G14,1)+1))+1)+1),4))</f>
        <v>20.5</v>
      </c>
      <c r="F14" s="134" t="str">
        <f t="shared" ref="F14:F35" si="11">CONCATENATE("Z",LEFT(G14,3))</f>
        <v>Z140</v>
      </c>
      <c r="G14" s="81" t="s">
        <v>28</v>
      </c>
      <c r="H14" s="121">
        <v>2</v>
      </c>
      <c r="I14" s="96">
        <v>4.54</v>
      </c>
      <c r="J14" s="96">
        <v>4.51</v>
      </c>
      <c r="K14" s="96">
        <v>2.86</v>
      </c>
      <c r="L14" s="96">
        <v>5.78</v>
      </c>
      <c r="M14" s="96">
        <v>178.2</v>
      </c>
      <c r="N14" s="96">
        <v>24.94</v>
      </c>
      <c r="O14" s="96">
        <v>5.54</v>
      </c>
      <c r="P14" s="96">
        <v>6.86</v>
      </c>
      <c r="Q14" s="96">
        <v>5.75</v>
      </c>
      <c r="R14" s="96">
        <v>176.53</v>
      </c>
      <c r="S14" s="96">
        <v>24.86</v>
      </c>
      <c r="T14" s="96">
        <v>5.53</v>
      </c>
      <c r="U14" s="96">
        <v>6.9</v>
      </c>
      <c r="V14" s="96">
        <v>5.74</v>
      </c>
      <c r="W14" s="96">
        <v>54.46</v>
      </c>
      <c r="X14" s="96">
        <v>8.4700000000000006</v>
      </c>
      <c r="Y14" s="96">
        <v>3.08</v>
      </c>
      <c r="Z14" s="97">
        <v>5.99</v>
      </c>
    </row>
    <row r="15" spans="1:26" ht="15" customHeight="1" x14ac:dyDescent="0.25">
      <c r="A15" s="72" t="str">
        <f>CONCATENATE(F15,"x",(IF(H15=INT(H15),CONCATENATE(H15,",",0),H15)))</f>
        <v>Z140x2,5</v>
      </c>
      <c r="B15" s="11" t="str">
        <f t="shared" si="7"/>
        <v>140</v>
      </c>
      <c r="C15" s="90">
        <f t="shared" si="8"/>
        <v>59.5</v>
      </c>
      <c r="D15" s="90">
        <f t="shared" si="9"/>
        <v>65.5</v>
      </c>
      <c r="E15" s="90">
        <f t="shared" si="10"/>
        <v>21</v>
      </c>
      <c r="F15" s="134" t="str">
        <f t="shared" si="11"/>
        <v>Z140</v>
      </c>
      <c r="G15" s="81" t="s">
        <v>29</v>
      </c>
      <c r="H15" s="117">
        <v>2.5</v>
      </c>
      <c r="I15" s="96">
        <v>5.65</v>
      </c>
      <c r="J15" s="96">
        <v>6.03</v>
      </c>
      <c r="K15" s="96">
        <v>2.75</v>
      </c>
      <c r="L15" s="96">
        <v>7.19</v>
      </c>
      <c r="M15" s="96">
        <v>219.52</v>
      </c>
      <c r="N15" s="96">
        <v>30.73</v>
      </c>
      <c r="O15" s="96">
        <v>5.52</v>
      </c>
      <c r="P15" s="96">
        <v>6.86</v>
      </c>
      <c r="Q15" s="96">
        <v>7.19</v>
      </c>
      <c r="R15" s="96">
        <v>219.52</v>
      </c>
      <c r="S15" s="96">
        <v>30.73</v>
      </c>
      <c r="T15" s="96">
        <v>5.52</v>
      </c>
      <c r="U15" s="96">
        <v>6.86</v>
      </c>
      <c r="V15" s="96">
        <v>7.19</v>
      </c>
      <c r="W15" s="96">
        <v>67.59</v>
      </c>
      <c r="X15" s="96">
        <v>10.37</v>
      </c>
      <c r="Y15" s="96">
        <v>3.06</v>
      </c>
      <c r="Z15" s="97">
        <v>5.99</v>
      </c>
    </row>
    <row r="16" spans="1:26" ht="15" customHeight="1" thickBot="1" x14ac:dyDescent="0.3">
      <c r="A16" s="73" t="str">
        <f>CONCATENATE(F16,"x",(IF(H16=INT(H16),CONCATENATE(H16,",",0),H16)))</f>
        <v>Z140x3,0</v>
      </c>
      <c r="B16" s="12" t="str">
        <f t="shared" si="7"/>
        <v>140</v>
      </c>
      <c r="C16" s="91">
        <f t="shared" si="8"/>
        <v>59.5</v>
      </c>
      <c r="D16" s="91">
        <f t="shared" si="9"/>
        <v>65.5</v>
      </c>
      <c r="E16" s="91">
        <f t="shared" si="10"/>
        <v>22</v>
      </c>
      <c r="F16" s="135" t="str">
        <f t="shared" si="11"/>
        <v>Z140</v>
      </c>
      <c r="G16" s="82" t="s">
        <v>30</v>
      </c>
      <c r="H16" s="118">
        <v>3</v>
      </c>
      <c r="I16" s="98">
        <v>6.77</v>
      </c>
      <c r="J16" s="98">
        <v>7.63</v>
      </c>
      <c r="K16" s="98">
        <v>2.67</v>
      </c>
      <c r="L16" s="98">
        <v>8.6199999999999992</v>
      </c>
      <c r="M16" s="98">
        <v>260.29000000000002</v>
      </c>
      <c r="N16" s="98">
        <v>36.44</v>
      </c>
      <c r="O16" s="98">
        <v>5.49</v>
      </c>
      <c r="P16" s="98">
        <v>6.86</v>
      </c>
      <c r="Q16" s="98">
        <v>8.6199999999999992</v>
      </c>
      <c r="R16" s="98">
        <v>260.29000000000002</v>
      </c>
      <c r="S16" s="98">
        <v>36.44</v>
      </c>
      <c r="T16" s="98">
        <v>5.49</v>
      </c>
      <c r="U16" s="98">
        <v>6.86</v>
      </c>
      <c r="V16" s="98">
        <v>8.6199999999999992</v>
      </c>
      <c r="W16" s="98">
        <v>80.790000000000006</v>
      </c>
      <c r="X16" s="98">
        <v>12.35</v>
      </c>
      <c r="Y16" s="98">
        <v>3.06</v>
      </c>
      <c r="Z16" s="99">
        <v>5.96</v>
      </c>
    </row>
    <row r="17" spans="1:26" ht="15" customHeight="1" x14ac:dyDescent="0.25">
      <c r="A17" s="71" t="str">
        <f t="shared" ref="A17:A35" si="12">CONCATENATE(F17,"x",(IF(H17=INT(H17),CONCATENATE(H17,",",0),H17)))</f>
        <v>Z160x1,0</v>
      </c>
      <c r="B17" s="10" t="str">
        <f t="shared" si="7"/>
        <v>160</v>
      </c>
      <c r="C17" s="88">
        <f t="shared" si="8"/>
        <v>59.5</v>
      </c>
      <c r="D17" s="88">
        <f t="shared" si="9"/>
        <v>65.5</v>
      </c>
      <c r="E17" s="88">
        <f t="shared" si="10"/>
        <v>20</v>
      </c>
      <c r="F17" s="133" t="str">
        <f t="shared" si="11"/>
        <v>Z160</v>
      </c>
      <c r="G17" s="80" t="s">
        <v>31</v>
      </c>
      <c r="H17" s="116">
        <v>1</v>
      </c>
      <c r="I17" s="94">
        <v>2.54</v>
      </c>
      <c r="J17" s="94">
        <v>1.38</v>
      </c>
      <c r="K17" s="94">
        <v>2.92</v>
      </c>
      <c r="L17" s="94">
        <v>2.5499999999999998</v>
      </c>
      <c r="M17" s="94">
        <v>100.85</v>
      </c>
      <c r="N17" s="94">
        <v>10.71</v>
      </c>
      <c r="O17" s="94">
        <v>6.28</v>
      </c>
      <c r="P17" s="94">
        <v>6.59</v>
      </c>
      <c r="Q17" s="94">
        <v>2.5</v>
      </c>
      <c r="R17" s="94">
        <v>98.66</v>
      </c>
      <c r="S17" s="94">
        <v>10.68</v>
      </c>
      <c r="T17" s="94">
        <v>6.27</v>
      </c>
      <c r="U17" s="94">
        <v>9.23</v>
      </c>
      <c r="V17" s="94">
        <v>2.81</v>
      </c>
      <c r="W17" s="94">
        <v>22.4</v>
      </c>
      <c r="X17" s="94">
        <v>3.29</v>
      </c>
      <c r="Y17" s="94">
        <v>2.82</v>
      </c>
      <c r="Z17" s="95">
        <v>5.59</v>
      </c>
    </row>
    <row r="18" spans="1:26" ht="15" customHeight="1" x14ac:dyDescent="0.25">
      <c r="A18" s="72" t="str">
        <f t="shared" si="12"/>
        <v>Z160x1,2</v>
      </c>
      <c r="B18" s="11" t="str">
        <f t="shared" si="7"/>
        <v>160</v>
      </c>
      <c r="C18" s="90">
        <f t="shared" si="8"/>
        <v>59.5</v>
      </c>
      <c r="D18" s="90">
        <f t="shared" si="9"/>
        <v>65.5</v>
      </c>
      <c r="E18" s="90">
        <f t="shared" si="10"/>
        <v>20</v>
      </c>
      <c r="F18" s="134" t="str">
        <f t="shared" si="11"/>
        <v>Z160</v>
      </c>
      <c r="G18" s="81" t="s">
        <v>31</v>
      </c>
      <c r="H18" s="117">
        <v>1.2</v>
      </c>
      <c r="I18" s="96">
        <v>3.02</v>
      </c>
      <c r="J18" s="96">
        <v>1.92</v>
      </c>
      <c r="K18" s="96">
        <v>2.88</v>
      </c>
      <c r="L18" s="96">
        <v>3.24</v>
      </c>
      <c r="M18" s="96">
        <v>128.88999999999999</v>
      </c>
      <c r="N18" s="96">
        <v>14.27</v>
      </c>
      <c r="O18" s="96">
        <v>6.3</v>
      </c>
      <c r="P18" s="96">
        <v>6.97</v>
      </c>
      <c r="Q18" s="96">
        <v>3.19</v>
      </c>
      <c r="R18" s="96">
        <v>126.22</v>
      </c>
      <c r="S18" s="96">
        <v>14.27</v>
      </c>
      <c r="T18" s="96">
        <v>6.28</v>
      </c>
      <c r="U18" s="96">
        <v>8.84</v>
      </c>
      <c r="V18" s="96">
        <v>3.45</v>
      </c>
      <c r="W18" s="96">
        <v>28.77</v>
      </c>
      <c r="X18" s="96">
        <v>4.3099999999999996</v>
      </c>
      <c r="Y18" s="96">
        <v>2.88</v>
      </c>
      <c r="Z18" s="97">
        <v>5.71</v>
      </c>
    </row>
    <row r="19" spans="1:26" ht="15" customHeight="1" x14ac:dyDescent="0.25">
      <c r="A19" s="72" t="str">
        <f t="shared" si="12"/>
        <v>Z160x1,5</v>
      </c>
      <c r="B19" s="11" t="str">
        <f t="shared" si="7"/>
        <v>160</v>
      </c>
      <c r="C19" s="90">
        <f t="shared" si="8"/>
        <v>59.5</v>
      </c>
      <c r="D19" s="90">
        <f t="shared" si="9"/>
        <v>65.5</v>
      </c>
      <c r="E19" s="90">
        <f t="shared" si="10"/>
        <v>20</v>
      </c>
      <c r="F19" s="134" t="str">
        <f t="shared" si="11"/>
        <v>Z160</v>
      </c>
      <c r="G19" s="81" t="s">
        <v>31</v>
      </c>
      <c r="H19" s="117">
        <v>1.5</v>
      </c>
      <c r="I19" s="96">
        <v>3.66</v>
      </c>
      <c r="J19" s="96">
        <v>2.85</v>
      </c>
      <c r="K19" s="96">
        <v>2.86</v>
      </c>
      <c r="L19" s="96">
        <v>4.34</v>
      </c>
      <c r="M19" s="96">
        <v>172.36</v>
      </c>
      <c r="N19" s="96">
        <v>20.079999999999998</v>
      </c>
      <c r="O19" s="96">
        <v>6.3</v>
      </c>
      <c r="P19" s="96">
        <v>7.42</v>
      </c>
      <c r="Q19" s="96">
        <v>4.3099999999999996</v>
      </c>
      <c r="R19" s="96">
        <v>169.49</v>
      </c>
      <c r="S19" s="96">
        <v>20.27</v>
      </c>
      <c r="T19" s="96">
        <v>6.27</v>
      </c>
      <c r="U19" s="96">
        <v>8.35</v>
      </c>
      <c r="V19" s="96">
        <v>4.62</v>
      </c>
      <c r="W19" s="96">
        <v>41.05</v>
      </c>
      <c r="X19" s="96">
        <v>6.37</v>
      </c>
      <c r="Y19" s="96">
        <v>2.97</v>
      </c>
      <c r="Z19" s="97">
        <v>6</v>
      </c>
    </row>
    <row r="20" spans="1:26" ht="15" customHeight="1" x14ac:dyDescent="0.25">
      <c r="A20" s="72" t="str">
        <f t="shared" si="12"/>
        <v>Z160x2,0</v>
      </c>
      <c r="B20" s="11" t="str">
        <f t="shared" si="7"/>
        <v>160</v>
      </c>
      <c r="C20" s="90">
        <f t="shared" si="8"/>
        <v>59.5</v>
      </c>
      <c r="D20" s="90">
        <f t="shared" si="9"/>
        <v>65.5</v>
      </c>
      <c r="E20" s="90">
        <f t="shared" si="10"/>
        <v>20.5</v>
      </c>
      <c r="F20" s="134" t="str">
        <f t="shared" si="11"/>
        <v>Z160</v>
      </c>
      <c r="G20" s="81" t="s">
        <v>32</v>
      </c>
      <c r="H20" s="117">
        <v>2</v>
      </c>
      <c r="I20" s="96">
        <v>4.8600000000000003</v>
      </c>
      <c r="J20" s="96">
        <v>4.54</v>
      </c>
      <c r="K20" s="96">
        <v>2.74</v>
      </c>
      <c r="L20" s="96">
        <v>6.18</v>
      </c>
      <c r="M20" s="96">
        <v>243.39</v>
      </c>
      <c r="N20" s="96">
        <v>29.85</v>
      </c>
      <c r="O20" s="96">
        <v>6.27</v>
      </c>
      <c r="P20" s="96">
        <v>7.85</v>
      </c>
      <c r="Q20" s="96">
        <v>6.15</v>
      </c>
      <c r="R20" s="96">
        <v>241.19</v>
      </c>
      <c r="S20" s="96">
        <v>29.75</v>
      </c>
      <c r="T20" s="96">
        <v>6.26</v>
      </c>
      <c r="U20" s="96">
        <v>7.89</v>
      </c>
      <c r="V20" s="96">
        <v>6.14</v>
      </c>
      <c r="W20" s="96">
        <v>54.51</v>
      </c>
      <c r="X20" s="96">
        <v>8.4600000000000009</v>
      </c>
      <c r="Y20" s="96">
        <v>2.98</v>
      </c>
      <c r="Z20" s="97">
        <v>5.98</v>
      </c>
    </row>
    <row r="21" spans="1:26" ht="15" customHeight="1" x14ac:dyDescent="0.25">
      <c r="A21" s="72" t="str">
        <f t="shared" si="12"/>
        <v>Z160x2,5</v>
      </c>
      <c r="B21" s="11" t="str">
        <f t="shared" si="7"/>
        <v>160</v>
      </c>
      <c r="C21" s="90">
        <f t="shared" si="8"/>
        <v>59.5</v>
      </c>
      <c r="D21" s="90">
        <f t="shared" si="9"/>
        <v>65.5</v>
      </c>
      <c r="E21" s="90">
        <f t="shared" si="10"/>
        <v>21</v>
      </c>
      <c r="F21" s="134" t="str">
        <f t="shared" si="11"/>
        <v>Z160</v>
      </c>
      <c r="G21" s="81" t="s">
        <v>33</v>
      </c>
      <c r="H21" s="117">
        <v>2.5</v>
      </c>
      <c r="I21" s="96">
        <v>6.04</v>
      </c>
      <c r="J21" s="96">
        <v>6.09</v>
      </c>
      <c r="K21" s="96">
        <v>2.63</v>
      </c>
      <c r="L21" s="96">
        <v>7.69</v>
      </c>
      <c r="M21" s="96">
        <v>300.24</v>
      </c>
      <c r="N21" s="96">
        <v>36.82</v>
      </c>
      <c r="O21" s="96">
        <v>6.24</v>
      </c>
      <c r="P21" s="96">
        <v>7.85</v>
      </c>
      <c r="Q21" s="96">
        <v>7.69</v>
      </c>
      <c r="R21" s="96">
        <v>300.24</v>
      </c>
      <c r="S21" s="96">
        <v>36.82</v>
      </c>
      <c r="T21" s="96">
        <v>6.24</v>
      </c>
      <c r="U21" s="96">
        <v>7.85</v>
      </c>
      <c r="V21" s="96">
        <v>7.69</v>
      </c>
      <c r="W21" s="96">
        <v>67.599999999999994</v>
      </c>
      <c r="X21" s="96">
        <v>10.36</v>
      </c>
      <c r="Y21" s="96">
        <v>2.96</v>
      </c>
      <c r="Z21" s="97">
        <v>5.98</v>
      </c>
    </row>
    <row r="22" spans="1:26" ht="15" customHeight="1" thickBot="1" x14ac:dyDescent="0.3">
      <c r="A22" s="73" t="str">
        <f t="shared" si="12"/>
        <v>Z160x3,0</v>
      </c>
      <c r="B22" s="12" t="str">
        <f t="shared" si="7"/>
        <v>160</v>
      </c>
      <c r="C22" s="91">
        <f t="shared" si="8"/>
        <v>59.5</v>
      </c>
      <c r="D22" s="91">
        <f t="shared" si="9"/>
        <v>65.5</v>
      </c>
      <c r="E22" s="91">
        <f t="shared" si="10"/>
        <v>22</v>
      </c>
      <c r="F22" s="135" t="str">
        <f t="shared" si="11"/>
        <v>Z160</v>
      </c>
      <c r="G22" s="82" t="s">
        <v>34</v>
      </c>
      <c r="H22" s="118">
        <v>3</v>
      </c>
      <c r="I22" s="98">
        <v>7.24</v>
      </c>
      <c r="J22" s="98">
        <v>7.73</v>
      </c>
      <c r="K22" s="98">
        <v>2.5499999999999998</v>
      </c>
      <c r="L22" s="98">
        <v>9.2200000000000006</v>
      </c>
      <c r="M22" s="98">
        <v>356.55</v>
      </c>
      <c r="N22" s="98">
        <v>43.73</v>
      </c>
      <c r="O22" s="98">
        <v>6.21</v>
      </c>
      <c r="P22" s="98">
        <v>7.85</v>
      </c>
      <c r="Q22" s="98">
        <v>9.2200000000000006</v>
      </c>
      <c r="R22" s="98">
        <v>356.55</v>
      </c>
      <c r="S22" s="98">
        <v>43.73</v>
      </c>
      <c r="T22" s="98">
        <v>6.21</v>
      </c>
      <c r="U22" s="98">
        <v>7.85</v>
      </c>
      <c r="V22" s="98">
        <v>9.2200000000000006</v>
      </c>
      <c r="W22" s="98">
        <v>80.81</v>
      </c>
      <c r="X22" s="98">
        <v>12.34</v>
      </c>
      <c r="Y22" s="98">
        <v>2.95</v>
      </c>
      <c r="Z22" s="99">
        <v>5.95</v>
      </c>
    </row>
    <row r="23" spans="1:26" ht="15" customHeight="1" x14ac:dyDescent="0.25">
      <c r="A23" s="71" t="str">
        <f t="shared" si="12"/>
        <v>Z200x1,0</v>
      </c>
      <c r="B23" s="10" t="str">
        <f t="shared" si="7"/>
        <v>200</v>
      </c>
      <c r="C23" s="88">
        <f t="shared" si="8"/>
        <v>59.5</v>
      </c>
      <c r="D23" s="88">
        <f t="shared" si="9"/>
        <v>65.5</v>
      </c>
      <c r="E23" s="88">
        <f t="shared" si="10"/>
        <v>20</v>
      </c>
      <c r="F23" s="133" t="str">
        <f t="shared" si="11"/>
        <v>Z200</v>
      </c>
      <c r="G23" s="80" t="s">
        <v>35</v>
      </c>
      <c r="H23" s="116">
        <v>1</v>
      </c>
      <c r="I23" s="94">
        <v>2.87</v>
      </c>
      <c r="J23" s="94">
        <v>1.38</v>
      </c>
      <c r="K23" s="94">
        <v>2.71</v>
      </c>
      <c r="L23" s="94">
        <v>2.75</v>
      </c>
      <c r="M23" s="94">
        <v>164.09</v>
      </c>
      <c r="N23" s="94">
        <v>13.68</v>
      </c>
      <c r="O23" s="94">
        <v>7.71</v>
      </c>
      <c r="P23" s="94">
        <v>8.01</v>
      </c>
      <c r="Q23" s="94">
        <v>2.71</v>
      </c>
      <c r="R23" s="94">
        <v>160.93</v>
      </c>
      <c r="S23" s="94">
        <v>13.65</v>
      </c>
      <c r="T23" s="94">
        <v>7.7</v>
      </c>
      <c r="U23" s="94">
        <v>11.79</v>
      </c>
      <c r="V23" s="94">
        <v>3.21</v>
      </c>
      <c r="W23" s="94">
        <v>22.44</v>
      </c>
      <c r="X23" s="94">
        <v>3.31</v>
      </c>
      <c r="Y23" s="94">
        <v>2.64</v>
      </c>
      <c r="Z23" s="95">
        <v>5.63</v>
      </c>
    </row>
    <row r="24" spans="1:26" ht="15" customHeight="1" x14ac:dyDescent="0.25">
      <c r="A24" s="72" t="str">
        <f t="shared" si="12"/>
        <v>Z200x1,2</v>
      </c>
      <c r="B24" s="11" t="str">
        <f t="shared" si="7"/>
        <v>200</v>
      </c>
      <c r="C24" s="90">
        <f t="shared" si="8"/>
        <v>59.5</v>
      </c>
      <c r="D24" s="90">
        <f t="shared" si="9"/>
        <v>65.5</v>
      </c>
      <c r="E24" s="90">
        <f t="shared" si="10"/>
        <v>20</v>
      </c>
      <c r="F24" s="134" t="str">
        <f t="shared" si="11"/>
        <v>Z200</v>
      </c>
      <c r="G24" s="81" t="s">
        <v>35</v>
      </c>
      <c r="H24" s="117">
        <v>1.2</v>
      </c>
      <c r="I24" s="96">
        <v>3.41</v>
      </c>
      <c r="J24" s="96">
        <v>1.93</v>
      </c>
      <c r="K24" s="96">
        <v>2.66</v>
      </c>
      <c r="L24" s="96">
        <v>3.49</v>
      </c>
      <c r="M24" s="96">
        <v>210.2</v>
      </c>
      <c r="N24" s="96">
        <v>18.23</v>
      </c>
      <c r="O24" s="96">
        <v>7.75</v>
      </c>
      <c r="P24" s="96">
        <v>8.4700000000000006</v>
      </c>
      <c r="Q24" s="96">
        <v>3.44</v>
      </c>
      <c r="R24" s="96">
        <v>206.4</v>
      </c>
      <c r="S24" s="96">
        <v>18.23</v>
      </c>
      <c r="T24" s="96">
        <v>7.74</v>
      </c>
      <c r="U24" s="96">
        <v>11.32</v>
      </c>
      <c r="V24" s="96">
        <v>3.93</v>
      </c>
      <c r="W24" s="96">
        <v>28.79</v>
      </c>
      <c r="X24" s="96">
        <v>4.32</v>
      </c>
      <c r="Y24" s="96">
        <v>2.7</v>
      </c>
      <c r="Z24" s="97">
        <v>5.73</v>
      </c>
    </row>
    <row r="25" spans="1:26" ht="15" customHeight="1" x14ac:dyDescent="0.25">
      <c r="A25" s="72" t="str">
        <f t="shared" si="12"/>
        <v>Z200x1,5</v>
      </c>
      <c r="B25" s="11" t="str">
        <f t="shared" si="7"/>
        <v>200</v>
      </c>
      <c r="C25" s="90">
        <f t="shared" si="8"/>
        <v>59.5</v>
      </c>
      <c r="D25" s="90">
        <f t="shared" si="9"/>
        <v>65.5</v>
      </c>
      <c r="E25" s="90">
        <f t="shared" si="10"/>
        <v>20</v>
      </c>
      <c r="F25" s="134" t="str">
        <f t="shared" si="11"/>
        <v>Z200</v>
      </c>
      <c r="G25" s="81" t="s">
        <v>35</v>
      </c>
      <c r="H25" s="117">
        <v>1.5</v>
      </c>
      <c r="I25" s="96">
        <v>4.13</v>
      </c>
      <c r="J25" s="96">
        <v>2.87</v>
      </c>
      <c r="K25" s="96">
        <v>2.65</v>
      </c>
      <c r="L25" s="96">
        <v>4.66</v>
      </c>
      <c r="M25" s="96">
        <v>282.02999999999997</v>
      </c>
      <c r="N25" s="96">
        <v>25.65</v>
      </c>
      <c r="O25" s="96">
        <v>7.77</v>
      </c>
      <c r="P25" s="96">
        <v>9.01</v>
      </c>
      <c r="Q25" s="96">
        <v>4.6399999999999997</v>
      </c>
      <c r="R25" s="96">
        <v>277.83</v>
      </c>
      <c r="S25" s="96">
        <v>25.89</v>
      </c>
      <c r="T25" s="96">
        <v>7.73</v>
      </c>
      <c r="U25" s="96">
        <v>10.72</v>
      </c>
      <c r="V25" s="96">
        <v>5.22</v>
      </c>
      <c r="W25" s="96">
        <v>41.04</v>
      </c>
      <c r="X25" s="96">
        <v>6.35</v>
      </c>
      <c r="Y25" s="96">
        <v>2.8</v>
      </c>
      <c r="Z25" s="97">
        <v>5.99</v>
      </c>
    </row>
    <row r="26" spans="1:26" ht="15" customHeight="1" x14ac:dyDescent="0.25">
      <c r="A26" s="72" t="str">
        <f t="shared" si="12"/>
        <v>Z200x2,0</v>
      </c>
      <c r="B26" s="11" t="str">
        <f t="shared" si="7"/>
        <v>200</v>
      </c>
      <c r="C26" s="90">
        <f t="shared" si="8"/>
        <v>59.5</v>
      </c>
      <c r="D26" s="90">
        <f t="shared" si="9"/>
        <v>65.5</v>
      </c>
      <c r="E26" s="90">
        <f t="shared" si="10"/>
        <v>20.5</v>
      </c>
      <c r="F26" s="134" t="str">
        <f t="shared" si="11"/>
        <v>Z200</v>
      </c>
      <c r="G26" s="81" t="s">
        <v>36</v>
      </c>
      <c r="H26" s="117">
        <v>2</v>
      </c>
      <c r="I26" s="96">
        <v>5.49</v>
      </c>
      <c r="J26" s="96">
        <v>4.58</v>
      </c>
      <c r="K26" s="96">
        <v>2.5299999999999998</v>
      </c>
      <c r="L26" s="96">
        <v>6.79</v>
      </c>
      <c r="M26" s="96">
        <v>404.9</v>
      </c>
      <c r="N26" s="96">
        <v>39.17</v>
      </c>
      <c r="O26" s="96">
        <v>7.71</v>
      </c>
      <c r="P26" s="96">
        <v>9.67</v>
      </c>
      <c r="Q26" s="96">
        <v>6.77</v>
      </c>
      <c r="R26" s="96">
        <v>402.32</v>
      </c>
      <c r="S26" s="96">
        <v>40.11</v>
      </c>
      <c r="T26" s="96">
        <v>7.7</v>
      </c>
      <c r="U26" s="96">
        <v>10.029999999999999</v>
      </c>
      <c r="V26" s="96">
        <v>6.95</v>
      </c>
      <c r="W26" s="96">
        <v>54.6</v>
      </c>
      <c r="X26" s="96">
        <v>8.44</v>
      </c>
      <c r="Y26" s="96">
        <v>2.8</v>
      </c>
      <c r="Z26" s="97">
        <v>5.98</v>
      </c>
    </row>
    <row r="27" spans="1:26" ht="15" customHeight="1" x14ac:dyDescent="0.25">
      <c r="A27" s="72" t="str">
        <f t="shared" si="12"/>
        <v>Z200x2,5</v>
      </c>
      <c r="B27" s="11" t="str">
        <f t="shared" si="7"/>
        <v>200</v>
      </c>
      <c r="C27" s="90">
        <f t="shared" si="8"/>
        <v>59.5</v>
      </c>
      <c r="D27" s="90">
        <f t="shared" si="9"/>
        <v>65.5</v>
      </c>
      <c r="E27" s="90">
        <f t="shared" si="10"/>
        <v>21</v>
      </c>
      <c r="F27" s="134" t="str">
        <f t="shared" si="11"/>
        <v>Z200</v>
      </c>
      <c r="G27" s="81" t="s">
        <v>37</v>
      </c>
      <c r="H27" s="117">
        <v>2.5</v>
      </c>
      <c r="I27" s="96">
        <v>6.83</v>
      </c>
      <c r="J27" s="96">
        <v>6.17</v>
      </c>
      <c r="K27" s="96">
        <v>2.4300000000000002</v>
      </c>
      <c r="L27" s="96">
        <v>8.69</v>
      </c>
      <c r="M27" s="96">
        <v>508.87</v>
      </c>
      <c r="N27" s="96">
        <v>50.03</v>
      </c>
      <c r="O27" s="96">
        <v>7.64</v>
      </c>
      <c r="P27" s="96">
        <v>9.83</v>
      </c>
      <c r="Q27" s="96">
        <v>8.69</v>
      </c>
      <c r="R27" s="96">
        <v>508.87</v>
      </c>
      <c r="S27" s="96">
        <v>50.03</v>
      </c>
      <c r="T27" s="96">
        <v>7.64</v>
      </c>
      <c r="U27" s="96">
        <v>9.83</v>
      </c>
      <c r="V27" s="96">
        <v>8.69</v>
      </c>
      <c r="W27" s="96">
        <v>67.63</v>
      </c>
      <c r="X27" s="96">
        <v>10.33</v>
      </c>
      <c r="Y27" s="96">
        <v>2.78</v>
      </c>
      <c r="Z27" s="97">
        <v>5.96</v>
      </c>
    </row>
    <row r="28" spans="1:26" ht="15" customHeight="1" x14ac:dyDescent="0.25">
      <c r="A28" s="72" t="str">
        <f t="shared" si="12"/>
        <v>Z200x3,0</v>
      </c>
      <c r="B28" s="11" t="str">
        <f t="shared" si="7"/>
        <v>200</v>
      </c>
      <c r="C28" s="90">
        <f t="shared" si="8"/>
        <v>59.5</v>
      </c>
      <c r="D28" s="90">
        <f t="shared" si="9"/>
        <v>65.5</v>
      </c>
      <c r="E28" s="90">
        <f t="shared" si="10"/>
        <v>22</v>
      </c>
      <c r="F28" s="134" t="str">
        <f t="shared" si="11"/>
        <v>Z200</v>
      </c>
      <c r="G28" s="81" t="s">
        <v>38</v>
      </c>
      <c r="H28" s="117">
        <v>3</v>
      </c>
      <c r="I28" s="96">
        <v>8.18</v>
      </c>
      <c r="J28" s="96">
        <v>7.88</v>
      </c>
      <c r="K28" s="96">
        <v>2.35</v>
      </c>
      <c r="L28" s="96">
        <v>10.42</v>
      </c>
      <c r="M28" s="96">
        <v>605.64</v>
      </c>
      <c r="N28" s="96">
        <v>59.55</v>
      </c>
      <c r="O28" s="96">
        <v>7.62</v>
      </c>
      <c r="P28" s="96">
        <v>9.83</v>
      </c>
      <c r="Q28" s="96">
        <v>10.42</v>
      </c>
      <c r="R28" s="96">
        <v>605.64</v>
      </c>
      <c r="S28" s="96">
        <v>59.55</v>
      </c>
      <c r="T28" s="96">
        <v>7.62</v>
      </c>
      <c r="U28" s="96">
        <v>9.83</v>
      </c>
      <c r="V28" s="96">
        <v>10.42</v>
      </c>
      <c r="W28" s="96">
        <v>80.84</v>
      </c>
      <c r="X28" s="96">
        <v>12.31</v>
      </c>
      <c r="Y28" s="96">
        <v>2.78</v>
      </c>
      <c r="Z28" s="97">
        <v>5.93</v>
      </c>
    </row>
    <row r="29" spans="1:26" ht="15" customHeight="1" thickBot="1" x14ac:dyDescent="0.3">
      <c r="A29" s="73" t="str">
        <f t="shared" si="12"/>
        <v>Z200x3,5</v>
      </c>
      <c r="B29" s="12" t="str">
        <f t="shared" si="7"/>
        <v>200</v>
      </c>
      <c r="C29" s="91">
        <f t="shared" si="8"/>
        <v>59.5</v>
      </c>
      <c r="D29" s="91">
        <f t="shared" si="9"/>
        <v>65.5</v>
      </c>
      <c r="E29" s="91">
        <f t="shared" si="10"/>
        <v>23</v>
      </c>
      <c r="F29" s="135" t="str">
        <f t="shared" si="11"/>
        <v>Z200</v>
      </c>
      <c r="G29" s="82" t="s">
        <v>39</v>
      </c>
      <c r="H29" s="118">
        <v>3.5</v>
      </c>
      <c r="I29" s="98">
        <v>9.5399999999999991</v>
      </c>
      <c r="J29" s="98">
        <v>9.7100000000000009</v>
      </c>
      <c r="K29" s="98">
        <v>2.2799999999999998</v>
      </c>
      <c r="L29" s="98">
        <v>12.14</v>
      </c>
      <c r="M29" s="98">
        <v>700.71</v>
      </c>
      <c r="N29" s="98">
        <v>68.900000000000006</v>
      </c>
      <c r="O29" s="98">
        <v>7.59</v>
      </c>
      <c r="P29" s="98">
        <v>9.83</v>
      </c>
      <c r="Q29" s="98">
        <v>12.14</v>
      </c>
      <c r="R29" s="98">
        <v>700.71</v>
      </c>
      <c r="S29" s="98">
        <v>68.900000000000006</v>
      </c>
      <c r="T29" s="98">
        <v>7.59</v>
      </c>
      <c r="U29" s="98">
        <v>9.83</v>
      </c>
      <c r="V29" s="98">
        <v>12.03</v>
      </c>
      <c r="W29" s="98">
        <v>92.54</v>
      </c>
      <c r="X29" s="98">
        <v>14.25</v>
      </c>
      <c r="Y29" s="98">
        <v>2.78</v>
      </c>
      <c r="Z29" s="99">
        <v>5.88</v>
      </c>
    </row>
    <row r="30" spans="1:26" ht="15" customHeight="1" x14ac:dyDescent="0.25">
      <c r="A30" s="71" t="str">
        <f t="shared" si="12"/>
        <v>Z250x1,0</v>
      </c>
      <c r="B30" s="10" t="str">
        <f t="shared" si="7"/>
        <v>250</v>
      </c>
      <c r="C30" s="88">
        <f t="shared" si="8"/>
        <v>67</v>
      </c>
      <c r="D30" s="88">
        <f t="shared" si="9"/>
        <v>78</v>
      </c>
      <c r="E30" s="88">
        <f t="shared" si="10"/>
        <v>21.5</v>
      </c>
      <c r="F30" s="133" t="str">
        <f t="shared" si="11"/>
        <v>Z250</v>
      </c>
      <c r="G30" s="80" t="s">
        <v>40</v>
      </c>
      <c r="H30" s="116">
        <v>1</v>
      </c>
      <c r="I30" s="94">
        <v>3.46</v>
      </c>
      <c r="J30" s="94">
        <v>1.41</v>
      </c>
      <c r="K30" s="94">
        <v>3.08</v>
      </c>
      <c r="L30" s="94">
        <v>3.13</v>
      </c>
      <c r="M30" s="94">
        <v>282.64</v>
      </c>
      <c r="N30" s="94">
        <v>18.03</v>
      </c>
      <c r="O30" s="94">
        <v>9.49</v>
      </c>
      <c r="P30" s="94">
        <v>9.33</v>
      </c>
      <c r="Q30" s="94">
        <v>3.06</v>
      </c>
      <c r="R30" s="94">
        <v>274.74</v>
      </c>
      <c r="S30" s="94">
        <v>18</v>
      </c>
      <c r="T30" s="94">
        <v>9.4700000000000006</v>
      </c>
      <c r="U30" s="94">
        <v>15.26</v>
      </c>
      <c r="V30" s="94">
        <v>3.81</v>
      </c>
      <c r="W30" s="94">
        <v>31.71</v>
      </c>
      <c r="X30" s="94">
        <v>3.92</v>
      </c>
      <c r="Y30" s="94">
        <v>2.88</v>
      </c>
      <c r="Z30" s="95">
        <v>6.33</v>
      </c>
    </row>
    <row r="31" spans="1:26" ht="15" customHeight="1" x14ac:dyDescent="0.25">
      <c r="A31" s="72" t="str">
        <f t="shared" si="12"/>
        <v>Z250x1,2</v>
      </c>
      <c r="B31" s="11" t="str">
        <f t="shared" si="7"/>
        <v>250</v>
      </c>
      <c r="C31" s="90">
        <f t="shared" si="8"/>
        <v>67</v>
      </c>
      <c r="D31" s="90">
        <f t="shared" si="9"/>
        <v>78</v>
      </c>
      <c r="E31" s="90">
        <f t="shared" si="10"/>
        <v>21.5</v>
      </c>
      <c r="F31" s="134" t="str">
        <f t="shared" si="11"/>
        <v>Z250</v>
      </c>
      <c r="G31" s="81" t="s">
        <v>40</v>
      </c>
      <c r="H31" s="117">
        <v>1.2</v>
      </c>
      <c r="I31" s="96">
        <v>4.12</v>
      </c>
      <c r="J31" s="96">
        <v>1.98</v>
      </c>
      <c r="K31" s="96">
        <v>3.02</v>
      </c>
      <c r="L31" s="96">
        <v>3.95</v>
      </c>
      <c r="M31" s="96">
        <v>364.04</v>
      </c>
      <c r="N31" s="96">
        <v>24.09</v>
      </c>
      <c r="O31" s="96">
        <v>9.58</v>
      </c>
      <c r="P31" s="96">
        <v>9.89</v>
      </c>
      <c r="Q31" s="96">
        <v>3.87</v>
      </c>
      <c r="R31" s="96">
        <v>354.13</v>
      </c>
      <c r="S31" s="96">
        <v>24.1</v>
      </c>
      <c r="T31" s="96">
        <v>9.5500000000000007</v>
      </c>
      <c r="U31" s="96">
        <v>14.69</v>
      </c>
      <c r="V31" s="96">
        <v>4.66</v>
      </c>
      <c r="W31" s="96">
        <v>41.05</v>
      </c>
      <c r="X31" s="96">
        <v>5.17</v>
      </c>
      <c r="Y31" s="96">
        <v>2.96</v>
      </c>
      <c r="Z31" s="97">
        <v>6.44</v>
      </c>
    </row>
    <row r="32" spans="1:26" ht="15" customHeight="1" x14ac:dyDescent="0.25">
      <c r="A32" s="72" t="str">
        <f t="shared" si="12"/>
        <v>Z250x1,5</v>
      </c>
      <c r="B32" s="11" t="str">
        <f t="shared" si="7"/>
        <v>250</v>
      </c>
      <c r="C32" s="90">
        <f t="shared" si="8"/>
        <v>67</v>
      </c>
      <c r="D32" s="90">
        <f t="shared" si="9"/>
        <v>78</v>
      </c>
      <c r="E32" s="90">
        <f t="shared" si="10"/>
        <v>21.5</v>
      </c>
      <c r="F32" s="134" t="str">
        <f t="shared" si="11"/>
        <v>Z250</v>
      </c>
      <c r="G32" s="81" t="s">
        <v>40</v>
      </c>
      <c r="H32" s="117">
        <v>1.5</v>
      </c>
      <c r="I32" s="96">
        <v>4.99</v>
      </c>
      <c r="J32" s="96">
        <v>2.96</v>
      </c>
      <c r="K32" s="96">
        <v>3.05</v>
      </c>
      <c r="L32" s="96">
        <v>5.27</v>
      </c>
      <c r="M32" s="96">
        <v>491.98</v>
      </c>
      <c r="N32" s="96">
        <v>34.049999999999997</v>
      </c>
      <c r="O32" s="96">
        <v>9.65</v>
      </c>
      <c r="P32" s="96">
        <v>10.55</v>
      </c>
      <c r="Q32" s="96">
        <v>5.19</v>
      </c>
      <c r="R32" s="96">
        <v>479.93</v>
      </c>
      <c r="S32" s="96">
        <v>34.44</v>
      </c>
      <c r="T32" s="96">
        <v>9.56</v>
      </c>
      <c r="U32" s="96">
        <v>13.93</v>
      </c>
      <c r="V32" s="96">
        <v>6.16</v>
      </c>
      <c r="W32" s="96">
        <v>60.27</v>
      </c>
      <c r="X32" s="96">
        <v>8.0299999999999994</v>
      </c>
      <c r="Y32" s="96">
        <v>3.12</v>
      </c>
      <c r="Z32" s="97">
        <v>6.82</v>
      </c>
    </row>
    <row r="33" spans="1:26" ht="15" customHeight="1" x14ac:dyDescent="0.25">
      <c r="A33" s="72" t="str">
        <f t="shared" si="12"/>
        <v>Z250x2,0</v>
      </c>
      <c r="B33" s="11" t="str">
        <f t="shared" si="7"/>
        <v>250</v>
      </c>
      <c r="C33" s="90">
        <f t="shared" si="8"/>
        <v>67</v>
      </c>
      <c r="D33" s="90">
        <f t="shared" si="9"/>
        <v>78</v>
      </c>
      <c r="E33" s="90">
        <f t="shared" si="10"/>
        <v>21.5</v>
      </c>
      <c r="F33" s="134" t="str">
        <f t="shared" si="11"/>
        <v>Z250</v>
      </c>
      <c r="G33" s="81" t="s">
        <v>40</v>
      </c>
      <c r="H33" s="117">
        <v>2</v>
      </c>
      <c r="I33" s="96">
        <v>6.62</v>
      </c>
      <c r="J33" s="96">
        <v>4.84</v>
      </c>
      <c r="K33" s="96">
        <v>2.93</v>
      </c>
      <c r="L33" s="96">
        <v>7.69</v>
      </c>
      <c r="M33" s="96">
        <v>718.05</v>
      </c>
      <c r="N33" s="96">
        <v>52.99</v>
      </c>
      <c r="O33" s="96">
        <v>9.66</v>
      </c>
      <c r="P33" s="96">
        <v>11.45</v>
      </c>
      <c r="Q33" s="96">
        <v>7.62</v>
      </c>
      <c r="R33" s="96">
        <v>704.46</v>
      </c>
      <c r="S33" s="96">
        <v>54.07</v>
      </c>
      <c r="T33" s="96">
        <v>9.61</v>
      </c>
      <c r="U33" s="96">
        <v>13.02</v>
      </c>
      <c r="V33" s="96">
        <v>8.3000000000000007</v>
      </c>
      <c r="W33" s="96">
        <v>81.53</v>
      </c>
      <c r="X33" s="96">
        <v>10.82</v>
      </c>
      <c r="Y33" s="96">
        <v>3.13</v>
      </c>
      <c r="Z33" s="97">
        <v>6.77</v>
      </c>
    </row>
    <row r="34" spans="1:26" ht="15" customHeight="1" x14ac:dyDescent="0.25">
      <c r="A34" s="72" t="str">
        <f t="shared" si="12"/>
        <v>Z250x2,5</v>
      </c>
      <c r="B34" s="11" t="str">
        <f t="shared" si="7"/>
        <v>250</v>
      </c>
      <c r="C34" s="90">
        <f t="shared" si="8"/>
        <v>68</v>
      </c>
      <c r="D34" s="90">
        <f t="shared" si="9"/>
        <v>79</v>
      </c>
      <c r="E34" s="90">
        <f t="shared" si="10"/>
        <v>22</v>
      </c>
      <c r="F34" s="134" t="str">
        <f t="shared" si="11"/>
        <v>Z250</v>
      </c>
      <c r="G34" s="81" t="s">
        <v>41</v>
      </c>
      <c r="H34" s="117">
        <v>2.5</v>
      </c>
      <c r="I34" s="96">
        <v>8.2799999999999994</v>
      </c>
      <c r="J34" s="96">
        <v>6.81</v>
      </c>
      <c r="K34" s="96">
        <v>2.86</v>
      </c>
      <c r="L34" s="96">
        <v>10.220000000000001</v>
      </c>
      <c r="M34" s="96">
        <v>938.67</v>
      </c>
      <c r="N34" s="96">
        <v>71.87</v>
      </c>
      <c r="O34" s="96">
        <v>9.58</v>
      </c>
      <c r="P34" s="96">
        <v>11.94</v>
      </c>
      <c r="Q34" s="96">
        <v>10.210000000000001</v>
      </c>
      <c r="R34" s="96">
        <v>938.11</v>
      </c>
      <c r="S34" s="96">
        <v>74.540000000000006</v>
      </c>
      <c r="T34" s="96">
        <v>9.58</v>
      </c>
      <c r="U34" s="96">
        <v>12.42</v>
      </c>
      <c r="V34" s="96">
        <v>10.54</v>
      </c>
      <c r="W34" s="96">
        <v>106.76</v>
      </c>
      <c r="X34" s="96">
        <v>13.73</v>
      </c>
      <c r="Y34" s="96">
        <v>3.18</v>
      </c>
      <c r="Z34" s="97">
        <v>6.91</v>
      </c>
    </row>
    <row r="35" spans="1:26" ht="15" customHeight="1" thickBot="1" x14ac:dyDescent="0.3">
      <c r="A35" s="73" t="str">
        <f t="shared" si="12"/>
        <v>Z250x3,0</v>
      </c>
      <c r="B35" s="12" t="str">
        <f t="shared" si="7"/>
        <v>250</v>
      </c>
      <c r="C35" s="91">
        <f t="shared" si="8"/>
        <v>69</v>
      </c>
      <c r="D35" s="91">
        <f t="shared" si="9"/>
        <v>80</v>
      </c>
      <c r="E35" s="91">
        <f t="shared" si="10"/>
        <v>22.5</v>
      </c>
      <c r="F35" s="135" t="str">
        <f t="shared" si="11"/>
        <v>Z250</v>
      </c>
      <c r="G35" s="82" t="s">
        <v>42</v>
      </c>
      <c r="H35" s="118">
        <v>3</v>
      </c>
      <c r="I35" s="98">
        <v>9.9499999999999993</v>
      </c>
      <c r="J35" s="98">
        <v>8.74</v>
      </c>
      <c r="K35" s="98">
        <v>2.82</v>
      </c>
      <c r="L35" s="98">
        <v>12.67</v>
      </c>
      <c r="M35" s="98">
        <v>1147.5</v>
      </c>
      <c r="N35" s="98">
        <v>89.49</v>
      </c>
      <c r="O35" s="98">
        <v>9.51</v>
      </c>
      <c r="P35" s="98">
        <v>12.18</v>
      </c>
      <c r="Q35" s="98">
        <v>12.67</v>
      </c>
      <c r="R35" s="98">
        <v>1147.5</v>
      </c>
      <c r="S35" s="98">
        <v>89.49</v>
      </c>
      <c r="T35" s="98">
        <v>9.51</v>
      </c>
      <c r="U35" s="98">
        <v>12.18</v>
      </c>
      <c r="V35" s="98">
        <v>12.67</v>
      </c>
      <c r="W35" s="98">
        <v>131.16</v>
      </c>
      <c r="X35" s="98">
        <v>16.57</v>
      </c>
      <c r="Y35" s="98">
        <v>3.21</v>
      </c>
      <c r="Z35" s="99">
        <v>6.98</v>
      </c>
    </row>
    <row r="36" spans="1:26" ht="15" customHeight="1" x14ac:dyDescent="0.25">
      <c r="A36" s="74" t="str">
        <f t="shared" ref="A36:A48" si="13">CONCATENATE(F36,"x",(IF(H36=INT(H36),CONCATENATE(H36,",",0),H36)))</f>
        <v>Z300x2,0</v>
      </c>
      <c r="B36" s="10" t="str">
        <f t="shared" ref="B36:B42" si="14">LEFT(G36,3)</f>
        <v>300</v>
      </c>
      <c r="C36" s="88">
        <f t="shared" ref="C36:C48" si="15">VALUE(MID(G36,(SEARCH("/",G36,1)+1),(SEARCH("/",G36,(SEARCH("/",G36,1)+1))-SEARCH("/",G36,1)-1)))</f>
        <v>85</v>
      </c>
      <c r="D36" s="88">
        <f t="shared" ref="D36:D48" si="16">VALUE(MID(G36,(SEARCH("/",G36,(SEARCH("/",G36,1)+1))+1),(SEARCH("/",G36,SEARCH("/",G36,(SEARCH("/",G36,1)+1))+1))-(SEARCH("/",G36,(SEARCH("/",G36,1)+1))+1)))</f>
        <v>93</v>
      </c>
      <c r="E36" s="89">
        <f t="shared" ref="E36:E48" si="17">VALUE(MID(G36,(SEARCH("/",G36,SEARCH("/",G36,(SEARCH("/",G36,1)+1))+1)+1),4))</f>
        <v>29.5</v>
      </c>
      <c r="F36" s="9" t="str">
        <f t="shared" ref="F36:F48" si="18">CONCATENATE("Z",LEFT(G36,3))</f>
        <v>Z300</v>
      </c>
      <c r="G36" s="80" t="s">
        <v>43</v>
      </c>
      <c r="H36" s="116">
        <v>2</v>
      </c>
      <c r="I36" s="94">
        <v>8.17</v>
      </c>
      <c r="J36" s="94">
        <v>5.19</v>
      </c>
      <c r="K36" s="94">
        <v>3.73</v>
      </c>
      <c r="L36" s="94">
        <v>8.9</v>
      </c>
      <c r="M36" s="94">
        <v>1206.3</v>
      </c>
      <c r="N36" s="94">
        <v>71.61</v>
      </c>
      <c r="O36" s="94">
        <v>11.63</v>
      </c>
      <c r="P36" s="94">
        <v>13.16</v>
      </c>
      <c r="Q36" s="94">
        <v>8.84</v>
      </c>
      <c r="R36" s="94">
        <v>1188.8900000000001</v>
      </c>
      <c r="S36" s="94">
        <v>72.180000000000007</v>
      </c>
      <c r="T36" s="94">
        <v>11.55</v>
      </c>
      <c r="U36" s="94">
        <v>16.47</v>
      </c>
      <c r="V36" s="94">
        <v>10.199999999999999</v>
      </c>
      <c r="W36" s="94">
        <v>158.19999999999999</v>
      </c>
      <c r="X36" s="94">
        <v>17.399999999999999</v>
      </c>
      <c r="Y36" s="94">
        <v>3.93</v>
      </c>
      <c r="Z36" s="95">
        <v>8.5</v>
      </c>
    </row>
    <row r="37" spans="1:26" ht="15" customHeight="1" x14ac:dyDescent="0.25">
      <c r="A37" s="72" t="str">
        <f t="shared" si="13"/>
        <v>Z300x2,5</v>
      </c>
      <c r="B37" s="11" t="str">
        <f t="shared" si="14"/>
        <v>300</v>
      </c>
      <c r="C37" s="90">
        <f t="shared" si="15"/>
        <v>86</v>
      </c>
      <c r="D37" s="90">
        <f t="shared" si="16"/>
        <v>94</v>
      </c>
      <c r="E37" s="90">
        <f t="shared" si="17"/>
        <v>30</v>
      </c>
      <c r="F37" s="134" t="str">
        <f t="shared" si="18"/>
        <v>Z300</v>
      </c>
      <c r="G37" s="81" t="s">
        <v>44</v>
      </c>
      <c r="H37" s="117">
        <v>2.5</v>
      </c>
      <c r="I37" s="96">
        <v>10.220000000000001</v>
      </c>
      <c r="J37" s="96">
        <v>7.69</v>
      </c>
      <c r="K37" s="96">
        <v>3.71</v>
      </c>
      <c r="L37" s="96">
        <v>12</v>
      </c>
      <c r="M37" s="96">
        <v>1623.05</v>
      </c>
      <c r="N37" s="96">
        <v>101.26</v>
      </c>
      <c r="O37" s="96">
        <v>11.62</v>
      </c>
      <c r="P37" s="96">
        <v>13.97</v>
      </c>
      <c r="Q37" s="96">
        <v>11.95</v>
      </c>
      <c r="R37" s="96">
        <v>1605.21</v>
      </c>
      <c r="S37" s="96">
        <v>102.52</v>
      </c>
      <c r="T37" s="96">
        <v>11.58</v>
      </c>
      <c r="U37" s="96">
        <v>15.65</v>
      </c>
      <c r="V37" s="96">
        <v>12.82</v>
      </c>
      <c r="W37" s="96">
        <v>206.98</v>
      </c>
      <c r="X37" s="96">
        <v>22.54</v>
      </c>
      <c r="Y37" s="96">
        <v>4.01</v>
      </c>
      <c r="Z37" s="97">
        <v>8.57</v>
      </c>
    </row>
    <row r="38" spans="1:26" ht="15" customHeight="1" x14ac:dyDescent="0.25">
      <c r="A38" s="72" t="str">
        <f t="shared" si="13"/>
        <v>Z300x3,0</v>
      </c>
      <c r="B38" s="11" t="str">
        <f t="shared" si="14"/>
        <v>300</v>
      </c>
      <c r="C38" s="90">
        <f t="shared" si="15"/>
        <v>87</v>
      </c>
      <c r="D38" s="90">
        <f t="shared" si="16"/>
        <v>95</v>
      </c>
      <c r="E38" s="90">
        <f t="shared" si="17"/>
        <v>30.5</v>
      </c>
      <c r="F38" s="134" t="str">
        <f t="shared" si="18"/>
        <v>Z300</v>
      </c>
      <c r="G38" s="81" t="s">
        <v>45</v>
      </c>
      <c r="H38" s="117">
        <v>3</v>
      </c>
      <c r="I38" s="96">
        <v>12.28</v>
      </c>
      <c r="J38" s="96">
        <v>10.24</v>
      </c>
      <c r="K38" s="96">
        <v>3.65</v>
      </c>
      <c r="L38" s="96">
        <v>15.22</v>
      </c>
      <c r="M38" s="96">
        <v>2035.25</v>
      </c>
      <c r="N38" s="96">
        <v>131.52000000000001</v>
      </c>
      <c r="O38" s="96">
        <v>11.56</v>
      </c>
      <c r="P38" s="96">
        <v>14.53</v>
      </c>
      <c r="Q38" s="96">
        <v>15.19</v>
      </c>
      <c r="R38" s="96">
        <v>2029.17</v>
      </c>
      <c r="S38" s="96">
        <v>134.83000000000001</v>
      </c>
      <c r="T38" s="96">
        <v>11.55</v>
      </c>
      <c r="U38" s="96">
        <v>15.04</v>
      </c>
      <c r="V38" s="96">
        <v>15.62</v>
      </c>
      <c r="W38" s="96">
        <v>260.05</v>
      </c>
      <c r="X38" s="96">
        <v>27.5</v>
      </c>
      <c r="Y38" s="96">
        <v>4.08</v>
      </c>
      <c r="Z38" s="97">
        <v>8.73</v>
      </c>
    </row>
    <row r="39" spans="1:26" ht="15" customHeight="1" thickBot="1" x14ac:dyDescent="0.3">
      <c r="A39" s="73" t="str">
        <f t="shared" si="13"/>
        <v>Z300x3,5</v>
      </c>
      <c r="B39" s="12" t="str">
        <f t="shared" si="14"/>
        <v>300</v>
      </c>
      <c r="C39" s="92">
        <f t="shared" si="15"/>
        <v>88</v>
      </c>
      <c r="D39" s="92">
        <f t="shared" si="16"/>
        <v>96</v>
      </c>
      <c r="E39" s="91">
        <f t="shared" si="17"/>
        <v>31</v>
      </c>
      <c r="F39" s="135" t="str">
        <f t="shared" si="18"/>
        <v>Z300</v>
      </c>
      <c r="G39" s="82" t="s">
        <v>46</v>
      </c>
      <c r="H39" s="118">
        <v>3.5</v>
      </c>
      <c r="I39" s="98">
        <v>14.35</v>
      </c>
      <c r="J39" s="98">
        <v>12.63</v>
      </c>
      <c r="K39" s="98">
        <v>3.6</v>
      </c>
      <c r="L39" s="98">
        <v>18.27</v>
      </c>
      <c r="M39" s="98">
        <v>2411.48</v>
      </c>
      <c r="N39" s="98">
        <v>158.36000000000001</v>
      </c>
      <c r="O39" s="98">
        <v>11.48</v>
      </c>
      <c r="P39" s="98">
        <v>14.77</v>
      </c>
      <c r="Q39" s="98">
        <v>18.27</v>
      </c>
      <c r="R39" s="98">
        <v>2411.48</v>
      </c>
      <c r="S39" s="98">
        <v>158.36000000000001</v>
      </c>
      <c r="T39" s="98">
        <v>11.48</v>
      </c>
      <c r="U39" s="98">
        <v>14.77</v>
      </c>
      <c r="V39" s="98">
        <v>18.27</v>
      </c>
      <c r="W39" s="98">
        <v>309.25</v>
      </c>
      <c r="X39" s="98">
        <v>32.21</v>
      </c>
      <c r="Y39" s="98">
        <v>4.1100000000000003</v>
      </c>
      <c r="Z39" s="99">
        <v>8.8000000000000007</v>
      </c>
    </row>
    <row r="40" spans="1:26" ht="15" customHeight="1" x14ac:dyDescent="0.25">
      <c r="A40" s="74" t="str">
        <f t="shared" si="13"/>
        <v>Z350x2,0</v>
      </c>
      <c r="B40" s="10" t="str">
        <f t="shared" si="14"/>
        <v>350</v>
      </c>
      <c r="C40" s="88">
        <f t="shared" si="15"/>
        <v>85</v>
      </c>
      <c r="D40" s="88">
        <f t="shared" si="16"/>
        <v>93</v>
      </c>
      <c r="E40" s="89">
        <f t="shared" si="17"/>
        <v>29.5</v>
      </c>
      <c r="F40" s="9" t="str">
        <f t="shared" si="18"/>
        <v>Z350</v>
      </c>
      <c r="G40" s="80" t="s">
        <v>47</v>
      </c>
      <c r="H40" s="116">
        <v>2</v>
      </c>
      <c r="I40" s="94">
        <v>8.9600000000000009</v>
      </c>
      <c r="J40" s="94">
        <v>5.21</v>
      </c>
      <c r="K40" s="94">
        <v>3.52</v>
      </c>
      <c r="L40" s="94">
        <v>9.42</v>
      </c>
      <c r="M40" s="94">
        <v>1693.23</v>
      </c>
      <c r="N40" s="94">
        <v>84.68</v>
      </c>
      <c r="O40" s="94">
        <v>13.4</v>
      </c>
      <c r="P40" s="94">
        <v>15.01</v>
      </c>
      <c r="Q40" s="94">
        <v>9.36</v>
      </c>
      <c r="R40" s="94">
        <v>1670.37</v>
      </c>
      <c r="S40" s="94">
        <v>85.32</v>
      </c>
      <c r="T40" s="94">
        <v>13.3</v>
      </c>
      <c r="U40" s="94">
        <v>19.579999999999998</v>
      </c>
      <c r="V40" s="94">
        <v>11.19</v>
      </c>
      <c r="W40" s="94">
        <v>158.22</v>
      </c>
      <c r="X40" s="94">
        <v>17.350000000000001</v>
      </c>
      <c r="Y40" s="94">
        <v>3.75</v>
      </c>
      <c r="Z40" s="95">
        <v>8.49</v>
      </c>
    </row>
    <row r="41" spans="1:26" ht="15" customHeight="1" x14ac:dyDescent="0.25">
      <c r="A41" s="72" t="str">
        <f t="shared" si="13"/>
        <v>Z350x2,5</v>
      </c>
      <c r="B41" s="11" t="str">
        <f t="shared" si="14"/>
        <v>350</v>
      </c>
      <c r="C41" s="90">
        <f t="shared" si="15"/>
        <v>86</v>
      </c>
      <c r="D41" s="90">
        <f t="shared" si="16"/>
        <v>94</v>
      </c>
      <c r="E41" s="90">
        <f t="shared" si="17"/>
        <v>30</v>
      </c>
      <c r="F41" s="134" t="str">
        <f t="shared" si="18"/>
        <v>Z350</v>
      </c>
      <c r="G41" s="81" t="s">
        <v>48</v>
      </c>
      <c r="H41" s="117">
        <v>2.5</v>
      </c>
      <c r="I41" s="96">
        <v>11.21</v>
      </c>
      <c r="J41" s="96">
        <v>7.72</v>
      </c>
      <c r="K41" s="96">
        <v>3.5</v>
      </c>
      <c r="L41" s="96">
        <v>12.67</v>
      </c>
      <c r="M41" s="96">
        <v>2283.4299999999998</v>
      </c>
      <c r="N41" s="96">
        <v>119.77</v>
      </c>
      <c r="O41" s="96">
        <v>13.42</v>
      </c>
      <c r="P41" s="96">
        <v>15.94</v>
      </c>
      <c r="Q41" s="96">
        <v>12.63</v>
      </c>
      <c r="R41" s="96">
        <v>2261.44</v>
      </c>
      <c r="S41" s="96">
        <v>121.23</v>
      </c>
      <c r="T41" s="96">
        <v>13.37</v>
      </c>
      <c r="U41" s="96">
        <v>18.649999999999999</v>
      </c>
      <c r="V41" s="96">
        <v>14.07</v>
      </c>
      <c r="W41" s="96">
        <v>207.2</v>
      </c>
      <c r="X41" s="96">
        <v>22.54</v>
      </c>
      <c r="Y41" s="96">
        <v>3.83</v>
      </c>
      <c r="Z41" s="97">
        <v>8.56</v>
      </c>
    </row>
    <row r="42" spans="1:26" ht="15" customHeight="1" x14ac:dyDescent="0.25">
      <c r="A42" s="72" t="str">
        <f t="shared" si="13"/>
        <v>Z350x3,0</v>
      </c>
      <c r="B42" s="11" t="str">
        <f t="shared" si="14"/>
        <v>350</v>
      </c>
      <c r="C42" s="90">
        <f t="shared" si="15"/>
        <v>87</v>
      </c>
      <c r="D42" s="90">
        <f t="shared" si="16"/>
        <v>95</v>
      </c>
      <c r="E42" s="90">
        <f t="shared" si="17"/>
        <v>30.5</v>
      </c>
      <c r="F42" s="134" t="str">
        <f t="shared" si="18"/>
        <v>Z350</v>
      </c>
      <c r="G42" s="81" t="s">
        <v>49</v>
      </c>
      <c r="H42" s="117">
        <v>3</v>
      </c>
      <c r="I42" s="96">
        <v>13.46</v>
      </c>
      <c r="J42" s="96">
        <v>10.29</v>
      </c>
      <c r="K42" s="96">
        <v>3.44</v>
      </c>
      <c r="L42" s="96">
        <v>16.05</v>
      </c>
      <c r="M42" s="96">
        <v>2868.1</v>
      </c>
      <c r="N42" s="96">
        <v>155.62</v>
      </c>
      <c r="O42" s="96">
        <v>13.36</v>
      </c>
      <c r="P42" s="96">
        <v>16.57</v>
      </c>
      <c r="Q42" s="96">
        <v>16.04</v>
      </c>
      <c r="R42" s="96">
        <v>2864.87</v>
      </c>
      <c r="S42" s="96">
        <v>159.61000000000001</v>
      </c>
      <c r="T42" s="96">
        <v>13.36</v>
      </c>
      <c r="U42" s="96">
        <v>17.95</v>
      </c>
      <c r="V42" s="96">
        <v>17.14</v>
      </c>
      <c r="W42" s="96">
        <v>260.22000000000003</v>
      </c>
      <c r="X42" s="96">
        <v>27.46</v>
      </c>
      <c r="Y42" s="96">
        <v>3.89</v>
      </c>
      <c r="Z42" s="97">
        <v>8.7100000000000009</v>
      </c>
    </row>
    <row r="43" spans="1:26" ht="15" customHeight="1" thickBot="1" x14ac:dyDescent="0.3">
      <c r="A43" s="73" t="str">
        <f t="shared" si="13"/>
        <v>Z350x3,5</v>
      </c>
      <c r="B43" s="12" t="str">
        <f t="shared" ref="B43:B48" si="19">LEFT(G43,3)</f>
        <v>350</v>
      </c>
      <c r="C43" s="91">
        <f t="shared" si="15"/>
        <v>88</v>
      </c>
      <c r="D43" s="91">
        <f t="shared" si="16"/>
        <v>96</v>
      </c>
      <c r="E43" s="92">
        <f t="shared" si="17"/>
        <v>31</v>
      </c>
      <c r="F43" s="136" t="str">
        <f t="shared" si="18"/>
        <v>Z350</v>
      </c>
      <c r="G43" s="82" t="s">
        <v>50</v>
      </c>
      <c r="H43" s="118">
        <v>3.5</v>
      </c>
      <c r="I43" s="98">
        <v>15.72</v>
      </c>
      <c r="J43" s="98">
        <v>12.72</v>
      </c>
      <c r="K43" s="98">
        <v>3.39</v>
      </c>
      <c r="L43" s="98">
        <v>19.45</v>
      </c>
      <c r="M43" s="98">
        <v>3421.82</v>
      </c>
      <c r="N43" s="98">
        <v>189.63</v>
      </c>
      <c r="O43" s="98">
        <v>13.26</v>
      </c>
      <c r="P43" s="98">
        <v>16.96</v>
      </c>
      <c r="Q43" s="98">
        <v>19.46</v>
      </c>
      <c r="R43" s="98">
        <v>3426.93</v>
      </c>
      <c r="S43" s="98">
        <v>195.27</v>
      </c>
      <c r="T43" s="98">
        <v>13.26</v>
      </c>
      <c r="U43" s="98">
        <v>17.54</v>
      </c>
      <c r="V43" s="98">
        <v>20.02</v>
      </c>
      <c r="W43" s="98">
        <v>309.32</v>
      </c>
      <c r="X43" s="98">
        <v>32.17</v>
      </c>
      <c r="Y43" s="98">
        <v>3.93</v>
      </c>
      <c r="Z43" s="99">
        <v>8.7899999999999991</v>
      </c>
    </row>
    <row r="44" spans="1:26" ht="15" customHeight="1" x14ac:dyDescent="0.25">
      <c r="A44" s="74" t="str">
        <f t="shared" si="13"/>
        <v>Z400x2,0</v>
      </c>
      <c r="B44" s="13" t="str">
        <f t="shared" si="19"/>
        <v>400</v>
      </c>
      <c r="C44" s="89">
        <f t="shared" si="15"/>
        <v>85</v>
      </c>
      <c r="D44" s="89">
        <f t="shared" si="16"/>
        <v>93</v>
      </c>
      <c r="E44" s="88">
        <f t="shared" si="17"/>
        <v>29.5</v>
      </c>
      <c r="F44" s="133" t="str">
        <f t="shared" si="18"/>
        <v>Z400</v>
      </c>
      <c r="G44" s="83" t="s">
        <v>51</v>
      </c>
      <c r="H44" s="116">
        <v>2</v>
      </c>
      <c r="I44" s="100">
        <v>9.74</v>
      </c>
      <c r="J44" s="100">
        <v>5.22</v>
      </c>
      <c r="K44" s="100">
        <v>3.33</v>
      </c>
      <c r="L44" s="100">
        <v>9.93</v>
      </c>
      <c r="M44" s="100">
        <v>2271.15</v>
      </c>
      <c r="N44" s="100">
        <v>97.87</v>
      </c>
      <c r="O44" s="100">
        <v>15.11</v>
      </c>
      <c r="P44" s="100">
        <v>16.8</v>
      </c>
      <c r="Q44" s="100">
        <v>9.8699999999999992</v>
      </c>
      <c r="R44" s="100">
        <v>2242.27</v>
      </c>
      <c r="S44" s="100">
        <v>98.57</v>
      </c>
      <c r="T44" s="100">
        <v>14.99</v>
      </c>
      <c r="U44" s="100">
        <v>22.75</v>
      </c>
      <c r="V44" s="100">
        <v>12.19</v>
      </c>
      <c r="W44" s="100">
        <v>158.26</v>
      </c>
      <c r="X44" s="100">
        <v>17.309999999999999</v>
      </c>
      <c r="Y44" s="100">
        <v>3.6</v>
      </c>
      <c r="Z44" s="101">
        <v>8.49</v>
      </c>
    </row>
    <row r="45" spans="1:26" ht="15" customHeight="1" x14ac:dyDescent="0.25">
      <c r="A45" s="72" t="str">
        <f t="shared" si="13"/>
        <v>Z400x2,5</v>
      </c>
      <c r="B45" s="11" t="str">
        <f t="shared" si="19"/>
        <v>400</v>
      </c>
      <c r="C45" s="90">
        <f t="shared" si="15"/>
        <v>86</v>
      </c>
      <c r="D45" s="90">
        <f t="shared" si="16"/>
        <v>94</v>
      </c>
      <c r="E45" s="90">
        <f t="shared" si="17"/>
        <v>30</v>
      </c>
      <c r="F45" s="134" t="str">
        <f t="shared" si="18"/>
        <v>Z400</v>
      </c>
      <c r="G45" s="81" t="s">
        <v>52</v>
      </c>
      <c r="H45" s="119">
        <v>2.5</v>
      </c>
      <c r="I45" s="96">
        <v>12.19</v>
      </c>
      <c r="J45" s="96">
        <v>7.74</v>
      </c>
      <c r="K45" s="96">
        <v>3.31</v>
      </c>
      <c r="L45" s="96">
        <v>13.32</v>
      </c>
      <c r="M45" s="96">
        <v>3069.31</v>
      </c>
      <c r="N45" s="96">
        <v>138.44999999999999</v>
      </c>
      <c r="O45" s="96">
        <v>15.17</v>
      </c>
      <c r="P45" s="96">
        <v>17.829999999999998</v>
      </c>
      <c r="Q45" s="96">
        <v>13.28</v>
      </c>
      <c r="R45" s="96">
        <v>3043.38</v>
      </c>
      <c r="S45" s="96">
        <v>140.12</v>
      </c>
      <c r="T45" s="96">
        <v>15.12</v>
      </c>
      <c r="U45" s="96">
        <v>21.72</v>
      </c>
      <c r="V45" s="96">
        <v>15.33</v>
      </c>
      <c r="W45" s="96">
        <v>207.31</v>
      </c>
      <c r="X45" s="96">
        <v>22.55</v>
      </c>
      <c r="Y45" s="96">
        <v>3.67</v>
      </c>
      <c r="Z45" s="97">
        <v>8.56</v>
      </c>
    </row>
    <row r="46" spans="1:26" ht="15" customHeight="1" x14ac:dyDescent="0.25">
      <c r="A46" s="72" t="str">
        <f t="shared" si="13"/>
        <v>Z400x3,0</v>
      </c>
      <c r="B46" s="11" t="str">
        <f t="shared" si="19"/>
        <v>400</v>
      </c>
      <c r="C46" s="90">
        <f t="shared" si="15"/>
        <v>87</v>
      </c>
      <c r="D46" s="90">
        <f t="shared" si="16"/>
        <v>95</v>
      </c>
      <c r="E46" s="90">
        <f t="shared" si="17"/>
        <v>30.5</v>
      </c>
      <c r="F46" s="134" t="str">
        <f t="shared" si="18"/>
        <v>Z400</v>
      </c>
      <c r="G46" s="81" t="s">
        <v>53</v>
      </c>
      <c r="H46" s="117">
        <v>3</v>
      </c>
      <c r="I46" s="96">
        <v>14.64</v>
      </c>
      <c r="J46" s="96">
        <v>10.33</v>
      </c>
      <c r="K46" s="96">
        <v>3.25</v>
      </c>
      <c r="L46" s="96">
        <v>16.86</v>
      </c>
      <c r="M46" s="96">
        <v>3861.62</v>
      </c>
      <c r="N46" s="96">
        <v>179.97</v>
      </c>
      <c r="O46" s="96">
        <v>15.13</v>
      </c>
      <c r="P46" s="96">
        <v>18.54</v>
      </c>
      <c r="Q46" s="96">
        <v>16.87</v>
      </c>
      <c r="R46" s="96">
        <v>3863.46</v>
      </c>
      <c r="S46" s="96">
        <v>184.54</v>
      </c>
      <c r="T46" s="96">
        <v>15.13</v>
      </c>
      <c r="U46" s="96">
        <v>20.93</v>
      </c>
      <c r="V46" s="96">
        <v>18.64</v>
      </c>
      <c r="W46" s="96">
        <v>260.52</v>
      </c>
      <c r="X46" s="96">
        <v>27.43</v>
      </c>
      <c r="Y46" s="96">
        <v>3.73</v>
      </c>
      <c r="Z46" s="97">
        <v>8.6999999999999993</v>
      </c>
    </row>
    <row r="47" spans="1:26" ht="15" customHeight="1" x14ac:dyDescent="0.25">
      <c r="A47" s="72" t="str">
        <f t="shared" si="13"/>
        <v>Z400x3,5</v>
      </c>
      <c r="B47" s="11" t="str">
        <f t="shared" si="19"/>
        <v>400</v>
      </c>
      <c r="C47" s="90">
        <f t="shared" si="15"/>
        <v>88</v>
      </c>
      <c r="D47" s="90">
        <f t="shared" si="16"/>
        <v>96</v>
      </c>
      <c r="E47" s="90">
        <f t="shared" si="17"/>
        <v>31</v>
      </c>
      <c r="F47" s="134" t="str">
        <f t="shared" si="18"/>
        <v>Z400</v>
      </c>
      <c r="G47" s="81" t="s">
        <v>54</v>
      </c>
      <c r="H47" s="117">
        <v>3.5</v>
      </c>
      <c r="I47" s="96">
        <v>17.09</v>
      </c>
      <c r="J47" s="96">
        <v>12.78</v>
      </c>
      <c r="K47" s="96">
        <v>3.21</v>
      </c>
      <c r="L47" s="96">
        <v>20.420000000000002</v>
      </c>
      <c r="M47" s="96">
        <v>4613.2</v>
      </c>
      <c r="N47" s="96">
        <v>219.49</v>
      </c>
      <c r="O47" s="96">
        <v>15.02</v>
      </c>
      <c r="P47" s="96">
        <v>18.98</v>
      </c>
      <c r="Q47" s="96">
        <v>20.46</v>
      </c>
      <c r="R47" s="96">
        <v>4627.84</v>
      </c>
      <c r="S47" s="96">
        <v>226.1</v>
      </c>
      <c r="T47" s="96">
        <v>15.03</v>
      </c>
      <c r="U47" s="96">
        <v>20.47</v>
      </c>
      <c r="V47" s="96">
        <v>21.77</v>
      </c>
      <c r="W47" s="96">
        <v>309.38</v>
      </c>
      <c r="X47" s="96">
        <v>32.130000000000003</v>
      </c>
      <c r="Y47" s="96">
        <v>3.76</v>
      </c>
      <c r="Z47" s="97">
        <v>8.77</v>
      </c>
    </row>
    <row r="48" spans="1:26" ht="15" customHeight="1" thickBot="1" x14ac:dyDescent="0.3">
      <c r="A48" s="73" t="str">
        <f t="shared" si="13"/>
        <v>Z400x4,0</v>
      </c>
      <c r="B48" s="12" t="str">
        <f t="shared" si="19"/>
        <v>400</v>
      </c>
      <c r="C48" s="91">
        <f t="shared" si="15"/>
        <v>89</v>
      </c>
      <c r="D48" s="92">
        <f t="shared" si="16"/>
        <v>97</v>
      </c>
      <c r="E48" s="91">
        <f t="shared" si="17"/>
        <v>31.5</v>
      </c>
      <c r="F48" s="135" t="str">
        <f t="shared" si="18"/>
        <v>Z400</v>
      </c>
      <c r="G48" s="82" t="s">
        <v>55</v>
      </c>
      <c r="H48" s="118">
        <v>4</v>
      </c>
      <c r="I48" s="98">
        <v>19.55</v>
      </c>
      <c r="J48" s="98">
        <v>15.35</v>
      </c>
      <c r="K48" s="98">
        <v>3.17</v>
      </c>
      <c r="L48" s="98">
        <v>24.17</v>
      </c>
      <c r="M48" s="98">
        <v>5386.66</v>
      </c>
      <c r="N48" s="98">
        <v>261.32</v>
      </c>
      <c r="O48" s="98">
        <v>14.92</v>
      </c>
      <c r="P48" s="98">
        <v>19.39</v>
      </c>
      <c r="Q48" s="98">
        <v>24.18</v>
      </c>
      <c r="R48" s="98">
        <v>5394.63</v>
      </c>
      <c r="S48" s="98">
        <v>268.52999999999997</v>
      </c>
      <c r="T48" s="98">
        <v>14.93</v>
      </c>
      <c r="U48" s="98">
        <v>20.09</v>
      </c>
      <c r="V48" s="98">
        <v>24.9</v>
      </c>
      <c r="W48" s="98">
        <v>359.6</v>
      </c>
      <c r="X48" s="98">
        <v>36.869999999999997</v>
      </c>
      <c r="Y48" s="98">
        <v>3.79</v>
      </c>
      <c r="Z48" s="99">
        <v>8.85</v>
      </c>
    </row>
    <row r="49" spans="4:4" ht="15" customHeight="1" x14ac:dyDescent="0.25">
      <c r="D49" s="167"/>
    </row>
  </sheetData>
  <mergeCells count="33">
    <mergeCell ref="L4:Z4"/>
    <mergeCell ref="L5:U5"/>
    <mergeCell ref="V5:Z6"/>
    <mergeCell ref="R7:R8"/>
    <mergeCell ref="S7:S8"/>
    <mergeCell ref="U7:U8"/>
    <mergeCell ref="M7:M8"/>
    <mergeCell ref="N7:N8"/>
    <mergeCell ref="P7:P8"/>
    <mergeCell ref="L7:L8"/>
    <mergeCell ref="O7:O8"/>
    <mergeCell ref="Q6:U6"/>
    <mergeCell ref="L6:P6"/>
    <mergeCell ref="Z7:Z8"/>
    <mergeCell ref="Q7:Q8"/>
    <mergeCell ref="T7:T8"/>
    <mergeCell ref="F4:G6"/>
    <mergeCell ref="F7:F10"/>
    <mergeCell ref="J7:J8"/>
    <mergeCell ref="A4:A10"/>
    <mergeCell ref="B4:B10"/>
    <mergeCell ref="C4:C10"/>
    <mergeCell ref="D4:D10"/>
    <mergeCell ref="E4:E10"/>
    <mergeCell ref="H4:H10"/>
    <mergeCell ref="I4:I9"/>
    <mergeCell ref="J4:K6"/>
    <mergeCell ref="K7:K8"/>
    <mergeCell ref="V7:V8"/>
    <mergeCell ref="W7:W8"/>
    <mergeCell ref="X7:X8"/>
    <mergeCell ref="Y7:Y8"/>
    <mergeCell ref="G7:G10"/>
  </mergeCell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"/>
  <sheetViews>
    <sheetView zoomScale="80" zoomScaleNormal="80" workbookViewId="0">
      <selection activeCell="C2" sqref="C2:Z2"/>
    </sheetView>
  </sheetViews>
  <sheetFormatPr defaultColWidth="8.85546875" defaultRowHeight="15" customHeight="1" x14ac:dyDescent="0.25"/>
  <cols>
    <col min="1" max="1" width="12.7109375" style="153" customWidth="1"/>
    <col min="2" max="5" width="6.7109375" style="153" customWidth="1"/>
    <col min="6" max="6" width="8.7109375" style="153" customWidth="1"/>
    <col min="7" max="7" width="15.7109375" style="153" customWidth="1"/>
    <col min="8" max="26" width="8.7109375" style="153" customWidth="1"/>
    <col min="27" max="16384" width="8.85546875" style="153"/>
  </cols>
  <sheetData>
    <row r="1" spans="1:26" ht="15" customHeight="1" thickBot="1" x14ac:dyDescent="0.3">
      <c r="A1" s="110">
        <v>450</v>
      </c>
    </row>
    <row r="2" spans="1:26" ht="15" customHeight="1" thickBot="1" x14ac:dyDescent="0.3">
      <c r="A2" s="79" t="str">
        <f>Сводная!A22</f>
        <v>Z250x2,5</v>
      </c>
      <c r="B2" s="93" t="str">
        <f>INDEX(B11:B48,MATCH($A$2,$A$11:$A$48))</f>
        <v>250</v>
      </c>
      <c r="C2" s="105">
        <f t="shared" ref="C2:Z2" si="0">INDEX(C11:C48,MATCH($A$2,$A$11:$A$48))</f>
        <v>68</v>
      </c>
      <c r="D2" s="105">
        <f t="shared" si="0"/>
        <v>79</v>
      </c>
      <c r="E2" s="105">
        <f t="shared" si="0"/>
        <v>22</v>
      </c>
      <c r="F2" s="93" t="str">
        <f t="shared" si="0"/>
        <v>Z250</v>
      </c>
      <c r="G2" s="93" t="str">
        <f t="shared" si="0"/>
        <v>250/68/79/22</v>
      </c>
      <c r="H2" s="105">
        <f t="shared" si="0"/>
        <v>2.5</v>
      </c>
      <c r="I2" s="103">
        <f t="shared" si="0"/>
        <v>8.2799999999999994</v>
      </c>
      <c r="J2" s="103">
        <f t="shared" si="0"/>
        <v>6.7</v>
      </c>
      <c r="K2" s="103">
        <f t="shared" si="0"/>
        <v>2.88</v>
      </c>
      <c r="L2" s="103">
        <f t="shared" si="0"/>
        <v>10.130000000000001</v>
      </c>
      <c r="M2" s="103">
        <f t="shared" si="0"/>
        <v>933.95</v>
      </c>
      <c r="N2" s="103">
        <f t="shared" si="0"/>
        <v>71.17</v>
      </c>
      <c r="O2" s="103">
        <f t="shared" si="0"/>
        <v>9.59</v>
      </c>
      <c r="P2" s="103">
        <f t="shared" si="0"/>
        <v>11.88</v>
      </c>
      <c r="Q2" s="103">
        <f t="shared" si="0"/>
        <v>10.11</v>
      </c>
      <c r="R2" s="103">
        <f t="shared" si="0"/>
        <v>929.18</v>
      </c>
      <c r="S2" s="103">
        <f t="shared" si="0"/>
        <v>74.28</v>
      </c>
      <c r="T2" s="103">
        <f t="shared" si="0"/>
        <v>9.58</v>
      </c>
      <c r="U2" s="103">
        <f t="shared" si="0"/>
        <v>12.51</v>
      </c>
      <c r="V2" s="103">
        <f t="shared" si="0"/>
        <v>10.51</v>
      </c>
      <c r="W2" s="103">
        <f t="shared" si="0"/>
        <v>106.39</v>
      </c>
      <c r="X2" s="103">
        <f t="shared" si="0"/>
        <v>13.73</v>
      </c>
      <c r="Y2" s="103">
        <f t="shared" si="0"/>
        <v>3.18</v>
      </c>
      <c r="Z2" s="104">
        <f t="shared" si="0"/>
        <v>6.91</v>
      </c>
    </row>
    <row r="3" spans="1:26" ht="15" customHeight="1" thickBot="1" x14ac:dyDescent="0.3"/>
    <row r="4" spans="1:26" ht="15" customHeight="1" x14ac:dyDescent="0.25">
      <c r="A4" s="361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04" t="s">
        <v>165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26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26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 t="s">
        <v>18</v>
      </c>
      <c r="R6" s="345"/>
      <c r="S6" s="345"/>
      <c r="T6" s="345"/>
      <c r="U6" s="345"/>
      <c r="V6" s="345"/>
      <c r="W6" s="345"/>
      <c r="X6" s="345"/>
      <c r="Y6" s="345"/>
      <c r="Z6" s="357"/>
    </row>
    <row r="7" spans="1:26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 t="s">
        <v>21</v>
      </c>
      <c r="R7" s="364" t="s">
        <v>3</v>
      </c>
      <c r="S7" s="364" t="s">
        <v>156</v>
      </c>
      <c r="T7" s="364" t="s">
        <v>20</v>
      </c>
      <c r="U7" s="381" t="s">
        <v>168</v>
      </c>
      <c r="V7" s="364" t="s">
        <v>21</v>
      </c>
      <c r="W7" s="381" t="s">
        <v>3</v>
      </c>
      <c r="X7" s="364" t="s">
        <v>156</v>
      </c>
      <c r="Y7" s="364" t="s">
        <v>20</v>
      </c>
      <c r="Z7" s="400" t="s">
        <v>168</v>
      </c>
    </row>
    <row r="8" spans="1:26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401"/>
    </row>
    <row r="9" spans="1:26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 t="s">
        <v>172</v>
      </c>
      <c r="R9" s="154" t="s">
        <v>174</v>
      </c>
      <c r="S9" s="154" t="s">
        <v>175</v>
      </c>
      <c r="T9" s="154" t="s">
        <v>176</v>
      </c>
      <c r="U9" s="154" t="s">
        <v>177</v>
      </c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26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 t="s">
        <v>182</v>
      </c>
      <c r="R10" s="156" t="s">
        <v>183</v>
      </c>
      <c r="S10" s="156" t="s">
        <v>184</v>
      </c>
      <c r="T10" s="156" t="s">
        <v>6</v>
      </c>
      <c r="U10" s="156" t="s">
        <v>6</v>
      </c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26" ht="15" customHeight="1" x14ac:dyDescent="0.25">
      <c r="A11" s="144" t="str">
        <f t="shared" ref="A11:A12" si="1">CONCATENATE(F11,"x",(IF(H11=INT(H11),CONCATENATE(H11,",",0),H11)))</f>
        <v>Z140x1,0</v>
      </c>
      <c r="B11" s="145" t="str">
        <f t="shared" ref="B11:B12" si="2">LEFT(G11,3)</f>
        <v>140</v>
      </c>
      <c r="C11" s="146">
        <f t="shared" ref="C11:C12" si="3">VALUE(MID(G11,(SEARCH("/",G11,1)+1),(SEARCH("/",G11,(SEARCH("/",G11,1)+1))-SEARCH("/",G11,1)-1)))</f>
        <v>59.5</v>
      </c>
      <c r="D11" s="146">
        <f t="shared" ref="D11:D12" si="4">VALUE(MID(G11,(SEARCH("/",G11,(SEARCH("/",G11,1)+1))+1),(SEARCH("/",G11,SEARCH("/",G11,(SEARCH("/",G11,1)+1))+1))-(SEARCH("/",G11,(SEARCH("/",G11,1)+1))+1)))</f>
        <v>65.5</v>
      </c>
      <c r="E11" s="146">
        <f t="shared" ref="E11:E12" si="5">VALUE(MID(G11,(SEARCH("/",G11,SEARCH("/",G11,(SEARCH("/",G11,1)+1))+1)+1),4))</f>
        <v>20</v>
      </c>
      <c r="F11" s="158" t="str">
        <f t="shared" ref="F11:F12" si="6">CONCATENATE("Z",LEFT(G11,3))</f>
        <v>Z140</v>
      </c>
      <c r="G11" s="159" t="s">
        <v>27</v>
      </c>
      <c r="H11" s="160">
        <v>1</v>
      </c>
      <c r="I11" s="161">
        <v>2.38</v>
      </c>
      <c r="J11" s="161">
        <v>1.33</v>
      </c>
      <c r="K11" s="161">
        <v>3.02</v>
      </c>
      <c r="L11" s="161">
        <v>2.42</v>
      </c>
      <c r="M11" s="161">
        <v>74.290000000000006</v>
      </c>
      <c r="N11" s="161">
        <v>9.06</v>
      </c>
      <c r="O11" s="161">
        <v>5.53</v>
      </c>
      <c r="P11" s="161">
        <v>5.8</v>
      </c>
      <c r="Q11" s="161">
        <v>2.37</v>
      </c>
      <c r="R11" s="161">
        <v>72.61</v>
      </c>
      <c r="S11" s="161">
        <v>9.01</v>
      </c>
      <c r="T11" s="161">
        <v>5.52</v>
      </c>
      <c r="U11" s="161">
        <v>8.0500000000000007</v>
      </c>
      <c r="V11" s="161">
        <v>2.59</v>
      </c>
      <c r="W11" s="161">
        <v>22.02</v>
      </c>
      <c r="X11" s="161">
        <v>3.21</v>
      </c>
      <c r="Y11" s="161">
        <v>2.91</v>
      </c>
      <c r="Z11" s="162">
        <v>5.54</v>
      </c>
    </row>
    <row r="12" spans="1:26" ht="15" customHeight="1" x14ac:dyDescent="0.25">
      <c r="A12" s="147" t="str">
        <f t="shared" si="1"/>
        <v>Z140x1,2</v>
      </c>
      <c r="B12" s="148" t="str">
        <f t="shared" si="2"/>
        <v>140</v>
      </c>
      <c r="C12" s="149">
        <f t="shared" si="3"/>
        <v>59.5</v>
      </c>
      <c r="D12" s="149">
        <f t="shared" si="4"/>
        <v>65.5</v>
      </c>
      <c r="E12" s="149">
        <f t="shared" si="5"/>
        <v>20</v>
      </c>
      <c r="F12" s="154" t="str">
        <f t="shared" si="6"/>
        <v>Z140</v>
      </c>
      <c r="G12" s="155" t="s">
        <v>27</v>
      </c>
      <c r="H12" s="164">
        <v>1.2</v>
      </c>
      <c r="I12" s="165">
        <v>2.83</v>
      </c>
      <c r="J12" s="165">
        <v>1.86</v>
      </c>
      <c r="K12" s="165">
        <v>3.01</v>
      </c>
      <c r="L12" s="165">
        <v>3.08</v>
      </c>
      <c r="M12" s="165">
        <v>94.97</v>
      </c>
      <c r="N12" s="165">
        <v>12.08</v>
      </c>
      <c r="O12" s="165">
        <v>5.54</v>
      </c>
      <c r="P12" s="165">
        <v>6.14</v>
      </c>
      <c r="Q12" s="165">
        <v>3.02</v>
      </c>
      <c r="R12" s="165">
        <v>92.81</v>
      </c>
      <c r="S12" s="165">
        <v>12.05</v>
      </c>
      <c r="T12" s="165">
        <v>5.53</v>
      </c>
      <c r="U12" s="165">
        <v>7.7</v>
      </c>
      <c r="V12" s="165">
        <v>3.2</v>
      </c>
      <c r="W12" s="165">
        <v>28.34</v>
      </c>
      <c r="X12" s="165">
        <v>4.22</v>
      </c>
      <c r="Y12" s="165">
        <v>2.97</v>
      </c>
      <c r="Z12" s="166">
        <v>5.67</v>
      </c>
    </row>
    <row r="13" spans="1:26" ht="15" customHeight="1" x14ac:dyDescent="0.25">
      <c r="A13" s="72" t="str">
        <f>CONCATENATE(F13,"x",(IF(H13=INT(H13),CONCATENATE(H13,",",0),H13)))</f>
        <v>Z140x1,5</v>
      </c>
      <c r="B13" s="11" t="str">
        <f>LEFT(G13,3)</f>
        <v>140</v>
      </c>
      <c r="C13" s="90">
        <f>VALUE(MID(G13,(SEARCH("/",G13,1)+1),(SEARCH("/",G13,(SEARCH("/",G13,1)+1))-SEARCH("/",G13,1)-1)))</f>
        <v>59.5</v>
      </c>
      <c r="D13" s="90">
        <f>VALUE(MID(G13,(SEARCH("/",G13,(SEARCH("/",G13,1)+1))+1),(SEARCH("/",G13,SEARCH("/",G13,(SEARCH("/",G13,1)+1))+1))-(SEARCH("/",G13,(SEARCH("/",G13,1)+1))+1)))</f>
        <v>65.5</v>
      </c>
      <c r="E13" s="90">
        <f>VALUE(MID(G13,(SEARCH("/",G13,SEARCH("/",G13,(SEARCH("/",G13,1)+1))+1)+1),4))</f>
        <v>20</v>
      </c>
      <c r="F13" s="134" t="str">
        <f>CONCATENATE("Z",LEFT(G13,3))</f>
        <v>Z140</v>
      </c>
      <c r="G13" s="81" t="s">
        <v>27</v>
      </c>
      <c r="H13" s="117">
        <v>1.5</v>
      </c>
      <c r="I13" s="96">
        <v>3.42</v>
      </c>
      <c r="J13" s="96">
        <v>2.78</v>
      </c>
      <c r="K13" s="96">
        <v>2.99</v>
      </c>
      <c r="L13" s="96">
        <v>4.12</v>
      </c>
      <c r="M13" s="96">
        <v>126.87</v>
      </c>
      <c r="N13" s="96">
        <v>16.97</v>
      </c>
      <c r="O13" s="96">
        <v>5.54</v>
      </c>
      <c r="P13" s="96">
        <v>6.53</v>
      </c>
      <c r="Q13" s="96">
        <v>4.08</v>
      </c>
      <c r="R13" s="96">
        <v>124.61</v>
      </c>
      <c r="S13" s="96">
        <v>17.14</v>
      </c>
      <c r="T13" s="96">
        <v>5.52</v>
      </c>
      <c r="U13" s="96">
        <v>7.26</v>
      </c>
      <c r="V13" s="96">
        <v>4.3</v>
      </c>
      <c r="W13" s="96">
        <v>40.75</v>
      </c>
      <c r="X13" s="96">
        <v>6.36</v>
      </c>
      <c r="Y13" s="96">
        <v>3.07</v>
      </c>
      <c r="Z13" s="97">
        <v>6</v>
      </c>
    </row>
    <row r="14" spans="1:26" ht="15" customHeight="1" x14ac:dyDescent="0.25">
      <c r="A14" s="72" t="str">
        <f>CONCATENATE(F14,"x",(IF(H14=INT(H14),CONCATENATE(H14,",",0),H14)))</f>
        <v>Z140x2,0</v>
      </c>
      <c r="B14" s="11" t="str">
        <f t="shared" ref="B14:B35" si="7">LEFT(G14,3)</f>
        <v>140</v>
      </c>
      <c r="C14" s="90">
        <f t="shared" ref="C14:C35" si="8">VALUE(MID(G14,(SEARCH("/",G14,1)+1),(SEARCH("/",G14,(SEARCH("/",G14,1)+1))-SEARCH("/",G14,1)-1)))</f>
        <v>59.5</v>
      </c>
      <c r="D14" s="90">
        <f t="shared" ref="D14:D35" si="9">VALUE(MID(G14,(SEARCH("/",G14,(SEARCH("/",G14,1)+1))+1),(SEARCH("/",G14,SEARCH("/",G14,(SEARCH("/",G14,1)+1))+1))-(SEARCH("/",G14,(SEARCH("/",G14,1)+1))+1)))</f>
        <v>65.5</v>
      </c>
      <c r="E14" s="90">
        <f t="shared" ref="E14:E35" si="10">VALUE(MID(G14,(SEARCH("/",G14,SEARCH("/",G14,(SEARCH("/",G14,1)+1))+1)+1),4))</f>
        <v>20.5</v>
      </c>
      <c r="F14" s="134" t="str">
        <f t="shared" ref="F14:F35" si="11">CONCATENATE("Z",LEFT(G14,3))</f>
        <v>Z140</v>
      </c>
      <c r="G14" s="81" t="s">
        <v>28</v>
      </c>
      <c r="H14" s="121">
        <v>2</v>
      </c>
      <c r="I14" s="96">
        <v>4.54</v>
      </c>
      <c r="J14" s="96">
        <v>4.45</v>
      </c>
      <c r="K14" s="96">
        <v>2.87</v>
      </c>
      <c r="L14" s="96">
        <v>5.78</v>
      </c>
      <c r="M14" s="96">
        <v>178.2</v>
      </c>
      <c r="N14" s="96">
        <v>24.94</v>
      </c>
      <c r="O14" s="96">
        <v>5.54</v>
      </c>
      <c r="P14" s="96">
        <v>6.86</v>
      </c>
      <c r="Q14" s="96">
        <v>5.73</v>
      </c>
      <c r="R14" s="96">
        <v>175.52</v>
      </c>
      <c r="S14" s="96">
        <v>24.81</v>
      </c>
      <c r="T14" s="96">
        <v>5.53</v>
      </c>
      <c r="U14" s="96">
        <v>6.93</v>
      </c>
      <c r="V14" s="96">
        <v>5.72</v>
      </c>
      <c r="W14" s="96">
        <v>54.26</v>
      </c>
      <c r="X14" s="96">
        <v>8.4700000000000006</v>
      </c>
      <c r="Y14" s="96">
        <v>3.08</v>
      </c>
      <c r="Z14" s="97">
        <v>5.98</v>
      </c>
    </row>
    <row r="15" spans="1:26" ht="15" customHeight="1" x14ac:dyDescent="0.25">
      <c r="A15" s="72" t="str">
        <f>CONCATENATE(F15,"x",(IF(H15=INT(H15),CONCATENATE(H15,",",0),H15)))</f>
        <v>Z140x2,5</v>
      </c>
      <c r="B15" s="11" t="str">
        <f t="shared" si="7"/>
        <v>140</v>
      </c>
      <c r="C15" s="90">
        <f t="shared" si="8"/>
        <v>59.5</v>
      </c>
      <c r="D15" s="90">
        <f t="shared" si="9"/>
        <v>65.5</v>
      </c>
      <c r="E15" s="90">
        <f t="shared" si="10"/>
        <v>21</v>
      </c>
      <c r="F15" s="134" t="str">
        <f t="shared" si="11"/>
        <v>Z140</v>
      </c>
      <c r="G15" s="81" t="s">
        <v>29</v>
      </c>
      <c r="H15" s="117">
        <v>2.5</v>
      </c>
      <c r="I15" s="96">
        <v>5.65</v>
      </c>
      <c r="J15" s="96">
        <v>5.97</v>
      </c>
      <c r="K15" s="96">
        <v>2.76</v>
      </c>
      <c r="L15" s="96">
        <v>7.19</v>
      </c>
      <c r="M15" s="96">
        <v>219.52</v>
      </c>
      <c r="N15" s="96">
        <v>30.73</v>
      </c>
      <c r="O15" s="96">
        <v>5.52</v>
      </c>
      <c r="P15" s="96">
        <v>6.86</v>
      </c>
      <c r="Q15" s="96">
        <v>7.19</v>
      </c>
      <c r="R15" s="96">
        <v>219.52</v>
      </c>
      <c r="S15" s="96">
        <v>30.73</v>
      </c>
      <c r="T15" s="96">
        <v>5.52</v>
      </c>
      <c r="U15" s="96">
        <v>6.86</v>
      </c>
      <c r="V15" s="96">
        <v>7.19</v>
      </c>
      <c r="W15" s="96">
        <v>67.59</v>
      </c>
      <c r="X15" s="96">
        <v>10.37</v>
      </c>
      <c r="Y15" s="96">
        <v>3.06</v>
      </c>
      <c r="Z15" s="97">
        <v>5.99</v>
      </c>
    </row>
    <row r="16" spans="1:26" ht="15" customHeight="1" thickBot="1" x14ac:dyDescent="0.3">
      <c r="A16" s="73" t="str">
        <f>CONCATENATE(F16,"x",(IF(H16=INT(H16),CONCATENATE(H16,",",0),H16)))</f>
        <v>Z140x3,0</v>
      </c>
      <c r="B16" s="12" t="str">
        <f t="shared" si="7"/>
        <v>140</v>
      </c>
      <c r="C16" s="91">
        <f t="shared" si="8"/>
        <v>59.5</v>
      </c>
      <c r="D16" s="91">
        <f t="shared" si="9"/>
        <v>65.5</v>
      </c>
      <c r="E16" s="91">
        <f t="shared" si="10"/>
        <v>22</v>
      </c>
      <c r="F16" s="135" t="str">
        <f t="shared" si="11"/>
        <v>Z140</v>
      </c>
      <c r="G16" s="82" t="s">
        <v>30</v>
      </c>
      <c r="H16" s="118">
        <v>3</v>
      </c>
      <c r="I16" s="98">
        <v>6.77</v>
      </c>
      <c r="J16" s="98">
        <v>7.55</v>
      </c>
      <c r="K16" s="98">
        <v>2.68</v>
      </c>
      <c r="L16" s="98">
        <v>8.6199999999999992</v>
      </c>
      <c r="M16" s="98">
        <v>260.29000000000002</v>
      </c>
      <c r="N16" s="98">
        <v>36.44</v>
      </c>
      <c r="O16" s="98">
        <v>5.49</v>
      </c>
      <c r="P16" s="98">
        <v>6.86</v>
      </c>
      <c r="Q16" s="98">
        <v>8.6199999999999992</v>
      </c>
      <c r="R16" s="98">
        <v>260.29000000000002</v>
      </c>
      <c r="S16" s="98">
        <v>36.44</v>
      </c>
      <c r="T16" s="98">
        <v>5.49</v>
      </c>
      <c r="U16" s="98">
        <v>6.86</v>
      </c>
      <c r="V16" s="98">
        <v>8.6199999999999992</v>
      </c>
      <c r="W16" s="98">
        <v>80.790000000000006</v>
      </c>
      <c r="X16" s="98">
        <v>12.35</v>
      </c>
      <c r="Y16" s="98">
        <v>3.06</v>
      </c>
      <c r="Z16" s="99">
        <v>5.96</v>
      </c>
    </row>
    <row r="17" spans="1:26" ht="15" customHeight="1" x14ac:dyDescent="0.25">
      <c r="A17" s="71" t="str">
        <f t="shared" ref="A17:A35" si="12">CONCATENATE(F17,"x",(IF(H17=INT(H17),CONCATENATE(H17,",",0),H17)))</f>
        <v>Z160x1,0</v>
      </c>
      <c r="B17" s="10" t="str">
        <f t="shared" si="7"/>
        <v>160</v>
      </c>
      <c r="C17" s="88">
        <f t="shared" si="8"/>
        <v>59.5</v>
      </c>
      <c r="D17" s="88">
        <f t="shared" si="9"/>
        <v>65.5</v>
      </c>
      <c r="E17" s="88">
        <f t="shared" si="10"/>
        <v>20</v>
      </c>
      <c r="F17" s="133" t="str">
        <f t="shared" si="11"/>
        <v>Z160</v>
      </c>
      <c r="G17" s="80" t="s">
        <v>31</v>
      </c>
      <c r="H17" s="116">
        <v>1</v>
      </c>
      <c r="I17" s="94">
        <v>2.54</v>
      </c>
      <c r="J17" s="94">
        <v>1.34</v>
      </c>
      <c r="K17" s="94">
        <v>2.92</v>
      </c>
      <c r="L17" s="94">
        <v>2.52</v>
      </c>
      <c r="M17" s="94">
        <v>99.48</v>
      </c>
      <c r="N17" s="94">
        <v>10.49</v>
      </c>
      <c r="O17" s="94">
        <v>6.27</v>
      </c>
      <c r="P17" s="94">
        <v>6.52</v>
      </c>
      <c r="Q17" s="94">
        <v>2.48</v>
      </c>
      <c r="R17" s="94">
        <v>97.37</v>
      </c>
      <c r="S17" s="94">
        <v>10.47</v>
      </c>
      <c r="T17" s="94">
        <v>6.26</v>
      </c>
      <c r="U17" s="94">
        <v>9.3000000000000007</v>
      </c>
      <c r="V17" s="94">
        <v>2.79</v>
      </c>
      <c r="W17" s="94">
        <v>22.04</v>
      </c>
      <c r="X17" s="94">
        <v>3.22</v>
      </c>
      <c r="Y17" s="94">
        <v>2.8</v>
      </c>
      <c r="Z17" s="95">
        <v>5.57</v>
      </c>
    </row>
    <row r="18" spans="1:26" ht="15" customHeight="1" x14ac:dyDescent="0.25">
      <c r="A18" s="72" t="str">
        <f t="shared" si="12"/>
        <v>Z160x1,2</v>
      </c>
      <c r="B18" s="11" t="str">
        <f t="shared" si="7"/>
        <v>160</v>
      </c>
      <c r="C18" s="90">
        <f t="shared" si="8"/>
        <v>59.5</v>
      </c>
      <c r="D18" s="90">
        <f t="shared" si="9"/>
        <v>65.5</v>
      </c>
      <c r="E18" s="90">
        <f t="shared" si="10"/>
        <v>20</v>
      </c>
      <c r="F18" s="134" t="str">
        <f t="shared" si="11"/>
        <v>Z160</v>
      </c>
      <c r="G18" s="81" t="s">
        <v>31</v>
      </c>
      <c r="H18" s="117">
        <v>1.2</v>
      </c>
      <c r="I18" s="96">
        <v>3.02</v>
      </c>
      <c r="J18" s="96">
        <v>1.87</v>
      </c>
      <c r="K18" s="96">
        <v>2.88</v>
      </c>
      <c r="L18" s="96">
        <v>3.2</v>
      </c>
      <c r="M18" s="96">
        <v>127.31</v>
      </c>
      <c r="N18" s="96">
        <v>13.99</v>
      </c>
      <c r="O18" s="96">
        <v>6.29</v>
      </c>
      <c r="P18" s="96">
        <v>6.9</v>
      </c>
      <c r="Q18" s="96">
        <v>3.15</v>
      </c>
      <c r="R18" s="96">
        <v>124.62</v>
      </c>
      <c r="S18" s="96">
        <v>13.97</v>
      </c>
      <c r="T18" s="96">
        <v>6.28</v>
      </c>
      <c r="U18" s="96">
        <v>8.92</v>
      </c>
      <c r="V18" s="96">
        <v>3.44</v>
      </c>
      <c r="W18" s="96">
        <v>28.35</v>
      </c>
      <c r="X18" s="96">
        <v>4.2300000000000004</v>
      </c>
      <c r="Y18" s="96">
        <v>2.87</v>
      </c>
      <c r="Z18" s="97">
        <v>5.69</v>
      </c>
    </row>
    <row r="19" spans="1:26" ht="15" customHeight="1" x14ac:dyDescent="0.25">
      <c r="A19" s="72" t="str">
        <f t="shared" si="12"/>
        <v>Z160x1,5</v>
      </c>
      <c r="B19" s="11" t="str">
        <f t="shared" si="7"/>
        <v>160</v>
      </c>
      <c r="C19" s="90">
        <f t="shared" si="8"/>
        <v>59.5</v>
      </c>
      <c r="D19" s="90">
        <f t="shared" si="9"/>
        <v>65.5</v>
      </c>
      <c r="E19" s="90">
        <f t="shared" si="10"/>
        <v>20</v>
      </c>
      <c r="F19" s="134" t="str">
        <f t="shared" si="11"/>
        <v>Z160</v>
      </c>
      <c r="G19" s="81" t="s">
        <v>31</v>
      </c>
      <c r="H19" s="117">
        <v>1.5</v>
      </c>
      <c r="I19" s="96">
        <v>3.66</v>
      </c>
      <c r="J19" s="96">
        <v>2.79</v>
      </c>
      <c r="K19" s="96">
        <v>2.87</v>
      </c>
      <c r="L19" s="96">
        <v>4.28</v>
      </c>
      <c r="M19" s="96">
        <v>170.35</v>
      </c>
      <c r="N19" s="96">
        <v>19.68</v>
      </c>
      <c r="O19" s="96">
        <v>6.3</v>
      </c>
      <c r="P19" s="96">
        <v>7.35</v>
      </c>
      <c r="Q19" s="96">
        <v>4.26</v>
      </c>
      <c r="R19" s="96">
        <v>167.48</v>
      </c>
      <c r="S19" s="96">
        <v>19.88</v>
      </c>
      <c r="T19" s="96">
        <v>6.26</v>
      </c>
      <c r="U19" s="96">
        <v>8.42</v>
      </c>
      <c r="V19" s="96">
        <v>4.5999999999999996</v>
      </c>
      <c r="W19" s="96">
        <v>40.75</v>
      </c>
      <c r="X19" s="96">
        <v>6.34</v>
      </c>
      <c r="Y19" s="96">
        <v>2.97</v>
      </c>
      <c r="Z19" s="97">
        <v>5.99</v>
      </c>
    </row>
    <row r="20" spans="1:26" ht="15" customHeight="1" x14ac:dyDescent="0.25">
      <c r="A20" s="72" t="str">
        <f t="shared" si="12"/>
        <v>Z160x2,0</v>
      </c>
      <c r="B20" s="11" t="str">
        <f t="shared" si="7"/>
        <v>160</v>
      </c>
      <c r="C20" s="90">
        <f t="shared" si="8"/>
        <v>59.5</v>
      </c>
      <c r="D20" s="90">
        <f t="shared" si="9"/>
        <v>65.5</v>
      </c>
      <c r="E20" s="90">
        <f t="shared" si="10"/>
        <v>20.5</v>
      </c>
      <c r="F20" s="134" t="str">
        <f t="shared" si="11"/>
        <v>Z160</v>
      </c>
      <c r="G20" s="81" t="s">
        <v>32</v>
      </c>
      <c r="H20" s="117">
        <v>2</v>
      </c>
      <c r="I20" s="96">
        <v>4.8600000000000003</v>
      </c>
      <c r="J20" s="96">
        <v>4.47</v>
      </c>
      <c r="K20" s="96">
        <v>2.75</v>
      </c>
      <c r="L20" s="96">
        <v>6.18</v>
      </c>
      <c r="M20" s="96">
        <v>243.39</v>
      </c>
      <c r="N20" s="96">
        <v>29.85</v>
      </c>
      <c r="O20" s="96">
        <v>6.27</v>
      </c>
      <c r="P20" s="96">
        <v>7.85</v>
      </c>
      <c r="Q20" s="96">
        <v>6.13</v>
      </c>
      <c r="R20" s="96">
        <v>239.86</v>
      </c>
      <c r="S20" s="96">
        <v>29.68</v>
      </c>
      <c r="T20" s="96">
        <v>6.25</v>
      </c>
      <c r="U20" s="96">
        <v>7.92</v>
      </c>
      <c r="V20" s="96">
        <v>6.13</v>
      </c>
      <c r="W20" s="96">
        <v>54.3</v>
      </c>
      <c r="X20" s="96">
        <v>8.4600000000000009</v>
      </c>
      <c r="Y20" s="96">
        <v>2.98</v>
      </c>
      <c r="Z20" s="97">
        <v>5.97</v>
      </c>
    </row>
    <row r="21" spans="1:26" ht="15" customHeight="1" x14ac:dyDescent="0.25">
      <c r="A21" s="72" t="str">
        <f t="shared" si="12"/>
        <v>Z160x2,5</v>
      </c>
      <c r="B21" s="11" t="str">
        <f t="shared" si="7"/>
        <v>160</v>
      </c>
      <c r="C21" s="90">
        <f t="shared" si="8"/>
        <v>59.5</v>
      </c>
      <c r="D21" s="90">
        <f t="shared" si="9"/>
        <v>65.5</v>
      </c>
      <c r="E21" s="90">
        <f t="shared" si="10"/>
        <v>21</v>
      </c>
      <c r="F21" s="134" t="str">
        <f t="shared" si="11"/>
        <v>Z160</v>
      </c>
      <c r="G21" s="81" t="s">
        <v>33</v>
      </c>
      <c r="H21" s="117">
        <v>2.5</v>
      </c>
      <c r="I21" s="96">
        <v>6.04</v>
      </c>
      <c r="J21" s="96">
        <v>6.02</v>
      </c>
      <c r="K21" s="96">
        <v>2.65</v>
      </c>
      <c r="L21" s="96">
        <v>7.69</v>
      </c>
      <c r="M21" s="96">
        <v>300.24</v>
      </c>
      <c r="N21" s="96">
        <v>36.82</v>
      </c>
      <c r="O21" s="96">
        <v>6.24</v>
      </c>
      <c r="P21" s="96">
        <v>7.85</v>
      </c>
      <c r="Q21" s="96">
        <v>7.69</v>
      </c>
      <c r="R21" s="96">
        <v>300.24</v>
      </c>
      <c r="S21" s="96">
        <v>36.82</v>
      </c>
      <c r="T21" s="96">
        <v>6.24</v>
      </c>
      <c r="U21" s="96">
        <v>7.85</v>
      </c>
      <c r="V21" s="96">
        <v>7.69</v>
      </c>
      <c r="W21" s="96">
        <v>67.599999999999994</v>
      </c>
      <c r="X21" s="96">
        <v>10.36</v>
      </c>
      <c r="Y21" s="96">
        <v>2.96</v>
      </c>
      <c r="Z21" s="97">
        <v>5.98</v>
      </c>
    </row>
    <row r="22" spans="1:26" ht="15" customHeight="1" thickBot="1" x14ac:dyDescent="0.3">
      <c r="A22" s="73" t="str">
        <f t="shared" si="12"/>
        <v>Z160x3,0</v>
      </c>
      <c r="B22" s="12" t="str">
        <f t="shared" si="7"/>
        <v>160</v>
      </c>
      <c r="C22" s="91">
        <f t="shared" si="8"/>
        <v>59.5</v>
      </c>
      <c r="D22" s="91">
        <f t="shared" si="9"/>
        <v>65.5</v>
      </c>
      <c r="E22" s="91">
        <f t="shared" si="10"/>
        <v>22</v>
      </c>
      <c r="F22" s="135" t="str">
        <f t="shared" si="11"/>
        <v>Z160</v>
      </c>
      <c r="G22" s="82" t="s">
        <v>34</v>
      </c>
      <c r="H22" s="118">
        <v>3</v>
      </c>
      <c r="I22" s="98">
        <v>7.24</v>
      </c>
      <c r="J22" s="98">
        <v>7.65</v>
      </c>
      <c r="K22" s="98">
        <v>2.56</v>
      </c>
      <c r="L22" s="98">
        <v>9.2200000000000006</v>
      </c>
      <c r="M22" s="98">
        <v>356.55</v>
      </c>
      <c r="N22" s="98">
        <v>43.73</v>
      </c>
      <c r="O22" s="98">
        <v>6.21</v>
      </c>
      <c r="P22" s="98">
        <v>7.85</v>
      </c>
      <c r="Q22" s="98">
        <v>9.2200000000000006</v>
      </c>
      <c r="R22" s="98">
        <v>356.55</v>
      </c>
      <c r="S22" s="98">
        <v>43.73</v>
      </c>
      <c r="T22" s="98">
        <v>6.21</v>
      </c>
      <c r="U22" s="98">
        <v>7.85</v>
      </c>
      <c r="V22" s="98">
        <v>9.2200000000000006</v>
      </c>
      <c r="W22" s="98">
        <v>80.81</v>
      </c>
      <c r="X22" s="98">
        <v>12.34</v>
      </c>
      <c r="Y22" s="98">
        <v>2.95</v>
      </c>
      <c r="Z22" s="99">
        <v>5.95</v>
      </c>
    </row>
    <row r="23" spans="1:26" ht="15" customHeight="1" x14ac:dyDescent="0.25">
      <c r="A23" s="71" t="str">
        <f t="shared" si="12"/>
        <v>Z200x1,0</v>
      </c>
      <c r="B23" s="10" t="str">
        <f t="shared" si="7"/>
        <v>200</v>
      </c>
      <c r="C23" s="88">
        <f t="shared" si="8"/>
        <v>59.5</v>
      </c>
      <c r="D23" s="88">
        <f t="shared" si="9"/>
        <v>65.5</v>
      </c>
      <c r="E23" s="88">
        <f t="shared" si="10"/>
        <v>20</v>
      </c>
      <c r="F23" s="133" t="str">
        <f t="shared" si="11"/>
        <v>Z200</v>
      </c>
      <c r="G23" s="80" t="s">
        <v>35</v>
      </c>
      <c r="H23" s="116">
        <v>1</v>
      </c>
      <c r="I23" s="94">
        <v>2.87</v>
      </c>
      <c r="J23" s="94">
        <v>1.34</v>
      </c>
      <c r="K23" s="94">
        <v>2.72</v>
      </c>
      <c r="L23" s="94">
        <v>2.72</v>
      </c>
      <c r="M23" s="94">
        <v>161.81</v>
      </c>
      <c r="N23" s="94">
        <v>13.39</v>
      </c>
      <c r="O23" s="94">
        <v>7.7</v>
      </c>
      <c r="P23" s="94">
        <v>7.92</v>
      </c>
      <c r="Q23" s="94">
        <v>2.68</v>
      </c>
      <c r="R23" s="94">
        <v>158.76</v>
      </c>
      <c r="S23" s="94">
        <v>13.37</v>
      </c>
      <c r="T23" s="94">
        <v>7.69</v>
      </c>
      <c r="U23" s="94">
        <v>11.87</v>
      </c>
      <c r="V23" s="94">
        <v>3.19</v>
      </c>
      <c r="W23" s="94">
        <v>22.08</v>
      </c>
      <c r="X23" s="94">
        <v>3.25</v>
      </c>
      <c r="Y23" s="94">
        <v>2.62</v>
      </c>
      <c r="Z23" s="95">
        <v>5.61</v>
      </c>
    </row>
    <row r="24" spans="1:26" ht="15" customHeight="1" x14ac:dyDescent="0.25">
      <c r="A24" s="72" t="str">
        <f t="shared" si="12"/>
        <v>Z200x1,2</v>
      </c>
      <c r="B24" s="11" t="str">
        <f t="shared" si="7"/>
        <v>200</v>
      </c>
      <c r="C24" s="90">
        <f t="shared" si="8"/>
        <v>59.5</v>
      </c>
      <c r="D24" s="90">
        <f t="shared" si="9"/>
        <v>65.5</v>
      </c>
      <c r="E24" s="90">
        <f t="shared" si="10"/>
        <v>20</v>
      </c>
      <c r="F24" s="134" t="str">
        <f t="shared" si="11"/>
        <v>Z200</v>
      </c>
      <c r="G24" s="81" t="s">
        <v>35</v>
      </c>
      <c r="H24" s="117">
        <v>1.2</v>
      </c>
      <c r="I24" s="96">
        <v>3.41</v>
      </c>
      <c r="J24" s="96">
        <v>1.88</v>
      </c>
      <c r="K24" s="96">
        <v>2.66</v>
      </c>
      <c r="L24" s="96">
        <v>3.45</v>
      </c>
      <c r="M24" s="96">
        <v>207.56</v>
      </c>
      <c r="N24" s="96">
        <v>17.86</v>
      </c>
      <c r="O24" s="96">
        <v>7.75</v>
      </c>
      <c r="P24" s="96">
        <v>8.3800000000000008</v>
      </c>
      <c r="Q24" s="96">
        <v>3.4</v>
      </c>
      <c r="R24" s="96">
        <v>203.69</v>
      </c>
      <c r="S24" s="96">
        <v>17.850000000000001</v>
      </c>
      <c r="T24" s="96">
        <v>7.73</v>
      </c>
      <c r="U24" s="96">
        <v>11.41</v>
      </c>
      <c r="V24" s="96">
        <v>3.92</v>
      </c>
      <c r="W24" s="96">
        <v>28.37</v>
      </c>
      <c r="X24" s="96">
        <v>4.25</v>
      </c>
      <c r="Y24" s="96">
        <v>2.68</v>
      </c>
      <c r="Z24" s="97">
        <v>5.71</v>
      </c>
    </row>
    <row r="25" spans="1:26" ht="15" customHeight="1" x14ac:dyDescent="0.25">
      <c r="A25" s="72" t="str">
        <f t="shared" si="12"/>
        <v>Z200x1,5</v>
      </c>
      <c r="B25" s="11" t="str">
        <f t="shared" si="7"/>
        <v>200</v>
      </c>
      <c r="C25" s="90">
        <f t="shared" si="8"/>
        <v>59.5</v>
      </c>
      <c r="D25" s="90">
        <f t="shared" si="9"/>
        <v>65.5</v>
      </c>
      <c r="E25" s="90">
        <f t="shared" si="10"/>
        <v>20</v>
      </c>
      <c r="F25" s="134" t="str">
        <f t="shared" si="11"/>
        <v>Z200</v>
      </c>
      <c r="G25" s="81" t="s">
        <v>35</v>
      </c>
      <c r="H25" s="117">
        <v>1.5</v>
      </c>
      <c r="I25" s="96">
        <v>4.13</v>
      </c>
      <c r="J25" s="96">
        <v>2.8</v>
      </c>
      <c r="K25" s="96">
        <v>2.66</v>
      </c>
      <c r="L25" s="96">
        <v>4.6100000000000003</v>
      </c>
      <c r="M25" s="96">
        <v>278.64</v>
      </c>
      <c r="N25" s="96">
        <v>25.14</v>
      </c>
      <c r="O25" s="96">
        <v>7.77</v>
      </c>
      <c r="P25" s="96">
        <v>8.92</v>
      </c>
      <c r="Q25" s="96">
        <v>4.57</v>
      </c>
      <c r="R25" s="96">
        <v>274.42</v>
      </c>
      <c r="S25" s="96">
        <v>25.39</v>
      </c>
      <c r="T25" s="96">
        <v>7.72</v>
      </c>
      <c r="U25" s="96">
        <v>10.81</v>
      </c>
      <c r="V25" s="96">
        <v>5.2</v>
      </c>
      <c r="W25" s="96">
        <v>40.75</v>
      </c>
      <c r="X25" s="96">
        <v>6.32</v>
      </c>
      <c r="Y25" s="96">
        <v>2.79</v>
      </c>
      <c r="Z25" s="97">
        <v>5.98</v>
      </c>
    </row>
    <row r="26" spans="1:26" ht="15" customHeight="1" x14ac:dyDescent="0.25">
      <c r="A26" s="72" t="str">
        <f t="shared" si="12"/>
        <v>Z200x2,0</v>
      </c>
      <c r="B26" s="11" t="str">
        <f t="shared" si="7"/>
        <v>200</v>
      </c>
      <c r="C26" s="90">
        <f t="shared" si="8"/>
        <v>59.5</v>
      </c>
      <c r="D26" s="90">
        <f t="shared" si="9"/>
        <v>65.5</v>
      </c>
      <c r="E26" s="90">
        <f t="shared" si="10"/>
        <v>20.5</v>
      </c>
      <c r="F26" s="134" t="str">
        <f t="shared" si="11"/>
        <v>Z200</v>
      </c>
      <c r="G26" s="81" t="s">
        <v>36</v>
      </c>
      <c r="H26" s="117">
        <v>2</v>
      </c>
      <c r="I26" s="96">
        <v>5.49</v>
      </c>
      <c r="J26" s="96">
        <v>4.51</v>
      </c>
      <c r="K26" s="96">
        <v>2.5499999999999998</v>
      </c>
      <c r="L26" s="96">
        <v>6.74</v>
      </c>
      <c r="M26" s="96">
        <v>403.01</v>
      </c>
      <c r="N26" s="96">
        <v>38.81</v>
      </c>
      <c r="O26" s="96">
        <v>7.73</v>
      </c>
      <c r="P26" s="96">
        <v>9.6199999999999992</v>
      </c>
      <c r="Q26" s="96">
        <v>6.7</v>
      </c>
      <c r="R26" s="96">
        <v>398.6</v>
      </c>
      <c r="S26" s="96">
        <v>39.43</v>
      </c>
      <c r="T26" s="96">
        <v>7.7</v>
      </c>
      <c r="U26" s="96">
        <v>10.1</v>
      </c>
      <c r="V26" s="96">
        <v>6.93</v>
      </c>
      <c r="W26" s="96">
        <v>54.39</v>
      </c>
      <c r="X26" s="96">
        <v>8.44</v>
      </c>
      <c r="Y26" s="96">
        <v>2.8</v>
      </c>
      <c r="Z26" s="97">
        <v>5.96</v>
      </c>
    </row>
    <row r="27" spans="1:26" ht="15" customHeight="1" x14ac:dyDescent="0.25">
      <c r="A27" s="72" t="str">
        <f t="shared" si="12"/>
        <v>Z200x2,5</v>
      </c>
      <c r="B27" s="11" t="str">
        <f t="shared" si="7"/>
        <v>200</v>
      </c>
      <c r="C27" s="90">
        <f t="shared" si="8"/>
        <v>59.5</v>
      </c>
      <c r="D27" s="90">
        <f t="shared" si="9"/>
        <v>65.5</v>
      </c>
      <c r="E27" s="90">
        <f t="shared" si="10"/>
        <v>21</v>
      </c>
      <c r="F27" s="134" t="str">
        <f t="shared" si="11"/>
        <v>Z200</v>
      </c>
      <c r="G27" s="81" t="s">
        <v>37</v>
      </c>
      <c r="H27" s="117">
        <v>2.5</v>
      </c>
      <c r="I27" s="96">
        <v>6.83</v>
      </c>
      <c r="J27" s="96">
        <v>6.1</v>
      </c>
      <c r="K27" s="96">
        <v>2.44</v>
      </c>
      <c r="L27" s="96">
        <v>8.69</v>
      </c>
      <c r="M27" s="96">
        <v>508.87</v>
      </c>
      <c r="N27" s="96">
        <v>50.03</v>
      </c>
      <c r="O27" s="96">
        <v>7.64</v>
      </c>
      <c r="P27" s="96">
        <v>9.83</v>
      </c>
      <c r="Q27" s="96">
        <v>8.69</v>
      </c>
      <c r="R27" s="96">
        <v>508.87</v>
      </c>
      <c r="S27" s="96">
        <v>50.03</v>
      </c>
      <c r="T27" s="96">
        <v>7.64</v>
      </c>
      <c r="U27" s="96">
        <v>9.83</v>
      </c>
      <c r="V27" s="96">
        <v>8.69</v>
      </c>
      <c r="W27" s="96">
        <v>67.63</v>
      </c>
      <c r="X27" s="96">
        <v>10.33</v>
      </c>
      <c r="Y27" s="96">
        <v>2.78</v>
      </c>
      <c r="Z27" s="97">
        <v>5.96</v>
      </c>
    </row>
    <row r="28" spans="1:26" ht="15" customHeight="1" x14ac:dyDescent="0.25">
      <c r="A28" s="72" t="str">
        <f t="shared" si="12"/>
        <v>Z200x3,0</v>
      </c>
      <c r="B28" s="11" t="str">
        <f t="shared" si="7"/>
        <v>200</v>
      </c>
      <c r="C28" s="90">
        <f t="shared" si="8"/>
        <v>59.5</v>
      </c>
      <c r="D28" s="90">
        <f t="shared" si="9"/>
        <v>65.5</v>
      </c>
      <c r="E28" s="90">
        <f t="shared" si="10"/>
        <v>22</v>
      </c>
      <c r="F28" s="134" t="str">
        <f t="shared" si="11"/>
        <v>Z200</v>
      </c>
      <c r="G28" s="81" t="s">
        <v>38</v>
      </c>
      <c r="H28" s="117">
        <v>3</v>
      </c>
      <c r="I28" s="96">
        <v>8.18</v>
      </c>
      <c r="J28" s="96">
        <v>7.79</v>
      </c>
      <c r="K28" s="96">
        <v>2.36</v>
      </c>
      <c r="L28" s="96">
        <v>10.42</v>
      </c>
      <c r="M28" s="96">
        <v>605.64</v>
      </c>
      <c r="N28" s="96">
        <v>59.55</v>
      </c>
      <c r="O28" s="96">
        <v>7.62</v>
      </c>
      <c r="P28" s="96">
        <v>9.83</v>
      </c>
      <c r="Q28" s="96">
        <v>10.42</v>
      </c>
      <c r="R28" s="96">
        <v>605.64</v>
      </c>
      <c r="S28" s="96">
        <v>59.55</v>
      </c>
      <c r="T28" s="96">
        <v>7.62</v>
      </c>
      <c r="U28" s="96">
        <v>9.83</v>
      </c>
      <c r="V28" s="96">
        <v>10.42</v>
      </c>
      <c r="W28" s="96">
        <v>80.84</v>
      </c>
      <c r="X28" s="96">
        <v>12.31</v>
      </c>
      <c r="Y28" s="96">
        <v>2.78</v>
      </c>
      <c r="Z28" s="97">
        <v>5.93</v>
      </c>
    </row>
    <row r="29" spans="1:26" ht="15" customHeight="1" thickBot="1" x14ac:dyDescent="0.3">
      <c r="A29" s="73" t="str">
        <f t="shared" si="12"/>
        <v>Z200x3,5</v>
      </c>
      <c r="B29" s="12" t="str">
        <f t="shared" si="7"/>
        <v>200</v>
      </c>
      <c r="C29" s="91">
        <f t="shared" si="8"/>
        <v>59.5</v>
      </c>
      <c r="D29" s="91">
        <f t="shared" si="9"/>
        <v>65.5</v>
      </c>
      <c r="E29" s="91">
        <f t="shared" si="10"/>
        <v>23</v>
      </c>
      <c r="F29" s="135" t="str">
        <f t="shared" si="11"/>
        <v>Z200</v>
      </c>
      <c r="G29" s="82" t="s">
        <v>39</v>
      </c>
      <c r="H29" s="118">
        <v>3.5</v>
      </c>
      <c r="I29" s="98">
        <v>9.5399999999999991</v>
      </c>
      <c r="J29" s="98">
        <v>9.59</v>
      </c>
      <c r="K29" s="98">
        <v>2.29</v>
      </c>
      <c r="L29" s="98">
        <v>12.14</v>
      </c>
      <c r="M29" s="98">
        <v>700.71</v>
      </c>
      <c r="N29" s="98">
        <v>68.900000000000006</v>
      </c>
      <c r="O29" s="98">
        <v>7.59</v>
      </c>
      <c r="P29" s="98">
        <v>9.83</v>
      </c>
      <c r="Q29" s="98">
        <v>12.14</v>
      </c>
      <c r="R29" s="98">
        <v>700.71</v>
      </c>
      <c r="S29" s="98">
        <v>68.900000000000006</v>
      </c>
      <c r="T29" s="98">
        <v>7.59</v>
      </c>
      <c r="U29" s="98">
        <v>9.83</v>
      </c>
      <c r="V29" s="98">
        <v>12.08</v>
      </c>
      <c r="W29" s="98">
        <v>93.12</v>
      </c>
      <c r="X29" s="98">
        <v>14.25</v>
      </c>
      <c r="Y29" s="98">
        <v>2.78</v>
      </c>
      <c r="Z29" s="99">
        <v>5.91</v>
      </c>
    </row>
    <row r="30" spans="1:26" ht="15" customHeight="1" x14ac:dyDescent="0.25">
      <c r="A30" s="71" t="str">
        <f t="shared" si="12"/>
        <v>Z250x1,0</v>
      </c>
      <c r="B30" s="10" t="str">
        <f t="shared" si="7"/>
        <v>250</v>
      </c>
      <c r="C30" s="88">
        <f t="shared" si="8"/>
        <v>67</v>
      </c>
      <c r="D30" s="88">
        <f t="shared" si="9"/>
        <v>78</v>
      </c>
      <c r="E30" s="88">
        <f t="shared" si="10"/>
        <v>21.5</v>
      </c>
      <c r="F30" s="133" t="str">
        <f t="shared" si="11"/>
        <v>Z250</v>
      </c>
      <c r="G30" s="80" t="s">
        <v>40</v>
      </c>
      <c r="H30" s="116">
        <v>1</v>
      </c>
      <c r="I30" s="94">
        <v>3.46</v>
      </c>
      <c r="J30" s="94">
        <v>1.37</v>
      </c>
      <c r="K30" s="94">
        <v>3.08</v>
      </c>
      <c r="L30" s="94">
        <v>3.1</v>
      </c>
      <c r="M30" s="94">
        <v>278.64999999999998</v>
      </c>
      <c r="N30" s="94">
        <v>17.66</v>
      </c>
      <c r="O30" s="94">
        <v>9.4700000000000006</v>
      </c>
      <c r="P30" s="94">
        <v>9.23</v>
      </c>
      <c r="Q30" s="94">
        <v>3.03</v>
      </c>
      <c r="R30" s="94">
        <v>270.72000000000003</v>
      </c>
      <c r="S30" s="94">
        <v>17.62</v>
      </c>
      <c r="T30" s="94">
        <v>9.4499999999999993</v>
      </c>
      <c r="U30" s="94">
        <v>15.36</v>
      </c>
      <c r="V30" s="94">
        <v>3.8</v>
      </c>
      <c r="W30" s="94">
        <v>31.22</v>
      </c>
      <c r="X30" s="94">
        <v>3.85</v>
      </c>
      <c r="Y30" s="94">
        <v>2.86</v>
      </c>
      <c r="Z30" s="95">
        <v>6.31</v>
      </c>
    </row>
    <row r="31" spans="1:26" ht="15" customHeight="1" x14ac:dyDescent="0.25">
      <c r="A31" s="72" t="str">
        <f t="shared" si="12"/>
        <v>Z250x1,2</v>
      </c>
      <c r="B31" s="11" t="str">
        <f t="shared" si="7"/>
        <v>250</v>
      </c>
      <c r="C31" s="90">
        <f t="shared" si="8"/>
        <v>67</v>
      </c>
      <c r="D31" s="90">
        <f t="shared" si="9"/>
        <v>78</v>
      </c>
      <c r="E31" s="90">
        <f t="shared" si="10"/>
        <v>21.5</v>
      </c>
      <c r="F31" s="134" t="str">
        <f t="shared" si="11"/>
        <v>Z250</v>
      </c>
      <c r="G31" s="81" t="s">
        <v>40</v>
      </c>
      <c r="H31" s="117">
        <v>1.2</v>
      </c>
      <c r="I31" s="96">
        <v>4.12</v>
      </c>
      <c r="J31" s="96">
        <v>1.92</v>
      </c>
      <c r="K31" s="96">
        <v>3.03</v>
      </c>
      <c r="L31" s="96">
        <v>3.91</v>
      </c>
      <c r="M31" s="96">
        <v>358.99</v>
      </c>
      <c r="N31" s="96">
        <v>23.58</v>
      </c>
      <c r="O31" s="96">
        <v>9.57</v>
      </c>
      <c r="P31" s="96">
        <v>9.7799999999999994</v>
      </c>
      <c r="Q31" s="96">
        <v>3.83</v>
      </c>
      <c r="R31" s="96">
        <v>349.23</v>
      </c>
      <c r="S31" s="96">
        <v>23.59</v>
      </c>
      <c r="T31" s="96">
        <v>9.5399999999999991</v>
      </c>
      <c r="U31" s="96">
        <v>14.8</v>
      </c>
      <c r="V31" s="96">
        <v>4.6399999999999997</v>
      </c>
      <c r="W31" s="96">
        <v>40.409999999999997</v>
      </c>
      <c r="X31" s="96">
        <v>5.07</v>
      </c>
      <c r="Y31" s="96">
        <v>2.94</v>
      </c>
      <c r="Z31" s="97">
        <v>6.42</v>
      </c>
    </row>
    <row r="32" spans="1:26" ht="15" customHeight="1" x14ac:dyDescent="0.25">
      <c r="A32" s="72" t="str">
        <f t="shared" si="12"/>
        <v>Z250x1,5</v>
      </c>
      <c r="B32" s="11" t="str">
        <f t="shared" si="7"/>
        <v>250</v>
      </c>
      <c r="C32" s="90">
        <f t="shared" si="8"/>
        <v>67</v>
      </c>
      <c r="D32" s="90">
        <f t="shared" si="9"/>
        <v>78</v>
      </c>
      <c r="E32" s="90">
        <f t="shared" si="10"/>
        <v>21.5</v>
      </c>
      <c r="F32" s="134" t="str">
        <f t="shared" si="11"/>
        <v>Z250</v>
      </c>
      <c r="G32" s="81" t="s">
        <v>40</v>
      </c>
      <c r="H32" s="117">
        <v>1.5</v>
      </c>
      <c r="I32" s="96">
        <v>4.99</v>
      </c>
      <c r="J32" s="96">
        <v>2.88</v>
      </c>
      <c r="K32" s="96">
        <v>3.06</v>
      </c>
      <c r="L32" s="96">
        <v>5.21</v>
      </c>
      <c r="M32" s="96">
        <v>485.72</v>
      </c>
      <c r="N32" s="96">
        <v>33.369999999999997</v>
      </c>
      <c r="O32" s="96">
        <v>9.65</v>
      </c>
      <c r="P32" s="96">
        <v>10.45</v>
      </c>
      <c r="Q32" s="96">
        <v>5.13</v>
      </c>
      <c r="R32" s="96">
        <v>473.23</v>
      </c>
      <c r="S32" s="96">
        <v>33.700000000000003</v>
      </c>
      <c r="T32" s="96">
        <v>9.5399999999999991</v>
      </c>
      <c r="U32" s="96">
        <v>14.04</v>
      </c>
      <c r="V32" s="96">
        <v>6.14</v>
      </c>
      <c r="W32" s="96">
        <v>59.93</v>
      </c>
      <c r="X32" s="96">
        <v>8</v>
      </c>
      <c r="Y32" s="96">
        <v>3.12</v>
      </c>
      <c r="Z32" s="97">
        <v>6.81</v>
      </c>
    </row>
    <row r="33" spans="1:26" ht="15" customHeight="1" x14ac:dyDescent="0.25">
      <c r="A33" s="72" t="str">
        <f t="shared" si="12"/>
        <v>Z250x2,0</v>
      </c>
      <c r="B33" s="11" t="str">
        <f t="shared" si="7"/>
        <v>250</v>
      </c>
      <c r="C33" s="90">
        <f t="shared" si="8"/>
        <v>67</v>
      </c>
      <c r="D33" s="90">
        <f t="shared" si="9"/>
        <v>78</v>
      </c>
      <c r="E33" s="90">
        <f t="shared" si="10"/>
        <v>21.5</v>
      </c>
      <c r="F33" s="134" t="str">
        <f t="shared" si="11"/>
        <v>Z250</v>
      </c>
      <c r="G33" s="81" t="s">
        <v>40</v>
      </c>
      <c r="H33" s="117">
        <v>2</v>
      </c>
      <c r="I33" s="96">
        <v>6.62</v>
      </c>
      <c r="J33" s="96">
        <v>4.74</v>
      </c>
      <c r="K33" s="96">
        <v>2.95</v>
      </c>
      <c r="L33" s="96">
        <v>7.6</v>
      </c>
      <c r="M33" s="96">
        <v>710.04</v>
      </c>
      <c r="N33" s="96">
        <v>52</v>
      </c>
      <c r="O33" s="96">
        <v>9.66</v>
      </c>
      <c r="P33" s="96">
        <v>11.35</v>
      </c>
      <c r="Q33" s="96">
        <v>7.54</v>
      </c>
      <c r="R33" s="96">
        <v>696.61</v>
      </c>
      <c r="S33" s="96">
        <v>53.06</v>
      </c>
      <c r="T33" s="96">
        <v>9.6</v>
      </c>
      <c r="U33" s="96">
        <v>13.12</v>
      </c>
      <c r="V33" s="96">
        <v>8.2799999999999994</v>
      </c>
      <c r="W33" s="96">
        <v>81.14</v>
      </c>
      <c r="X33" s="96">
        <v>10.76</v>
      </c>
      <c r="Y33" s="96">
        <v>3.12</v>
      </c>
      <c r="Z33" s="97">
        <v>6.76</v>
      </c>
    </row>
    <row r="34" spans="1:26" ht="15" customHeight="1" x14ac:dyDescent="0.25">
      <c r="A34" s="72" t="str">
        <f t="shared" si="12"/>
        <v>Z250x2,5</v>
      </c>
      <c r="B34" s="11" t="str">
        <f t="shared" si="7"/>
        <v>250</v>
      </c>
      <c r="C34" s="90">
        <f t="shared" si="8"/>
        <v>68</v>
      </c>
      <c r="D34" s="90">
        <f t="shared" si="9"/>
        <v>79</v>
      </c>
      <c r="E34" s="90">
        <f t="shared" si="10"/>
        <v>22</v>
      </c>
      <c r="F34" s="134" t="str">
        <f t="shared" si="11"/>
        <v>Z250</v>
      </c>
      <c r="G34" s="81" t="s">
        <v>41</v>
      </c>
      <c r="H34" s="117">
        <v>2.5</v>
      </c>
      <c r="I34" s="96">
        <v>8.2799999999999994</v>
      </c>
      <c r="J34" s="96">
        <v>6.7</v>
      </c>
      <c r="K34" s="96">
        <v>2.88</v>
      </c>
      <c r="L34" s="96">
        <v>10.130000000000001</v>
      </c>
      <c r="M34" s="96">
        <v>933.95</v>
      </c>
      <c r="N34" s="96">
        <v>71.17</v>
      </c>
      <c r="O34" s="96">
        <v>9.59</v>
      </c>
      <c r="P34" s="96">
        <v>11.88</v>
      </c>
      <c r="Q34" s="96">
        <v>10.11</v>
      </c>
      <c r="R34" s="96">
        <v>929.18</v>
      </c>
      <c r="S34" s="96">
        <v>74.28</v>
      </c>
      <c r="T34" s="96">
        <v>9.58</v>
      </c>
      <c r="U34" s="96">
        <v>12.51</v>
      </c>
      <c r="V34" s="96">
        <v>10.51</v>
      </c>
      <c r="W34" s="96">
        <v>106.39</v>
      </c>
      <c r="X34" s="96">
        <v>13.73</v>
      </c>
      <c r="Y34" s="96">
        <v>3.18</v>
      </c>
      <c r="Z34" s="97">
        <v>6.91</v>
      </c>
    </row>
    <row r="35" spans="1:26" ht="15" customHeight="1" thickBot="1" x14ac:dyDescent="0.3">
      <c r="A35" s="73" t="str">
        <f t="shared" si="12"/>
        <v>Z250x3,0</v>
      </c>
      <c r="B35" s="12" t="str">
        <f t="shared" si="7"/>
        <v>250</v>
      </c>
      <c r="C35" s="91">
        <f t="shared" si="8"/>
        <v>69</v>
      </c>
      <c r="D35" s="91">
        <f t="shared" si="9"/>
        <v>80</v>
      </c>
      <c r="E35" s="91">
        <f t="shared" si="10"/>
        <v>22.5</v>
      </c>
      <c r="F35" s="135" t="str">
        <f t="shared" si="11"/>
        <v>Z250</v>
      </c>
      <c r="G35" s="82" t="s">
        <v>42</v>
      </c>
      <c r="H35" s="118">
        <v>3</v>
      </c>
      <c r="I35" s="98">
        <v>9.9499999999999993</v>
      </c>
      <c r="J35" s="98">
        <v>8.64</v>
      </c>
      <c r="K35" s="98">
        <v>2.83</v>
      </c>
      <c r="L35" s="98">
        <v>12.67</v>
      </c>
      <c r="M35" s="98">
        <v>1147.5</v>
      </c>
      <c r="N35" s="98">
        <v>89.49</v>
      </c>
      <c r="O35" s="98">
        <v>9.51</v>
      </c>
      <c r="P35" s="98">
        <v>12.18</v>
      </c>
      <c r="Q35" s="98">
        <v>12.67</v>
      </c>
      <c r="R35" s="98">
        <v>1147.5</v>
      </c>
      <c r="S35" s="98">
        <v>89.49</v>
      </c>
      <c r="T35" s="98">
        <v>9.51</v>
      </c>
      <c r="U35" s="98">
        <v>12.18</v>
      </c>
      <c r="V35" s="98">
        <v>12.67</v>
      </c>
      <c r="W35" s="98">
        <v>131.16</v>
      </c>
      <c r="X35" s="98">
        <v>16.57</v>
      </c>
      <c r="Y35" s="98">
        <v>3.21</v>
      </c>
      <c r="Z35" s="99">
        <v>6.98</v>
      </c>
    </row>
    <row r="36" spans="1:26" ht="15" customHeight="1" x14ac:dyDescent="0.25">
      <c r="A36" s="74" t="str">
        <f t="shared" ref="A36:A48" si="13">CONCATENATE(F36,"x",(IF(H36=INT(H36),CONCATENATE(H36,",",0),H36)))</f>
        <v>Z300x2,0</v>
      </c>
      <c r="B36" s="10" t="str">
        <f t="shared" ref="B36:B42" si="14">LEFT(G36,3)</f>
        <v>300</v>
      </c>
      <c r="C36" s="88">
        <f t="shared" ref="C36:C48" si="15">VALUE(MID(G36,(SEARCH("/",G36,1)+1),(SEARCH("/",G36,(SEARCH("/",G36,1)+1))-SEARCH("/",G36,1)-1)))</f>
        <v>85</v>
      </c>
      <c r="D36" s="88">
        <f t="shared" ref="D36:D48" si="16">VALUE(MID(G36,(SEARCH("/",G36,(SEARCH("/",G36,1)+1))+1),(SEARCH("/",G36,SEARCH("/",G36,(SEARCH("/",G36,1)+1))+1))-(SEARCH("/",G36,(SEARCH("/",G36,1)+1))+1)))</f>
        <v>93</v>
      </c>
      <c r="E36" s="89">
        <f t="shared" ref="E36:E48" si="17">VALUE(MID(G36,(SEARCH("/",G36,SEARCH("/",G36,(SEARCH("/",G36,1)+1))+1)+1),4))</f>
        <v>29.5</v>
      </c>
      <c r="F36" s="9" t="str">
        <f t="shared" ref="F36:F48" si="18">CONCATENATE("Z",LEFT(G36,3))</f>
        <v>Z300</v>
      </c>
      <c r="G36" s="80" t="s">
        <v>43</v>
      </c>
      <c r="H36" s="116">
        <v>2</v>
      </c>
      <c r="I36" s="94">
        <v>8.17</v>
      </c>
      <c r="J36" s="94">
        <v>5.05</v>
      </c>
      <c r="K36" s="94">
        <v>3.74</v>
      </c>
      <c r="L36" s="94">
        <v>8.8000000000000007</v>
      </c>
      <c r="M36" s="94">
        <v>1191.22</v>
      </c>
      <c r="N36" s="94">
        <v>70.180000000000007</v>
      </c>
      <c r="O36" s="94">
        <v>11.63</v>
      </c>
      <c r="P36" s="94">
        <v>13.03</v>
      </c>
      <c r="Q36" s="94">
        <v>8.73</v>
      </c>
      <c r="R36" s="94">
        <v>1173.06</v>
      </c>
      <c r="S36" s="94">
        <v>70.67</v>
      </c>
      <c r="T36" s="94">
        <v>11.53</v>
      </c>
      <c r="U36" s="94">
        <v>16.600000000000001</v>
      </c>
      <c r="V36" s="94">
        <v>10.15</v>
      </c>
      <c r="W36" s="94">
        <v>157.16999999999999</v>
      </c>
      <c r="X36" s="94">
        <v>17.32</v>
      </c>
      <c r="Y36" s="94">
        <v>3.93</v>
      </c>
      <c r="Z36" s="95">
        <v>8.49</v>
      </c>
    </row>
    <row r="37" spans="1:26" ht="15" customHeight="1" x14ac:dyDescent="0.25">
      <c r="A37" s="72" t="str">
        <f t="shared" si="13"/>
        <v>Z300x2,5</v>
      </c>
      <c r="B37" s="11" t="str">
        <f t="shared" si="14"/>
        <v>300</v>
      </c>
      <c r="C37" s="90">
        <f t="shared" si="15"/>
        <v>86</v>
      </c>
      <c r="D37" s="90">
        <f t="shared" si="16"/>
        <v>94</v>
      </c>
      <c r="E37" s="90">
        <f t="shared" si="17"/>
        <v>30</v>
      </c>
      <c r="F37" s="134" t="str">
        <f t="shared" si="18"/>
        <v>Z300</v>
      </c>
      <c r="G37" s="81" t="s">
        <v>44</v>
      </c>
      <c r="H37" s="117">
        <v>2.5</v>
      </c>
      <c r="I37" s="96">
        <v>10.220000000000001</v>
      </c>
      <c r="J37" s="96">
        <v>7.5</v>
      </c>
      <c r="K37" s="96">
        <v>3.72</v>
      </c>
      <c r="L37" s="96">
        <v>11.86</v>
      </c>
      <c r="M37" s="96">
        <v>1605.27</v>
      </c>
      <c r="N37" s="96">
        <v>99.38</v>
      </c>
      <c r="O37" s="96">
        <v>11.63</v>
      </c>
      <c r="P37" s="96">
        <v>13.85</v>
      </c>
      <c r="Q37" s="96">
        <v>11.8</v>
      </c>
      <c r="R37" s="96">
        <v>1586.91</v>
      </c>
      <c r="S37" s="96">
        <v>100.6</v>
      </c>
      <c r="T37" s="96">
        <v>11.58</v>
      </c>
      <c r="U37" s="96">
        <v>15.78</v>
      </c>
      <c r="V37" s="96">
        <v>12.76</v>
      </c>
      <c r="W37" s="96">
        <v>204.64</v>
      </c>
      <c r="X37" s="96">
        <v>22.22</v>
      </c>
      <c r="Y37" s="96">
        <v>4</v>
      </c>
      <c r="Z37" s="97">
        <v>8.5399999999999991</v>
      </c>
    </row>
    <row r="38" spans="1:26" ht="15" customHeight="1" x14ac:dyDescent="0.25">
      <c r="A38" s="72" t="str">
        <f t="shared" si="13"/>
        <v>Z300x3,0</v>
      </c>
      <c r="B38" s="11" t="str">
        <f t="shared" si="14"/>
        <v>300</v>
      </c>
      <c r="C38" s="90">
        <f t="shared" si="15"/>
        <v>87</v>
      </c>
      <c r="D38" s="90">
        <f t="shared" si="16"/>
        <v>95</v>
      </c>
      <c r="E38" s="90">
        <f t="shared" si="17"/>
        <v>30.5</v>
      </c>
      <c r="F38" s="134" t="str">
        <f t="shared" si="18"/>
        <v>Z300</v>
      </c>
      <c r="G38" s="81" t="s">
        <v>45</v>
      </c>
      <c r="H38" s="117">
        <v>3</v>
      </c>
      <c r="I38" s="96">
        <v>12.28</v>
      </c>
      <c r="J38" s="96">
        <v>10.09</v>
      </c>
      <c r="K38" s="96">
        <v>3.67</v>
      </c>
      <c r="L38" s="96">
        <v>15.1</v>
      </c>
      <c r="M38" s="96">
        <v>2025.63</v>
      </c>
      <c r="N38" s="96">
        <v>130.31</v>
      </c>
      <c r="O38" s="96">
        <v>11.58</v>
      </c>
      <c r="P38" s="96">
        <v>14.46</v>
      </c>
      <c r="Q38" s="96">
        <v>15.04</v>
      </c>
      <c r="R38" s="96">
        <v>2009.94</v>
      </c>
      <c r="S38" s="96">
        <v>132.59</v>
      </c>
      <c r="T38" s="96">
        <v>11.55</v>
      </c>
      <c r="U38" s="96">
        <v>15.15</v>
      </c>
      <c r="V38" s="96">
        <v>15.58</v>
      </c>
      <c r="W38" s="96">
        <v>259.05</v>
      </c>
      <c r="X38" s="96">
        <v>27.5</v>
      </c>
      <c r="Y38" s="96">
        <v>4.08</v>
      </c>
      <c r="Z38" s="97">
        <v>8.7100000000000009</v>
      </c>
    </row>
    <row r="39" spans="1:26" ht="15" customHeight="1" thickBot="1" x14ac:dyDescent="0.3">
      <c r="A39" s="73" t="str">
        <f t="shared" si="13"/>
        <v>Z300x3,5</v>
      </c>
      <c r="B39" s="12" t="str">
        <f t="shared" si="14"/>
        <v>300</v>
      </c>
      <c r="C39" s="92">
        <f t="shared" si="15"/>
        <v>88</v>
      </c>
      <c r="D39" s="92">
        <f t="shared" si="16"/>
        <v>96</v>
      </c>
      <c r="E39" s="91">
        <f t="shared" si="17"/>
        <v>31</v>
      </c>
      <c r="F39" s="135" t="str">
        <f t="shared" si="18"/>
        <v>Z300</v>
      </c>
      <c r="G39" s="82" t="s">
        <v>46</v>
      </c>
      <c r="H39" s="118">
        <v>3.5</v>
      </c>
      <c r="I39" s="98">
        <v>14.35</v>
      </c>
      <c r="J39" s="98">
        <v>12.5</v>
      </c>
      <c r="K39" s="98">
        <v>3.62</v>
      </c>
      <c r="L39" s="98">
        <v>18.27</v>
      </c>
      <c r="M39" s="98">
        <v>2411.48</v>
      </c>
      <c r="N39" s="98">
        <v>158.36000000000001</v>
      </c>
      <c r="O39" s="98">
        <v>11.48</v>
      </c>
      <c r="P39" s="98">
        <v>14.77</v>
      </c>
      <c r="Q39" s="98">
        <v>18.27</v>
      </c>
      <c r="R39" s="98">
        <v>2411.48</v>
      </c>
      <c r="S39" s="98">
        <v>158.36000000000001</v>
      </c>
      <c r="T39" s="98">
        <v>11.48</v>
      </c>
      <c r="U39" s="98">
        <v>14.77</v>
      </c>
      <c r="V39" s="98">
        <v>18.27</v>
      </c>
      <c r="W39" s="98">
        <v>309.25</v>
      </c>
      <c r="X39" s="98">
        <v>32.21</v>
      </c>
      <c r="Y39" s="98">
        <v>4.1100000000000003</v>
      </c>
      <c r="Z39" s="99">
        <v>8.8000000000000007</v>
      </c>
    </row>
    <row r="40" spans="1:26" ht="15" customHeight="1" x14ac:dyDescent="0.25">
      <c r="A40" s="74" t="str">
        <f t="shared" si="13"/>
        <v>Z350x2,0</v>
      </c>
      <c r="B40" s="10" t="str">
        <f t="shared" si="14"/>
        <v>350</v>
      </c>
      <c r="C40" s="88">
        <f t="shared" si="15"/>
        <v>85</v>
      </c>
      <c r="D40" s="88">
        <f t="shared" si="16"/>
        <v>93</v>
      </c>
      <c r="E40" s="89">
        <f t="shared" si="17"/>
        <v>29.5</v>
      </c>
      <c r="F40" s="9" t="str">
        <f t="shared" si="18"/>
        <v>Z350</v>
      </c>
      <c r="G40" s="80" t="s">
        <v>47</v>
      </c>
      <c r="H40" s="116">
        <v>2</v>
      </c>
      <c r="I40" s="94">
        <v>8.9600000000000009</v>
      </c>
      <c r="J40" s="94">
        <v>5.07</v>
      </c>
      <c r="K40" s="94">
        <v>3.53</v>
      </c>
      <c r="L40" s="94">
        <v>9.32</v>
      </c>
      <c r="M40" s="94">
        <v>1671.61</v>
      </c>
      <c r="N40" s="94">
        <v>82.99</v>
      </c>
      <c r="O40" s="94">
        <v>13.39</v>
      </c>
      <c r="P40" s="94">
        <v>14.86</v>
      </c>
      <c r="Q40" s="94">
        <v>9.25</v>
      </c>
      <c r="R40" s="94">
        <v>1647.5</v>
      </c>
      <c r="S40" s="94">
        <v>83.53</v>
      </c>
      <c r="T40" s="94">
        <v>13.27</v>
      </c>
      <c r="U40" s="94">
        <v>19.72</v>
      </c>
      <c r="V40" s="94">
        <v>11.15</v>
      </c>
      <c r="W40" s="94">
        <v>157.19999999999999</v>
      </c>
      <c r="X40" s="94">
        <v>17.27</v>
      </c>
      <c r="Y40" s="94">
        <v>3.75</v>
      </c>
      <c r="Z40" s="95">
        <v>8.48</v>
      </c>
    </row>
    <row r="41" spans="1:26" ht="15" customHeight="1" x14ac:dyDescent="0.25">
      <c r="A41" s="72" t="str">
        <f t="shared" si="13"/>
        <v>Z350x2,5</v>
      </c>
      <c r="B41" s="11" t="str">
        <f t="shared" si="14"/>
        <v>350</v>
      </c>
      <c r="C41" s="90">
        <f t="shared" si="15"/>
        <v>86</v>
      </c>
      <c r="D41" s="90">
        <f t="shared" si="16"/>
        <v>94</v>
      </c>
      <c r="E41" s="90">
        <f t="shared" si="17"/>
        <v>30</v>
      </c>
      <c r="F41" s="134" t="str">
        <f t="shared" si="18"/>
        <v>Z350</v>
      </c>
      <c r="G41" s="81" t="s">
        <v>48</v>
      </c>
      <c r="H41" s="117">
        <v>2.5</v>
      </c>
      <c r="I41" s="96">
        <v>11.21</v>
      </c>
      <c r="J41" s="96">
        <v>7.53</v>
      </c>
      <c r="K41" s="96">
        <v>3.5</v>
      </c>
      <c r="L41" s="96">
        <v>12.52</v>
      </c>
      <c r="M41" s="96">
        <v>2257.79</v>
      </c>
      <c r="N41" s="96">
        <v>117.55</v>
      </c>
      <c r="O41" s="96">
        <v>13.42</v>
      </c>
      <c r="P41" s="96">
        <v>15.79</v>
      </c>
      <c r="Q41" s="96">
        <v>12.47</v>
      </c>
      <c r="R41" s="96">
        <v>2234.9699999999998</v>
      </c>
      <c r="S41" s="96">
        <v>118.93</v>
      </c>
      <c r="T41" s="96">
        <v>13.37</v>
      </c>
      <c r="U41" s="96">
        <v>18.79</v>
      </c>
      <c r="V41" s="96">
        <v>14.02</v>
      </c>
      <c r="W41" s="96">
        <v>204.85</v>
      </c>
      <c r="X41" s="96">
        <v>22.24</v>
      </c>
      <c r="Y41" s="96">
        <v>3.82</v>
      </c>
      <c r="Z41" s="97">
        <v>8.5399999999999991</v>
      </c>
    </row>
    <row r="42" spans="1:26" ht="15" customHeight="1" x14ac:dyDescent="0.25">
      <c r="A42" s="72" t="str">
        <f t="shared" si="13"/>
        <v>Z350x3,0</v>
      </c>
      <c r="B42" s="11" t="str">
        <f t="shared" si="14"/>
        <v>350</v>
      </c>
      <c r="C42" s="90">
        <f t="shared" si="15"/>
        <v>87</v>
      </c>
      <c r="D42" s="90">
        <f t="shared" si="16"/>
        <v>95</v>
      </c>
      <c r="E42" s="90">
        <f t="shared" si="17"/>
        <v>30.5</v>
      </c>
      <c r="F42" s="134" t="str">
        <f t="shared" si="18"/>
        <v>Z350</v>
      </c>
      <c r="G42" s="81" t="s">
        <v>49</v>
      </c>
      <c r="H42" s="117">
        <v>3</v>
      </c>
      <c r="I42" s="96">
        <v>13.46</v>
      </c>
      <c r="J42" s="96">
        <v>10.14</v>
      </c>
      <c r="K42" s="96">
        <v>3.46</v>
      </c>
      <c r="L42" s="96">
        <v>15.92</v>
      </c>
      <c r="M42" s="96">
        <v>2853.98</v>
      </c>
      <c r="N42" s="96">
        <v>154.16</v>
      </c>
      <c r="O42" s="96">
        <v>13.38</v>
      </c>
      <c r="P42" s="96">
        <v>16.489999999999998</v>
      </c>
      <c r="Q42" s="96">
        <v>15.88</v>
      </c>
      <c r="R42" s="96">
        <v>2836.98</v>
      </c>
      <c r="S42" s="96">
        <v>156.93</v>
      </c>
      <c r="T42" s="96">
        <v>13.36</v>
      </c>
      <c r="U42" s="96">
        <v>18.079999999999998</v>
      </c>
      <c r="V42" s="96">
        <v>17.09</v>
      </c>
      <c r="W42" s="96">
        <v>259.22000000000003</v>
      </c>
      <c r="X42" s="96">
        <v>27.46</v>
      </c>
      <c r="Y42" s="96">
        <v>3.89</v>
      </c>
      <c r="Z42" s="97">
        <v>8.7100000000000009</v>
      </c>
    </row>
    <row r="43" spans="1:26" ht="15" customHeight="1" thickBot="1" x14ac:dyDescent="0.3">
      <c r="A43" s="73" t="str">
        <f t="shared" si="13"/>
        <v>Z350x3,5</v>
      </c>
      <c r="B43" s="12" t="str">
        <f t="shared" ref="B43:B48" si="19">LEFT(G43,3)</f>
        <v>350</v>
      </c>
      <c r="C43" s="91">
        <f t="shared" si="15"/>
        <v>88</v>
      </c>
      <c r="D43" s="91">
        <f t="shared" si="16"/>
        <v>96</v>
      </c>
      <c r="E43" s="92">
        <f t="shared" si="17"/>
        <v>31</v>
      </c>
      <c r="F43" s="136" t="str">
        <f t="shared" si="18"/>
        <v>Z350</v>
      </c>
      <c r="G43" s="82" t="s">
        <v>50</v>
      </c>
      <c r="H43" s="118">
        <v>3.5</v>
      </c>
      <c r="I43" s="98">
        <v>15.72</v>
      </c>
      <c r="J43" s="98">
        <v>12.57</v>
      </c>
      <c r="K43" s="98">
        <v>3.41</v>
      </c>
      <c r="L43" s="98">
        <v>19.28</v>
      </c>
      <c r="M43" s="98">
        <v>3403.92</v>
      </c>
      <c r="N43" s="98">
        <v>187.73</v>
      </c>
      <c r="O43" s="98">
        <v>13.28</v>
      </c>
      <c r="P43" s="98">
        <v>16.87</v>
      </c>
      <c r="Q43" s="98">
        <v>19.309999999999999</v>
      </c>
      <c r="R43" s="98">
        <v>3410.51</v>
      </c>
      <c r="S43" s="98">
        <v>193.45</v>
      </c>
      <c r="T43" s="98">
        <v>13.28</v>
      </c>
      <c r="U43" s="98">
        <v>17.63</v>
      </c>
      <c r="V43" s="98">
        <v>20.02</v>
      </c>
      <c r="W43" s="98">
        <v>309.32</v>
      </c>
      <c r="X43" s="98">
        <v>32.17</v>
      </c>
      <c r="Y43" s="98">
        <v>3.93</v>
      </c>
      <c r="Z43" s="99">
        <v>8.7899999999999991</v>
      </c>
    </row>
    <row r="44" spans="1:26" ht="15" customHeight="1" x14ac:dyDescent="0.25">
      <c r="A44" s="74" t="str">
        <f t="shared" si="13"/>
        <v>Z400x2,0</v>
      </c>
      <c r="B44" s="13" t="str">
        <f t="shared" si="19"/>
        <v>400</v>
      </c>
      <c r="C44" s="89">
        <f t="shared" si="15"/>
        <v>85</v>
      </c>
      <c r="D44" s="89">
        <f t="shared" si="16"/>
        <v>93</v>
      </c>
      <c r="E44" s="88">
        <f t="shared" si="17"/>
        <v>29.5</v>
      </c>
      <c r="F44" s="133" t="str">
        <f t="shared" si="18"/>
        <v>Z400</v>
      </c>
      <c r="G44" s="83" t="s">
        <v>51</v>
      </c>
      <c r="H44" s="116">
        <v>2</v>
      </c>
      <c r="I44" s="100">
        <v>9.74</v>
      </c>
      <c r="J44" s="100">
        <v>5.08</v>
      </c>
      <c r="K44" s="100">
        <v>3.34</v>
      </c>
      <c r="L44" s="100">
        <v>9.83</v>
      </c>
      <c r="M44" s="100">
        <v>2241.54</v>
      </c>
      <c r="N44" s="100">
        <v>95.92</v>
      </c>
      <c r="O44" s="100">
        <v>15.09</v>
      </c>
      <c r="P44" s="100">
        <v>16.63</v>
      </c>
      <c r="Q44" s="100">
        <v>9.77</v>
      </c>
      <c r="R44" s="100">
        <v>2210.94</v>
      </c>
      <c r="S44" s="100">
        <v>96.5</v>
      </c>
      <c r="T44" s="100">
        <v>14.96</v>
      </c>
      <c r="U44" s="100">
        <v>22.91</v>
      </c>
      <c r="V44" s="100">
        <v>12.15</v>
      </c>
      <c r="W44" s="100">
        <v>157.25</v>
      </c>
      <c r="X44" s="100">
        <v>17.23</v>
      </c>
      <c r="Y44" s="100">
        <v>3.59</v>
      </c>
      <c r="Z44" s="101">
        <v>8.48</v>
      </c>
    </row>
    <row r="45" spans="1:26" ht="15" customHeight="1" x14ac:dyDescent="0.25">
      <c r="A45" s="72" t="str">
        <f t="shared" si="13"/>
        <v>Z400x2,5</v>
      </c>
      <c r="B45" s="11" t="str">
        <f t="shared" si="19"/>
        <v>400</v>
      </c>
      <c r="C45" s="90">
        <f t="shared" si="15"/>
        <v>86</v>
      </c>
      <c r="D45" s="90">
        <f t="shared" si="16"/>
        <v>94</v>
      </c>
      <c r="E45" s="90">
        <f t="shared" si="17"/>
        <v>30</v>
      </c>
      <c r="F45" s="134" t="str">
        <f t="shared" si="18"/>
        <v>Z400</v>
      </c>
      <c r="G45" s="81" t="s">
        <v>52</v>
      </c>
      <c r="H45" s="119">
        <v>2.5</v>
      </c>
      <c r="I45" s="96">
        <v>12.19</v>
      </c>
      <c r="J45" s="96">
        <v>7.55</v>
      </c>
      <c r="K45" s="96">
        <v>3.32</v>
      </c>
      <c r="L45" s="96">
        <v>13.18</v>
      </c>
      <c r="M45" s="96">
        <v>3034.04</v>
      </c>
      <c r="N45" s="96">
        <v>135.88</v>
      </c>
      <c r="O45" s="96">
        <v>15.16</v>
      </c>
      <c r="P45" s="96">
        <v>17.670000000000002</v>
      </c>
      <c r="Q45" s="96">
        <v>13.13</v>
      </c>
      <c r="R45" s="96">
        <v>3006.82</v>
      </c>
      <c r="S45" s="96">
        <v>137.43</v>
      </c>
      <c r="T45" s="96">
        <v>15.11</v>
      </c>
      <c r="U45" s="96">
        <v>21.88</v>
      </c>
      <c r="V45" s="96">
        <v>15.28</v>
      </c>
      <c r="W45" s="96">
        <v>205.06</v>
      </c>
      <c r="X45" s="96">
        <v>22.26</v>
      </c>
      <c r="Y45" s="96">
        <v>3.66</v>
      </c>
      <c r="Z45" s="97">
        <v>8.5399999999999991</v>
      </c>
    </row>
    <row r="46" spans="1:26" ht="15" customHeight="1" x14ac:dyDescent="0.25">
      <c r="A46" s="72" t="str">
        <f t="shared" si="13"/>
        <v>Z400x3,0</v>
      </c>
      <c r="B46" s="11" t="str">
        <f t="shared" si="19"/>
        <v>400</v>
      </c>
      <c r="C46" s="90">
        <f t="shared" si="15"/>
        <v>87</v>
      </c>
      <c r="D46" s="90">
        <f t="shared" si="16"/>
        <v>95</v>
      </c>
      <c r="E46" s="90">
        <f t="shared" si="17"/>
        <v>30.5</v>
      </c>
      <c r="F46" s="134" t="str">
        <f t="shared" si="18"/>
        <v>Z400</v>
      </c>
      <c r="G46" s="81" t="s">
        <v>53</v>
      </c>
      <c r="H46" s="117">
        <v>3</v>
      </c>
      <c r="I46" s="96">
        <v>14.64</v>
      </c>
      <c r="J46" s="96">
        <v>10.17</v>
      </c>
      <c r="K46" s="96">
        <v>3.27</v>
      </c>
      <c r="L46" s="96">
        <v>16.73</v>
      </c>
      <c r="M46" s="96">
        <v>3841.8</v>
      </c>
      <c r="N46" s="96">
        <v>178.28</v>
      </c>
      <c r="O46" s="96">
        <v>15.15</v>
      </c>
      <c r="P46" s="96">
        <v>18.45</v>
      </c>
      <c r="Q46" s="96">
        <v>16.7</v>
      </c>
      <c r="R46" s="96">
        <v>3824.71</v>
      </c>
      <c r="S46" s="96">
        <v>181.47</v>
      </c>
      <c r="T46" s="96">
        <v>15.13</v>
      </c>
      <c r="U46" s="96">
        <v>21.08</v>
      </c>
      <c r="V46" s="96">
        <v>18.600000000000001</v>
      </c>
      <c r="W46" s="96">
        <v>259.5</v>
      </c>
      <c r="X46" s="96">
        <v>27.43</v>
      </c>
      <c r="Y46" s="96">
        <v>3.73</v>
      </c>
      <c r="Z46" s="97">
        <v>8.6999999999999993</v>
      </c>
    </row>
    <row r="47" spans="1:26" ht="15" customHeight="1" x14ac:dyDescent="0.25">
      <c r="A47" s="72" t="str">
        <f t="shared" si="13"/>
        <v>Z400x3,5</v>
      </c>
      <c r="B47" s="11" t="str">
        <f t="shared" si="19"/>
        <v>400</v>
      </c>
      <c r="C47" s="90">
        <f t="shared" si="15"/>
        <v>88</v>
      </c>
      <c r="D47" s="90">
        <f t="shared" si="16"/>
        <v>96</v>
      </c>
      <c r="E47" s="90">
        <f t="shared" si="17"/>
        <v>31</v>
      </c>
      <c r="F47" s="134" t="str">
        <f t="shared" si="18"/>
        <v>Z400</v>
      </c>
      <c r="G47" s="81" t="s">
        <v>54</v>
      </c>
      <c r="H47" s="117">
        <v>3.5</v>
      </c>
      <c r="I47" s="96">
        <v>17.09</v>
      </c>
      <c r="J47" s="96">
        <v>12.63</v>
      </c>
      <c r="K47" s="96">
        <v>3.23</v>
      </c>
      <c r="L47" s="96">
        <v>20.25</v>
      </c>
      <c r="M47" s="96">
        <v>4588.21</v>
      </c>
      <c r="N47" s="96">
        <v>217.26</v>
      </c>
      <c r="O47" s="96">
        <v>15.03</v>
      </c>
      <c r="P47" s="96">
        <v>18.88</v>
      </c>
      <c r="Q47" s="96">
        <v>20.29</v>
      </c>
      <c r="R47" s="96">
        <v>4604.83</v>
      </c>
      <c r="S47" s="96">
        <v>223.89</v>
      </c>
      <c r="T47" s="96">
        <v>15.06</v>
      </c>
      <c r="U47" s="96">
        <v>20.56</v>
      </c>
      <c r="V47" s="96">
        <v>21.77</v>
      </c>
      <c r="W47" s="96">
        <v>309.38</v>
      </c>
      <c r="X47" s="96">
        <v>32.130000000000003</v>
      </c>
      <c r="Y47" s="96">
        <v>3.76</v>
      </c>
      <c r="Z47" s="97">
        <v>8.77</v>
      </c>
    </row>
    <row r="48" spans="1:26" ht="15" customHeight="1" thickBot="1" x14ac:dyDescent="0.3">
      <c r="A48" s="73" t="str">
        <f t="shared" si="13"/>
        <v>Z400x4,0</v>
      </c>
      <c r="B48" s="12" t="str">
        <f t="shared" si="19"/>
        <v>400</v>
      </c>
      <c r="C48" s="91">
        <f t="shared" si="15"/>
        <v>89</v>
      </c>
      <c r="D48" s="91">
        <f t="shared" si="16"/>
        <v>97</v>
      </c>
      <c r="E48" s="91">
        <f t="shared" si="17"/>
        <v>31.5</v>
      </c>
      <c r="F48" s="135" t="str">
        <f t="shared" si="18"/>
        <v>Z400</v>
      </c>
      <c r="G48" s="82" t="s">
        <v>55</v>
      </c>
      <c r="H48" s="118">
        <v>4</v>
      </c>
      <c r="I48" s="98">
        <v>19.55</v>
      </c>
      <c r="J48" s="98">
        <v>15.17</v>
      </c>
      <c r="K48" s="98">
        <v>3.18</v>
      </c>
      <c r="L48" s="98">
        <v>23.95</v>
      </c>
      <c r="M48" s="98">
        <v>5356.04</v>
      </c>
      <c r="N48" s="98">
        <v>258.51</v>
      </c>
      <c r="O48" s="98">
        <v>14.93</v>
      </c>
      <c r="P48" s="98">
        <v>19.28</v>
      </c>
      <c r="Q48" s="98">
        <v>23.98</v>
      </c>
      <c r="R48" s="98">
        <v>5366.29</v>
      </c>
      <c r="S48" s="98">
        <v>265.8</v>
      </c>
      <c r="T48" s="98">
        <v>14.95</v>
      </c>
      <c r="U48" s="98">
        <v>20.190000000000001</v>
      </c>
      <c r="V48" s="98">
        <v>24.9</v>
      </c>
      <c r="W48" s="98">
        <v>359.6</v>
      </c>
      <c r="X48" s="98">
        <v>36.869999999999997</v>
      </c>
      <c r="Y48" s="98">
        <v>3.79</v>
      </c>
      <c r="Z48" s="99">
        <v>8.85</v>
      </c>
    </row>
  </sheetData>
  <mergeCells count="33">
    <mergeCell ref="F4:G6"/>
    <mergeCell ref="A4:A10"/>
    <mergeCell ref="B4:B10"/>
    <mergeCell ref="C4:C10"/>
    <mergeCell ref="D4:D10"/>
    <mergeCell ref="E4:E10"/>
    <mergeCell ref="F7:F10"/>
    <mergeCell ref="G7:G10"/>
    <mergeCell ref="N7:N8"/>
    <mergeCell ref="H4:H10"/>
    <mergeCell ref="I4:I9"/>
    <mergeCell ref="J4:K6"/>
    <mergeCell ref="L4:Z4"/>
    <mergeCell ref="L5:U5"/>
    <mergeCell ref="V5:Z6"/>
    <mergeCell ref="L6:P6"/>
    <mergeCell ref="Q6:U6"/>
    <mergeCell ref="J7:J8"/>
    <mergeCell ref="K7:K8"/>
    <mergeCell ref="L7:L8"/>
    <mergeCell ref="M7:M8"/>
    <mergeCell ref="Z7:Z8"/>
    <mergeCell ref="O7:O8"/>
    <mergeCell ref="P7:P8"/>
    <mergeCell ref="V7:V8"/>
    <mergeCell ref="W7:W8"/>
    <mergeCell ref="X7:X8"/>
    <mergeCell ref="Y7:Y8"/>
    <mergeCell ref="Q7:Q8"/>
    <mergeCell ref="R7:R8"/>
    <mergeCell ref="S7:S8"/>
    <mergeCell ref="T7:T8"/>
    <mergeCell ref="U7:U8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zoomScale="70" zoomScaleNormal="70" workbookViewId="0"/>
  </sheetViews>
  <sheetFormatPr defaultColWidth="8.85546875" defaultRowHeight="15" customHeight="1" x14ac:dyDescent="0.25"/>
  <cols>
    <col min="1" max="1" width="12.7109375" style="195" customWidth="1"/>
    <col min="2" max="5" width="6.7109375" style="195" customWidth="1"/>
    <col min="6" max="6" width="8.7109375" style="195" customWidth="1"/>
    <col min="7" max="7" width="15.7109375" style="195" customWidth="1"/>
    <col min="8" max="26" width="8.7109375" style="195" customWidth="1"/>
    <col min="27" max="16384" width="8.85546875" style="195"/>
  </cols>
  <sheetData>
    <row r="1" spans="1:26" ht="15" customHeight="1" thickBot="1" x14ac:dyDescent="0.3">
      <c r="A1" s="110">
        <v>350</v>
      </c>
    </row>
    <row r="2" spans="1:26" ht="15" customHeight="1" thickBot="1" x14ac:dyDescent="0.3">
      <c r="A2" s="79" t="str">
        <f>Сводная!A23</f>
        <v>ZR250x2,0</v>
      </c>
      <c r="B2" s="93" t="str">
        <f t="shared" ref="B2:Z2" si="0">INDEX(B11:B51,MATCH($A$2,$A$11:$A$51))</f>
        <v>250</v>
      </c>
      <c r="C2" s="93">
        <f t="shared" si="0"/>
        <v>63</v>
      </c>
      <c r="D2" s="93">
        <f t="shared" si="0"/>
        <v>73</v>
      </c>
      <c r="E2" s="93">
        <f t="shared" si="0"/>
        <v>20</v>
      </c>
      <c r="F2" s="93" t="str">
        <f t="shared" si="0"/>
        <v>ZR250</v>
      </c>
      <c r="G2" s="93" t="str">
        <f t="shared" si="0"/>
        <v>250/63/73/20</v>
      </c>
      <c r="H2" s="93">
        <f t="shared" si="0"/>
        <v>2</v>
      </c>
      <c r="I2" s="93">
        <f t="shared" si="0"/>
        <v>6.68</v>
      </c>
      <c r="J2" s="93">
        <f t="shared" si="0"/>
        <v>7.74</v>
      </c>
      <c r="K2" s="93">
        <f t="shared" si="0"/>
        <v>2.02</v>
      </c>
      <c r="L2" s="93">
        <f t="shared" si="0"/>
        <v>8</v>
      </c>
      <c r="M2" s="93">
        <f t="shared" si="0"/>
        <v>707.97</v>
      </c>
      <c r="N2" s="93">
        <f t="shared" si="0"/>
        <v>53.55</v>
      </c>
      <c r="O2" s="93">
        <f t="shared" si="0"/>
        <v>9.4</v>
      </c>
      <c r="P2" s="93">
        <f t="shared" si="0"/>
        <v>11.78</v>
      </c>
      <c r="Q2" s="93">
        <f t="shared" si="0"/>
        <v>7.96</v>
      </c>
      <c r="R2" s="93">
        <f t="shared" si="0"/>
        <v>701.49</v>
      </c>
      <c r="S2" s="93">
        <f t="shared" si="0"/>
        <v>55.27</v>
      </c>
      <c r="T2" s="93">
        <f t="shared" si="0"/>
        <v>9.3800000000000008</v>
      </c>
      <c r="U2" s="93">
        <f t="shared" si="0"/>
        <v>12.69</v>
      </c>
      <c r="V2" s="93">
        <f t="shared" si="0"/>
        <v>8.4700000000000006</v>
      </c>
      <c r="W2" s="93">
        <f t="shared" si="0"/>
        <v>72.02</v>
      </c>
      <c r="X2" s="93">
        <f t="shared" si="0"/>
        <v>9.64</v>
      </c>
      <c r="Y2" s="93">
        <f t="shared" si="0"/>
        <v>2.91</v>
      </c>
      <c r="Z2" s="93">
        <f t="shared" si="0"/>
        <v>6.13</v>
      </c>
    </row>
    <row r="3" spans="1:26" ht="15" customHeight="1" thickBot="1" x14ac:dyDescent="0.3"/>
    <row r="4" spans="1:26" ht="15" customHeight="1" x14ac:dyDescent="0.25">
      <c r="A4" s="361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04" t="s">
        <v>165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26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26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 t="s">
        <v>18</v>
      </c>
      <c r="R6" s="345"/>
      <c r="S6" s="345"/>
      <c r="T6" s="345"/>
      <c r="U6" s="345"/>
      <c r="V6" s="345"/>
      <c r="W6" s="345"/>
      <c r="X6" s="345"/>
      <c r="Y6" s="345"/>
      <c r="Z6" s="357"/>
    </row>
    <row r="7" spans="1:26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 t="s">
        <v>21</v>
      </c>
      <c r="R7" s="364" t="s">
        <v>3</v>
      </c>
      <c r="S7" s="364" t="s">
        <v>156</v>
      </c>
      <c r="T7" s="364" t="s">
        <v>20</v>
      </c>
      <c r="U7" s="381" t="s">
        <v>168</v>
      </c>
      <c r="V7" s="364" t="s">
        <v>21</v>
      </c>
      <c r="W7" s="381" t="s">
        <v>3</v>
      </c>
      <c r="X7" s="364" t="s">
        <v>156</v>
      </c>
      <c r="Y7" s="364" t="s">
        <v>20</v>
      </c>
      <c r="Z7" s="400" t="s">
        <v>168</v>
      </c>
    </row>
    <row r="8" spans="1:26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401"/>
    </row>
    <row r="9" spans="1:26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 t="s">
        <v>172</v>
      </c>
      <c r="R9" s="154" t="s">
        <v>174</v>
      </c>
      <c r="S9" s="154" t="s">
        <v>175</v>
      </c>
      <c r="T9" s="154" t="s">
        <v>176</v>
      </c>
      <c r="U9" s="154" t="s">
        <v>177</v>
      </c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26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 t="s">
        <v>182</v>
      </c>
      <c r="R10" s="156" t="s">
        <v>183</v>
      </c>
      <c r="S10" s="156" t="s">
        <v>184</v>
      </c>
      <c r="T10" s="156" t="s">
        <v>6</v>
      </c>
      <c r="U10" s="156" t="s">
        <v>6</v>
      </c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26" ht="15" customHeight="1" x14ac:dyDescent="0.25">
      <c r="A11" s="144" t="str">
        <f t="shared" ref="A11:A14" si="1">CONCATENATE(F11,"x",(IF(H11=INT(H11),CONCATENATE(H11,",",0),H11)))</f>
        <v>ZR140x1,0</v>
      </c>
      <c r="B11" s="146" t="str">
        <f t="shared" ref="B11:B14" si="2">LEFT(G11,3)</f>
        <v>140</v>
      </c>
      <c r="C11" s="146">
        <f t="shared" ref="C11:C14" si="3">VALUE(MID(G11,(SEARCH("/",G11,1)+1),(SEARCH("/",G11,(SEARCH("/",G11,1)+1))-SEARCH("/",G11,1)-1)))</f>
        <v>49</v>
      </c>
      <c r="D11" s="146">
        <f t="shared" ref="D11:D14" si="4">VALUE(MID(G11,(SEARCH("/",G11,(SEARCH("/",G11,1)+1))+1),(SEARCH("/",G11,SEARCH("/",G11,(SEARCH("/",G11,1)+1))+1))-(SEARCH("/",G11,(SEARCH("/",G11,1)+1))+1)))</f>
        <v>57</v>
      </c>
      <c r="E11" s="146">
        <f t="shared" ref="E11:E14" si="5">VALUE(MID(G11,(SEARCH("/",G11,SEARCH("/",G11,(SEARCH("/",G11,1)+1))+1)+1),4))</f>
        <v>20</v>
      </c>
      <c r="F11" s="158" t="str">
        <f t="shared" ref="F11:F14" si="6">CONCATENATE("ZR",LEFT(G11,3))</f>
        <v>ZR140</v>
      </c>
      <c r="G11" s="159" t="s">
        <v>188</v>
      </c>
      <c r="H11" s="160">
        <v>1</v>
      </c>
      <c r="I11" s="161">
        <v>2.36</v>
      </c>
      <c r="J11" s="161">
        <v>2.5299999999999998</v>
      </c>
      <c r="K11" s="161">
        <v>1.86</v>
      </c>
      <c r="L11" s="161">
        <v>2.79</v>
      </c>
      <c r="M11" s="161">
        <v>78.819999999999993</v>
      </c>
      <c r="N11" s="161">
        <v>10.6</v>
      </c>
      <c r="O11" s="161">
        <v>5.31</v>
      </c>
      <c r="P11" s="161">
        <v>6.57</v>
      </c>
      <c r="Q11" s="161">
        <v>2.72</v>
      </c>
      <c r="R11" s="161">
        <v>76.12</v>
      </c>
      <c r="S11" s="161">
        <v>10.57</v>
      </c>
      <c r="T11" s="161">
        <v>5.28</v>
      </c>
      <c r="U11" s="161">
        <v>7.2</v>
      </c>
      <c r="V11" s="161">
        <v>2.68</v>
      </c>
      <c r="W11" s="161">
        <v>17.440000000000001</v>
      </c>
      <c r="X11" s="161">
        <v>2.85</v>
      </c>
      <c r="Y11" s="161">
        <v>2.5499999999999998</v>
      </c>
      <c r="Z11" s="162">
        <v>4.38</v>
      </c>
    </row>
    <row r="12" spans="1:26" ht="15" customHeight="1" thickBot="1" x14ac:dyDescent="0.3">
      <c r="A12" s="205" t="str">
        <f t="shared" si="1"/>
        <v>ZR140x1,2</v>
      </c>
      <c r="B12" s="206" t="str">
        <f t="shared" si="2"/>
        <v>140</v>
      </c>
      <c r="C12" s="206">
        <f t="shared" si="3"/>
        <v>49</v>
      </c>
      <c r="D12" s="206">
        <f t="shared" si="4"/>
        <v>57</v>
      </c>
      <c r="E12" s="206">
        <f t="shared" si="5"/>
        <v>20</v>
      </c>
      <c r="F12" s="156" t="str">
        <f t="shared" si="6"/>
        <v>ZR140</v>
      </c>
      <c r="G12" s="157" t="s">
        <v>188</v>
      </c>
      <c r="H12" s="202">
        <v>1.2</v>
      </c>
      <c r="I12" s="213">
        <v>2.82</v>
      </c>
      <c r="J12" s="213">
        <v>3.2</v>
      </c>
      <c r="K12" s="213">
        <v>1.91</v>
      </c>
      <c r="L12" s="213">
        <v>3.39</v>
      </c>
      <c r="M12" s="213">
        <v>96.98</v>
      </c>
      <c r="N12" s="213">
        <v>13.28</v>
      </c>
      <c r="O12" s="213">
        <v>5.34</v>
      </c>
      <c r="P12" s="213">
        <v>6.7</v>
      </c>
      <c r="Q12" s="213">
        <v>3.33</v>
      </c>
      <c r="R12" s="213">
        <v>94</v>
      </c>
      <c r="S12" s="213">
        <v>13.31</v>
      </c>
      <c r="T12" s="213">
        <v>5.31</v>
      </c>
      <c r="U12" s="213">
        <v>7.06</v>
      </c>
      <c r="V12" s="213">
        <v>3.29</v>
      </c>
      <c r="W12" s="213">
        <v>22.23</v>
      </c>
      <c r="X12" s="213">
        <v>3.7</v>
      </c>
      <c r="Y12" s="213">
        <v>2.59</v>
      </c>
      <c r="Z12" s="214">
        <v>4.4800000000000004</v>
      </c>
    </row>
    <row r="13" spans="1:26" ht="15" customHeight="1" x14ac:dyDescent="0.25">
      <c r="A13" s="144" t="str">
        <f t="shared" si="1"/>
        <v>ZR160x1,0</v>
      </c>
      <c r="B13" s="146" t="str">
        <f t="shared" si="2"/>
        <v>160</v>
      </c>
      <c r="C13" s="146">
        <f t="shared" si="3"/>
        <v>49</v>
      </c>
      <c r="D13" s="146">
        <f t="shared" si="4"/>
        <v>57</v>
      </c>
      <c r="E13" s="146">
        <f t="shared" si="5"/>
        <v>20</v>
      </c>
      <c r="F13" s="158" t="str">
        <f t="shared" si="6"/>
        <v>ZR160</v>
      </c>
      <c r="G13" s="159" t="s">
        <v>60</v>
      </c>
      <c r="H13" s="160">
        <v>1</v>
      </c>
      <c r="I13" s="161">
        <v>2.54</v>
      </c>
      <c r="J13" s="161">
        <v>2.62</v>
      </c>
      <c r="K13" s="161">
        <v>1.74</v>
      </c>
      <c r="L13" s="161">
        <v>2.99</v>
      </c>
      <c r="M13" s="161">
        <v>107.71</v>
      </c>
      <c r="N13" s="161">
        <v>12.73</v>
      </c>
      <c r="O13" s="161">
        <v>6</v>
      </c>
      <c r="P13" s="161">
        <v>7.54</v>
      </c>
      <c r="Q13" s="161">
        <v>2.92</v>
      </c>
      <c r="R13" s="161">
        <v>104.23</v>
      </c>
      <c r="S13" s="161">
        <v>12.68</v>
      </c>
      <c r="T13" s="161">
        <v>5.96</v>
      </c>
      <c r="U13" s="161">
        <v>8.2200000000000006</v>
      </c>
      <c r="V13" s="161">
        <v>2.88</v>
      </c>
      <c r="W13" s="161">
        <v>17.48</v>
      </c>
      <c r="X13" s="161">
        <v>2.87</v>
      </c>
      <c r="Y13" s="161">
        <v>2.46</v>
      </c>
      <c r="Z13" s="162">
        <v>4.41</v>
      </c>
    </row>
    <row r="14" spans="1:26" ht="15" customHeight="1" x14ac:dyDescent="0.25">
      <c r="A14" s="147" t="str">
        <f t="shared" si="1"/>
        <v>ZR160x1,2</v>
      </c>
      <c r="B14" s="149" t="str">
        <f t="shared" si="2"/>
        <v>160</v>
      </c>
      <c r="C14" s="149">
        <f t="shared" si="3"/>
        <v>49</v>
      </c>
      <c r="D14" s="149">
        <f t="shared" si="4"/>
        <v>57</v>
      </c>
      <c r="E14" s="149">
        <f t="shared" si="5"/>
        <v>20</v>
      </c>
      <c r="F14" s="154" t="str">
        <f t="shared" si="6"/>
        <v>ZR160</v>
      </c>
      <c r="G14" s="155" t="s">
        <v>60</v>
      </c>
      <c r="H14" s="164">
        <v>1.2</v>
      </c>
      <c r="I14" s="165">
        <v>3.04</v>
      </c>
      <c r="J14" s="165">
        <v>3.41</v>
      </c>
      <c r="K14" s="165">
        <v>1.76</v>
      </c>
      <c r="L14" s="165">
        <v>3.63</v>
      </c>
      <c r="M14" s="165">
        <v>132.52000000000001</v>
      </c>
      <c r="N14" s="165">
        <v>15.92</v>
      </c>
      <c r="O14" s="165">
        <v>6.03</v>
      </c>
      <c r="P14" s="165">
        <v>7.68</v>
      </c>
      <c r="Q14" s="165">
        <v>3.57</v>
      </c>
      <c r="R14" s="165">
        <v>128.59</v>
      </c>
      <c r="S14" s="165">
        <v>15.95</v>
      </c>
      <c r="T14" s="165">
        <v>6</v>
      </c>
      <c r="U14" s="165">
        <v>8.06</v>
      </c>
      <c r="V14" s="165">
        <v>3.53</v>
      </c>
      <c r="W14" s="165">
        <v>22.26</v>
      </c>
      <c r="X14" s="165">
        <v>3.72</v>
      </c>
      <c r="Y14" s="165">
        <v>2.5</v>
      </c>
      <c r="Z14" s="166">
        <v>4.5</v>
      </c>
    </row>
    <row r="15" spans="1:26" ht="15" customHeight="1" x14ac:dyDescent="0.25">
      <c r="A15" s="72" t="str">
        <f>CONCATENATE(F15,"x",(IF(H15=INT(H15),CONCATENATE(H15,",",0),H15)))</f>
        <v>ZR160x1,5</v>
      </c>
      <c r="B15" s="3" t="str">
        <f>LEFT(G15,3)</f>
        <v>160</v>
      </c>
      <c r="C15" s="3">
        <f>VALUE(MID(G15,(SEARCH("/",G15,1)+1),(SEARCH("/",G15,(SEARCH("/",G15,1)+1))-SEARCH("/",G15,1)-1)))</f>
        <v>49</v>
      </c>
      <c r="D15" s="3">
        <f>VALUE(MID(G15,(SEARCH("/",G15,(SEARCH("/",G15,1)+1))+1),(SEARCH("/",G15,SEARCH("/",G15,(SEARCH("/",G15,1)+1))+1))-(SEARCH("/",G15,(SEARCH("/",G15,1)+1))+1)))</f>
        <v>57</v>
      </c>
      <c r="E15" s="3">
        <f>VALUE(MID(G15,(SEARCH("/",G15,SEARCH("/",G15,(SEARCH("/",G15,1)+1))+1)+1),4))</f>
        <v>20</v>
      </c>
      <c r="F15" s="4" t="str">
        <f>CONCATENATE("ZR",LEFT(G15,3))</f>
        <v>ZR160</v>
      </c>
      <c r="G15" s="81" t="s">
        <v>60</v>
      </c>
      <c r="H15" s="117">
        <v>1.5</v>
      </c>
      <c r="I15" s="96">
        <v>3.62</v>
      </c>
      <c r="J15" s="96">
        <v>4.53</v>
      </c>
      <c r="K15" s="96">
        <v>1.83</v>
      </c>
      <c r="L15" s="96">
        <v>4.51</v>
      </c>
      <c r="M15" s="96">
        <v>166.73</v>
      </c>
      <c r="N15" s="96">
        <v>20.12</v>
      </c>
      <c r="O15" s="96">
        <v>6.07</v>
      </c>
      <c r="P15" s="96">
        <v>7.71</v>
      </c>
      <c r="Q15" s="96">
        <v>4.4800000000000004</v>
      </c>
      <c r="R15" s="96">
        <v>164.16</v>
      </c>
      <c r="S15" s="96">
        <v>20.36</v>
      </c>
      <c r="T15" s="96">
        <v>6.05</v>
      </c>
      <c r="U15" s="96">
        <v>7.94</v>
      </c>
      <c r="V15" s="96">
        <v>4.58</v>
      </c>
      <c r="W15" s="96">
        <v>30.02</v>
      </c>
      <c r="X15" s="96">
        <v>5.03</v>
      </c>
      <c r="Y15" s="96">
        <v>2.5499999999999998</v>
      </c>
      <c r="Z15" s="97">
        <v>4.63</v>
      </c>
    </row>
    <row r="16" spans="1:26" ht="15" customHeight="1" x14ac:dyDescent="0.25">
      <c r="A16" s="72" t="str">
        <f t="shared" ref="A16:A38" si="7">CONCATENATE(F16,"x",(IF(H16=INT(H16),CONCATENATE(H16,",",0),H16)))</f>
        <v>ZR160x2,0</v>
      </c>
      <c r="B16" s="3" t="str">
        <f t="shared" ref="B16:B38" si="8">LEFT(G16,3)</f>
        <v>160</v>
      </c>
      <c r="C16" s="3">
        <f t="shared" ref="C16:C38" si="9">VALUE(MID(G16,(SEARCH("/",G16,1)+1),(SEARCH("/",G16,(SEARCH("/",G16,1)+1))-SEARCH("/",G16,1)-1)))</f>
        <v>50</v>
      </c>
      <c r="D16" s="3">
        <f t="shared" ref="D16:D38" si="10">VALUE(MID(G16,(SEARCH("/",G16,(SEARCH("/",G16,1)+1))+1),(SEARCH("/",G16,SEARCH("/",G16,(SEARCH("/",G16,1)+1))+1))-(SEARCH("/",G16,(SEARCH("/",G16,1)+1))+1)))</f>
        <v>58</v>
      </c>
      <c r="E16" s="3">
        <f t="shared" ref="E16:E38" si="11">VALUE(MID(G16,(SEARCH("/",G16,SEARCH("/",G16,(SEARCH("/",G16,1)+1))+1)+1),4))</f>
        <v>21</v>
      </c>
      <c r="F16" s="4" t="str">
        <f t="shared" ref="F16:F38" si="12">CONCATENATE("ZR",LEFT(G16,3))</f>
        <v>ZR160</v>
      </c>
      <c r="G16" s="81" t="s">
        <v>61</v>
      </c>
      <c r="H16" s="117">
        <v>2</v>
      </c>
      <c r="I16" s="96">
        <v>4.8600000000000003</v>
      </c>
      <c r="J16" s="96">
        <v>6.15</v>
      </c>
      <c r="K16" s="96">
        <v>1.89</v>
      </c>
      <c r="L16" s="96">
        <v>6.15</v>
      </c>
      <c r="M16" s="96">
        <v>224.73</v>
      </c>
      <c r="N16" s="96">
        <v>27.38</v>
      </c>
      <c r="O16" s="96">
        <v>6.04</v>
      </c>
      <c r="P16" s="96">
        <v>7.79</v>
      </c>
      <c r="Q16" s="96">
        <v>6.15</v>
      </c>
      <c r="R16" s="96">
        <v>224.73</v>
      </c>
      <c r="S16" s="96">
        <v>27.38</v>
      </c>
      <c r="T16" s="96">
        <v>6.04</v>
      </c>
      <c r="U16" s="96">
        <v>7.79</v>
      </c>
      <c r="V16" s="96">
        <v>6.15</v>
      </c>
      <c r="W16" s="96">
        <v>41.84</v>
      </c>
      <c r="X16" s="96">
        <v>6.87</v>
      </c>
      <c r="Y16" s="96">
        <v>2.6</v>
      </c>
      <c r="Z16" s="97">
        <v>4.72</v>
      </c>
    </row>
    <row r="17" spans="1:26" ht="15" customHeight="1" x14ac:dyDescent="0.25">
      <c r="A17" s="72" t="str">
        <f t="shared" si="7"/>
        <v>ZR160x2,5</v>
      </c>
      <c r="B17" s="3" t="str">
        <f t="shared" si="8"/>
        <v>160</v>
      </c>
      <c r="C17" s="3">
        <f t="shared" si="9"/>
        <v>51</v>
      </c>
      <c r="D17" s="3">
        <f t="shared" si="10"/>
        <v>59</v>
      </c>
      <c r="E17" s="3">
        <f t="shared" si="11"/>
        <v>22</v>
      </c>
      <c r="F17" s="4" t="str">
        <f t="shared" si="12"/>
        <v>ZR160</v>
      </c>
      <c r="G17" s="81" t="s">
        <v>62</v>
      </c>
      <c r="H17" s="117">
        <v>2.5</v>
      </c>
      <c r="I17" s="96">
        <v>6.11</v>
      </c>
      <c r="J17" s="96">
        <v>7.73</v>
      </c>
      <c r="K17" s="96">
        <v>1.93</v>
      </c>
      <c r="L17" s="96">
        <v>7.73</v>
      </c>
      <c r="M17" s="96">
        <v>281.04000000000002</v>
      </c>
      <c r="N17" s="96">
        <v>34.25</v>
      </c>
      <c r="O17" s="96">
        <v>6.02</v>
      </c>
      <c r="P17" s="96">
        <v>7.8</v>
      </c>
      <c r="Q17" s="96">
        <v>7.73</v>
      </c>
      <c r="R17" s="96">
        <v>281.04000000000002</v>
      </c>
      <c r="S17" s="96">
        <v>34.25</v>
      </c>
      <c r="T17" s="96">
        <v>6.02</v>
      </c>
      <c r="U17" s="96">
        <v>7.8</v>
      </c>
      <c r="V17" s="96">
        <v>7.73</v>
      </c>
      <c r="W17" s="96">
        <v>54.38</v>
      </c>
      <c r="X17" s="96">
        <v>8.76</v>
      </c>
      <c r="Y17" s="96">
        <v>2.65</v>
      </c>
      <c r="Z17" s="97">
        <v>4.79</v>
      </c>
    </row>
    <row r="18" spans="1:26" ht="15" customHeight="1" thickBot="1" x14ac:dyDescent="0.3">
      <c r="A18" s="73" t="str">
        <f t="shared" si="7"/>
        <v>ZR160x3,0</v>
      </c>
      <c r="B18" s="5" t="str">
        <f t="shared" si="8"/>
        <v>160</v>
      </c>
      <c r="C18" s="5">
        <f t="shared" si="9"/>
        <v>52</v>
      </c>
      <c r="D18" s="5">
        <f t="shared" si="10"/>
        <v>60</v>
      </c>
      <c r="E18" s="5">
        <f t="shared" si="11"/>
        <v>23</v>
      </c>
      <c r="F18" s="6" t="str">
        <f t="shared" si="12"/>
        <v>ZR160</v>
      </c>
      <c r="G18" s="82" t="s">
        <v>63</v>
      </c>
      <c r="H18" s="118">
        <v>3</v>
      </c>
      <c r="I18" s="98">
        <v>7.38</v>
      </c>
      <c r="J18" s="98">
        <v>9.32</v>
      </c>
      <c r="K18" s="98">
        <v>1.98</v>
      </c>
      <c r="L18" s="98">
        <v>9.32</v>
      </c>
      <c r="M18" s="98">
        <v>337.32</v>
      </c>
      <c r="N18" s="98">
        <v>41.12</v>
      </c>
      <c r="O18" s="98">
        <v>6.01</v>
      </c>
      <c r="P18" s="98">
        <v>7.8</v>
      </c>
      <c r="Q18" s="98">
        <v>9.32</v>
      </c>
      <c r="R18" s="98">
        <v>337.32</v>
      </c>
      <c r="S18" s="98">
        <v>41.12</v>
      </c>
      <c r="T18" s="98">
        <v>6.01</v>
      </c>
      <c r="U18" s="98">
        <v>7.8</v>
      </c>
      <c r="V18" s="98">
        <v>9.32</v>
      </c>
      <c r="W18" s="98">
        <v>67.819999999999993</v>
      </c>
      <c r="X18" s="98">
        <v>10.71</v>
      </c>
      <c r="Y18" s="98">
        <v>2.69</v>
      </c>
      <c r="Z18" s="99">
        <v>4.87</v>
      </c>
    </row>
    <row r="19" spans="1:26" ht="15" customHeight="1" x14ac:dyDescent="0.25">
      <c r="A19" s="72" t="str">
        <f t="shared" si="7"/>
        <v>ZR180x1,5</v>
      </c>
      <c r="B19" s="3" t="str">
        <f t="shared" si="8"/>
        <v>180</v>
      </c>
      <c r="C19" s="3">
        <f t="shared" si="9"/>
        <v>49</v>
      </c>
      <c r="D19" s="3">
        <f t="shared" si="10"/>
        <v>57</v>
      </c>
      <c r="E19" s="3">
        <f t="shared" si="11"/>
        <v>20</v>
      </c>
      <c r="F19" s="4" t="str">
        <f t="shared" si="12"/>
        <v>ZR180</v>
      </c>
      <c r="G19" s="81" t="s">
        <v>64</v>
      </c>
      <c r="H19" s="117">
        <v>1.5</v>
      </c>
      <c r="I19" s="94">
        <v>3.85</v>
      </c>
      <c r="J19" s="94">
        <v>4.72</v>
      </c>
      <c r="K19" s="94">
        <v>1.7</v>
      </c>
      <c r="L19" s="94">
        <v>4.68</v>
      </c>
      <c r="M19" s="94">
        <v>216.22</v>
      </c>
      <c r="N19" s="94">
        <v>22.87</v>
      </c>
      <c r="O19" s="94">
        <v>6.79</v>
      </c>
      <c r="P19" s="94">
        <v>8.5500000000000007</v>
      </c>
      <c r="Q19" s="94">
        <v>4.6500000000000004</v>
      </c>
      <c r="R19" s="94">
        <v>213.37</v>
      </c>
      <c r="S19" s="94">
        <v>23.5</v>
      </c>
      <c r="T19" s="94">
        <v>6.77</v>
      </c>
      <c r="U19" s="94">
        <v>9.08</v>
      </c>
      <c r="V19" s="94">
        <v>4.88</v>
      </c>
      <c r="W19" s="94">
        <v>30.03</v>
      </c>
      <c r="X19" s="94">
        <v>5.04</v>
      </c>
      <c r="Y19" s="94">
        <v>2.4700000000000002</v>
      </c>
      <c r="Z19" s="95">
        <v>4.6399999999999997</v>
      </c>
    </row>
    <row r="20" spans="1:26" ht="15" customHeight="1" x14ac:dyDescent="0.25">
      <c r="A20" s="72" t="str">
        <f t="shared" si="7"/>
        <v>ZR180x2,0</v>
      </c>
      <c r="B20" s="3" t="str">
        <f t="shared" si="8"/>
        <v>180</v>
      </c>
      <c r="C20" s="3">
        <f t="shared" si="9"/>
        <v>50</v>
      </c>
      <c r="D20" s="3">
        <f t="shared" si="10"/>
        <v>58</v>
      </c>
      <c r="E20" s="3">
        <f t="shared" si="11"/>
        <v>21</v>
      </c>
      <c r="F20" s="4" t="str">
        <f t="shared" si="12"/>
        <v>ZR180</v>
      </c>
      <c r="G20" s="81" t="s">
        <v>65</v>
      </c>
      <c r="H20" s="117">
        <v>2</v>
      </c>
      <c r="I20" s="96">
        <v>5.17</v>
      </c>
      <c r="J20" s="96">
        <v>6.55</v>
      </c>
      <c r="K20" s="96">
        <v>1.75</v>
      </c>
      <c r="L20" s="96">
        <v>6.55</v>
      </c>
      <c r="M20" s="96">
        <v>296.82</v>
      </c>
      <c r="N20" s="96">
        <v>32.200000000000003</v>
      </c>
      <c r="O20" s="96">
        <v>6.72</v>
      </c>
      <c r="P20" s="96">
        <v>8.7799999999999994</v>
      </c>
      <c r="Q20" s="96">
        <v>6.55</v>
      </c>
      <c r="R20" s="96">
        <v>296.82</v>
      </c>
      <c r="S20" s="96">
        <v>32.200000000000003</v>
      </c>
      <c r="T20" s="96">
        <v>6.72</v>
      </c>
      <c r="U20" s="96">
        <v>8.7799999999999994</v>
      </c>
      <c r="V20" s="96">
        <v>6.55</v>
      </c>
      <c r="W20" s="96">
        <v>41.86</v>
      </c>
      <c r="X20" s="96">
        <v>6.89</v>
      </c>
      <c r="Y20" s="96">
        <v>2.52</v>
      </c>
      <c r="Z20" s="97">
        <v>4.7300000000000004</v>
      </c>
    </row>
    <row r="21" spans="1:26" ht="15" customHeight="1" x14ac:dyDescent="0.25">
      <c r="A21" s="72" t="str">
        <f t="shared" si="7"/>
        <v>ZR180x2,5</v>
      </c>
      <c r="B21" s="3" t="str">
        <f t="shared" si="8"/>
        <v>180</v>
      </c>
      <c r="C21" s="3">
        <f t="shared" si="9"/>
        <v>51</v>
      </c>
      <c r="D21" s="3">
        <f t="shared" si="10"/>
        <v>59</v>
      </c>
      <c r="E21" s="3">
        <f t="shared" si="11"/>
        <v>22</v>
      </c>
      <c r="F21" s="4" t="str">
        <f t="shared" si="12"/>
        <v>ZR180</v>
      </c>
      <c r="G21" s="81" t="s">
        <v>66</v>
      </c>
      <c r="H21" s="117">
        <v>2.5</v>
      </c>
      <c r="I21" s="96">
        <v>6.5</v>
      </c>
      <c r="J21" s="96">
        <v>8.23</v>
      </c>
      <c r="K21" s="96">
        <v>1.79</v>
      </c>
      <c r="L21" s="96">
        <v>8.23</v>
      </c>
      <c r="M21" s="96">
        <v>371.48</v>
      </c>
      <c r="N21" s="96">
        <v>40.31</v>
      </c>
      <c r="O21" s="96">
        <v>6.71</v>
      </c>
      <c r="P21" s="96">
        <v>8.7799999999999994</v>
      </c>
      <c r="Q21" s="96">
        <v>8.23</v>
      </c>
      <c r="R21" s="96">
        <v>371.48</v>
      </c>
      <c r="S21" s="96">
        <v>40.31</v>
      </c>
      <c r="T21" s="96">
        <v>6.71</v>
      </c>
      <c r="U21" s="96">
        <v>8.7799999999999994</v>
      </c>
      <c r="V21" s="96">
        <v>8.23</v>
      </c>
      <c r="W21" s="96">
        <v>54.4</v>
      </c>
      <c r="X21" s="96">
        <v>8.7799999999999994</v>
      </c>
      <c r="Y21" s="96">
        <v>2.57</v>
      </c>
      <c r="Z21" s="97">
        <v>4.8099999999999996</v>
      </c>
    </row>
    <row r="22" spans="1:26" ht="15" customHeight="1" thickBot="1" x14ac:dyDescent="0.3">
      <c r="A22" s="73" t="str">
        <f t="shared" si="7"/>
        <v>ZR180x3,0</v>
      </c>
      <c r="B22" s="5" t="str">
        <f t="shared" si="8"/>
        <v>180</v>
      </c>
      <c r="C22" s="5">
        <f t="shared" si="9"/>
        <v>52</v>
      </c>
      <c r="D22" s="5">
        <f t="shared" si="10"/>
        <v>60</v>
      </c>
      <c r="E22" s="5">
        <f t="shared" si="11"/>
        <v>23</v>
      </c>
      <c r="F22" s="6" t="str">
        <f t="shared" si="12"/>
        <v>ZR180</v>
      </c>
      <c r="G22" s="82" t="s">
        <v>67</v>
      </c>
      <c r="H22" s="118">
        <v>3</v>
      </c>
      <c r="I22" s="108">
        <v>7.85</v>
      </c>
      <c r="J22" s="108">
        <v>9.92</v>
      </c>
      <c r="K22" s="108">
        <v>1.84</v>
      </c>
      <c r="L22" s="108">
        <v>9.92</v>
      </c>
      <c r="M22" s="108">
        <v>446.25</v>
      </c>
      <c r="N22" s="108">
        <v>48.43</v>
      </c>
      <c r="O22" s="108">
        <v>6.7</v>
      </c>
      <c r="P22" s="108">
        <v>8.7899999999999991</v>
      </c>
      <c r="Q22" s="108">
        <v>9.92</v>
      </c>
      <c r="R22" s="108">
        <v>446.25</v>
      </c>
      <c r="S22" s="108">
        <v>48.43</v>
      </c>
      <c r="T22" s="108">
        <v>6.7</v>
      </c>
      <c r="U22" s="108">
        <v>8.7899999999999991</v>
      </c>
      <c r="V22" s="108">
        <v>9.92</v>
      </c>
      <c r="W22" s="108">
        <v>67.84</v>
      </c>
      <c r="X22" s="108">
        <v>10.74</v>
      </c>
      <c r="Y22" s="108">
        <v>2.61</v>
      </c>
      <c r="Z22" s="109">
        <v>4.88</v>
      </c>
    </row>
    <row r="23" spans="1:26" ht="15" customHeight="1" x14ac:dyDescent="0.25">
      <c r="A23" s="71" t="str">
        <f t="shared" si="7"/>
        <v>ZR200x1,0</v>
      </c>
      <c r="B23" s="1" t="str">
        <f t="shared" si="8"/>
        <v>200</v>
      </c>
      <c r="C23" s="1">
        <f t="shared" si="9"/>
        <v>49</v>
      </c>
      <c r="D23" s="1">
        <f t="shared" si="10"/>
        <v>57</v>
      </c>
      <c r="E23" s="1">
        <f t="shared" si="11"/>
        <v>20</v>
      </c>
      <c r="F23" s="2" t="str">
        <f t="shared" si="12"/>
        <v>ZR200</v>
      </c>
      <c r="G23" s="80" t="s">
        <v>68</v>
      </c>
      <c r="H23" s="116">
        <v>1</v>
      </c>
      <c r="I23" s="94">
        <v>2.83</v>
      </c>
      <c r="J23" s="94">
        <v>2.7</v>
      </c>
      <c r="K23" s="94">
        <v>1.57</v>
      </c>
      <c r="L23" s="94">
        <v>3.25</v>
      </c>
      <c r="M23" s="94">
        <v>174.23</v>
      </c>
      <c r="N23" s="94">
        <v>16.05</v>
      </c>
      <c r="O23" s="94">
        <v>7.32</v>
      </c>
      <c r="P23" s="94">
        <v>9.15</v>
      </c>
      <c r="Q23" s="94">
        <v>3.18</v>
      </c>
      <c r="R23" s="94">
        <v>171.23</v>
      </c>
      <c r="S23" s="94">
        <v>16.260000000000002</v>
      </c>
      <c r="T23" s="94">
        <v>7.32</v>
      </c>
      <c r="U23" s="94">
        <v>10.53</v>
      </c>
      <c r="V23" s="94">
        <v>3.28</v>
      </c>
      <c r="W23" s="94">
        <v>17.55</v>
      </c>
      <c r="X23" s="94">
        <v>2.91</v>
      </c>
      <c r="Y23" s="94">
        <v>2.31</v>
      </c>
      <c r="Z23" s="95">
        <v>4.47</v>
      </c>
    </row>
    <row r="24" spans="1:26" ht="15" customHeight="1" x14ac:dyDescent="0.25">
      <c r="A24" s="72" t="str">
        <f t="shared" si="7"/>
        <v>ZR200x1,2</v>
      </c>
      <c r="B24" s="3" t="str">
        <f t="shared" si="8"/>
        <v>200</v>
      </c>
      <c r="C24" s="3">
        <f t="shared" si="9"/>
        <v>49</v>
      </c>
      <c r="D24" s="3">
        <f t="shared" si="10"/>
        <v>57</v>
      </c>
      <c r="E24" s="3">
        <f t="shared" si="11"/>
        <v>20</v>
      </c>
      <c r="F24" s="4" t="str">
        <f t="shared" si="12"/>
        <v>ZR200</v>
      </c>
      <c r="G24" s="81" t="s">
        <v>68</v>
      </c>
      <c r="H24" s="117">
        <v>1.2</v>
      </c>
      <c r="I24" s="96">
        <v>3.39</v>
      </c>
      <c r="J24" s="96">
        <v>3.55</v>
      </c>
      <c r="K24" s="96">
        <v>1.58</v>
      </c>
      <c r="L24" s="96">
        <v>4.03</v>
      </c>
      <c r="M24" s="96">
        <v>219.7</v>
      </c>
      <c r="N24" s="96">
        <v>20.88</v>
      </c>
      <c r="O24" s="96">
        <v>7.38</v>
      </c>
      <c r="P24" s="96">
        <v>9.48</v>
      </c>
      <c r="Q24" s="96">
        <v>3.96</v>
      </c>
      <c r="R24" s="96">
        <v>215.31</v>
      </c>
      <c r="S24" s="96">
        <v>21.1</v>
      </c>
      <c r="T24" s="96">
        <v>7.36</v>
      </c>
      <c r="U24" s="96">
        <v>10.199999999999999</v>
      </c>
      <c r="V24" s="96">
        <v>4.01</v>
      </c>
      <c r="W24" s="96">
        <v>22.31</v>
      </c>
      <c r="X24" s="96">
        <v>3.75</v>
      </c>
      <c r="Y24" s="96">
        <v>2.35</v>
      </c>
      <c r="Z24" s="97">
        <v>4.54</v>
      </c>
    </row>
    <row r="25" spans="1:26" ht="15" customHeight="1" x14ac:dyDescent="0.25">
      <c r="A25" s="72" t="str">
        <f t="shared" si="7"/>
        <v>ZR200x1,5</v>
      </c>
      <c r="B25" s="3" t="str">
        <f t="shared" si="8"/>
        <v>200</v>
      </c>
      <c r="C25" s="3">
        <f t="shared" si="9"/>
        <v>49</v>
      </c>
      <c r="D25" s="3">
        <f t="shared" si="10"/>
        <v>57</v>
      </c>
      <c r="E25" s="3">
        <f t="shared" si="11"/>
        <v>20</v>
      </c>
      <c r="F25" s="4" t="str">
        <f t="shared" si="12"/>
        <v>ZR200</v>
      </c>
      <c r="G25" s="81" t="s">
        <v>68</v>
      </c>
      <c r="H25" s="117">
        <v>1.5</v>
      </c>
      <c r="I25" s="96">
        <v>4.09</v>
      </c>
      <c r="J25" s="96">
        <v>4.82</v>
      </c>
      <c r="K25" s="96">
        <v>1.61</v>
      </c>
      <c r="L25" s="96">
        <v>4.84</v>
      </c>
      <c r="M25" s="96">
        <v>272.95999999999998</v>
      </c>
      <c r="N25" s="96">
        <v>25.64</v>
      </c>
      <c r="O25" s="96">
        <v>7.5</v>
      </c>
      <c r="P25" s="96">
        <v>9.36</v>
      </c>
      <c r="Q25" s="96">
        <v>4.82</v>
      </c>
      <c r="R25" s="96">
        <v>269.89999999999998</v>
      </c>
      <c r="S25" s="96">
        <v>26.36</v>
      </c>
      <c r="T25" s="96">
        <v>7.48</v>
      </c>
      <c r="U25" s="96">
        <v>10.24</v>
      </c>
      <c r="V25" s="96">
        <v>5.18</v>
      </c>
      <c r="W25" s="96">
        <v>30.04</v>
      </c>
      <c r="X25" s="96">
        <v>5.05</v>
      </c>
      <c r="Y25" s="96">
        <v>2.4</v>
      </c>
      <c r="Z25" s="97">
        <v>4.66</v>
      </c>
    </row>
    <row r="26" spans="1:26" ht="15" customHeight="1" x14ac:dyDescent="0.25">
      <c r="A26" s="72" t="str">
        <f t="shared" si="7"/>
        <v>ZR200x2,0</v>
      </c>
      <c r="B26" s="3" t="str">
        <f t="shared" si="8"/>
        <v>200</v>
      </c>
      <c r="C26" s="3">
        <f t="shared" si="9"/>
        <v>50</v>
      </c>
      <c r="D26" s="3">
        <f t="shared" si="10"/>
        <v>58</v>
      </c>
      <c r="E26" s="3">
        <f t="shared" si="11"/>
        <v>21</v>
      </c>
      <c r="F26" s="4" t="str">
        <f t="shared" si="12"/>
        <v>ZR200</v>
      </c>
      <c r="G26" s="81" t="s">
        <v>69</v>
      </c>
      <c r="H26" s="117">
        <v>2</v>
      </c>
      <c r="I26" s="96">
        <v>5.48</v>
      </c>
      <c r="J26" s="96">
        <v>6.94</v>
      </c>
      <c r="K26" s="96">
        <v>1.63</v>
      </c>
      <c r="L26" s="96">
        <v>6.93</v>
      </c>
      <c r="M26" s="96">
        <v>380.88</v>
      </c>
      <c r="N26" s="96">
        <v>37.19</v>
      </c>
      <c r="O26" s="96">
        <v>7.4</v>
      </c>
      <c r="P26" s="96">
        <v>9.76</v>
      </c>
      <c r="Q26" s="96">
        <v>6.94</v>
      </c>
      <c r="R26" s="96">
        <v>380.97</v>
      </c>
      <c r="S26" s="96">
        <v>37.29</v>
      </c>
      <c r="T26" s="96">
        <v>7.4</v>
      </c>
      <c r="U26" s="96">
        <v>9.7799999999999994</v>
      </c>
      <c r="V26" s="96">
        <v>6.95</v>
      </c>
      <c r="W26" s="96">
        <v>41.87</v>
      </c>
      <c r="X26" s="96">
        <v>6.9</v>
      </c>
      <c r="Y26" s="96">
        <v>2.4500000000000002</v>
      </c>
      <c r="Z26" s="97">
        <v>4.74</v>
      </c>
    </row>
    <row r="27" spans="1:26" ht="15" customHeight="1" x14ac:dyDescent="0.25">
      <c r="A27" s="72" t="str">
        <f t="shared" si="7"/>
        <v>ZR200x2,5</v>
      </c>
      <c r="B27" s="3" t="str">
        <f t="shared" si="8"/>
        <v>200</v>
      </c>
      <c r="C27" s="3">
        <f t="shared" si="9"/>
        <v>51</v>
      </c>
      <c r="D27" s="3">
        <f t="shared" si="10"/>
        <v>59</v>
      </c>
      <c r="E27" s="3">
        <f t="shared" si="11"/>
        <v>22</v>
      </c>
      <c r="F27" s="4" t="str">
        <f t="shared" si="12"/>
        <v>ZR200</v>
      </c>
      <c r="G27" s="81" t="s">
        <v>70</v>
      </c>
      <c r="H27" s="117">
        <v>2.5</v>
      </c>
      <c r="I27" s="96">
        <v>6.9</v>
      </c>
      <c r="J27" s="96">
        <v>8.73</v>
      </c>
      <c r="K27" s="96">
        <v>1.67</v>
      </c>
      <c r="L27" s="96">
        <v>8.73</v>
      </c>
      <c r="M27" s="96">
        <v>477.66</v>
      </c>
      <c r="N27" s="96">
        <v>46.71</v>
      </c>
      <c r="O27" s="96">
        <v>7.39</v>
      </c>
      <c r="P27" s="96">
        <v>9.77</v>
      </c>
      <c r="Q27" s="96">
        <v>8.73</v>
      </c>
      <c r="R27" s="96">
        <v>477.66</v>
      </c>
      <c r="S27" s="96">
        <v>46.71</v>
      </c>
      <c r="T27" s="96">
        <v>7.39</v>
      </c>
      <c r="U27" s="96">
        <v>9.77</v>
      </c>
      <c r="V27" s="96">
        <v>8.73</v>
      </c>
      <c r="W27" s="96">
        <v>54.42</v>
      </c>
      <c r="X27" s="96">
        <v>8.7899999999999991</v>
      </c>
      <c r="Y27" s="96">
        <v>2.4900000000000002</v>
      </c>
      <c r="Z27" s="97">
        <v>4.8099999999999996</v>
      </c>
    </row>
    <row r="28" spans="1:26" ht="15" customHeight="1" thickBot="1" x14ac:dyDescent="0.3">
      <c r="A28" s="73" t="str">
        <f t="shared" si="7"/>
        <v>ZR200x3,0</v>
      </c>
      <c r="B28" s="5" t="str">
        <f t="shared" si="8"/>
        <v>200</v>
      </c>
      <c r="C28" s="5">
        <f t="shared" si="9"/>
        <v>52</v>
      </c>
      <c r="D28" s="5">
        <f t="shared" si="10"/>
        <v>60</v>
      </c>
      <c r="E28" s="5">
        <f t="shared" si="11"/>
        <v>23</v>
      </c>
      <c r="F28" s="6" t="str">
        <f t="shared" si="12"/>
        <v>ZR200</v>
      </c>
      <c r="G28" s="82" t="s">
        <v>71</v>
      </c>
      <c r="H28" s="118">
        <v>3</v>
      </c>
      <c r="I28" s="98">
        <v>8.32</v>
      </c>
      <c r="J28" s="98">
        <v>10.52</v>
      </c>
      <c r="K28" s="98">
        <v>1.71</v>
      </c>
      <c r="L28" s="98">
        <v>10.52</v>
      </c>
      <c r="M28" s="98">
        <v>574.16</v>
      </c>
      <c r="N28" s="98">
        <v>56.15</v>
      </c>
      <c r="O28" s="98">
        <v>7.38</v>
      </c>
      <c r="P28" s="98">
        <v>9.7799999999999994</v>
      </c>
      <c r="Q28" s="98">
        <v>10.52</v>
      </c>
      <c r="R28" s="98">
        <v>574.16</v>
      </c>
      <c r="S28" s="98">
        <v>56.15</v>
      </c>
      <c r="T28" s="98">
        <v>7.38</v>
      </c>
      <c r="U28" s="98">
        <v>9.7799999999999994</v>
      </c>
      <c r="V28" s="98">
        <v>10.52</v>
      </c>
      <c r="W28" s="98">
        <v>67.86</v>
      </c>
      <c r="X28" s="98">
        <v>10.75</v>
      </c>
      <c r="Y28" s="98">
        <v>2.5299999999999998</v>
      </c>
      <c r="Z28" s="99">
        <v>4.8899999999999997</v>
      </c>
    </row>
    <row r="29" spans="1:26" ht="15" customHeight="1" x14ac:dyDescent="0.25">
      <c r="A29" s="71" t="str">
        <f t="shared" si="7"/>
        <v>ZR220x1,5</v>
      </c>
      <c r="B29" s="1" t="str">
        <f t="shared" si="8"/>
        <v>220</v>
      </c>
      <c r="C29" s="1">
        <f t="shared" si="9"/>
        <v>49</v>
      </c>
      <c r="D29" s="1">
        <f t="shared" si="10"/>
        <v>57</v>
      </c>
      <c r="E29" s="1">
        <f t="shared" si="11"/>
        <v>20</v>
      </c>
      <c r="F29" s="2" t="str">
        <f t="shared" si="12"/>
        <v>ZR220</v>
      </c>
      <c r="G29" s="80" t="s">
        <v>72</v>
      </c>
      <c r="H29" s="116">
        <v>1.5</v>
      </c>
      <c r="I29" s="96">
        <v>4.33</v>
      </c>
      <c r="J29" s="96">
        <v>4.8899999999999997</v>
      </c>
      <c r="K29" s="96">
        <v>1.54</v>
      </c>
      <c r="L29" s="96">
        <v>5</v>
      </c>
      <c r="M29" s="96">
        <v>337.12</v>
      </c>
      <c r="N29" s="96">
        <v>28.44</v>
      </c>
      <c r="O29" s="96">
        <v>8.1999999999999993</v>
      </c>
      <c r="P29" s="96">
        <v>10.15</v>
      </c>
      <c r="Q29" s="96">
        <v>4.9800000000000004</v>
      </c>
      <c r="R29" s="96">
        <v>333.98</v>
      </c>
      <c r="S29" s="96">
        <v>29.24</v>
      </c>
      <c r="T29" s="96">
        <v>8.18</v>
      </c>
      <c r="U29" s="96">
        <v>11.42</v>
      </c>
      <c r="V29" s="96">
        <v>5.48</v>
      </c>
      <c r="W29" s="96">
        <v>30.05</v>
      </c>
      <c r="X29" s="96">
        <v>5.0599999999999996</v>
      </c>
      <c r="Y29" s="96">
        <v>2.33</v>
      </c>
      <c r="Z29" s="97">
        <v>4.66</v>
      </c>
    </row>
    <row r="30" spans="1:26" ht="15" customHeight="1" x14ac:dyDescent="0.25">
      <c r="A30" s="72" t="str">
        <f t="shared" si="7"/>
        <v>ZR220x2,0</v>
      </c>
      <c r="B30" s="3" t="str">
        <f t="shared" si="8"/>
        <v>220</v>
      </c>
      <c r="C30" s="3">
        <f t="shared" si="9"/>
        <v>50</v>
      </c>
      <c r="D30" s="3">
        <f t="shared" si="10"/>
        <v>58</v>
      </c>
      <c r="E30" s="3">
        <f t="shared" si="11"/>
        <v>21</v>
      </c>
      <c r="F30" s="4" t="str">
        <f t="shared" si="12"/>
        <v>ZR220</v>
      </c>
      <c r="G30" s="81" t="s">
        <v>73</v>
      </c>
      <c r="H30" s="117">
        <v>2</v>
      </c>
      <c r="I30" s="96">
        <v>5.8</v>
      </c>
      <c r="J30" s="96">
        <v>7.1</v>
      </c>
      <c r="K30" s="96">
        <v>1.55</v>
      </c>
      <c r="L30" s="96">
        <v>7.16</v>
      </c>
      <c r="M30" s="96">
        <v>471.13</v>
      </c>
      <c r="N30" s="96">
        <v>41.29</v>
      </c>
      <c r="O30" s="96">
        <v>8.1</v>
      </c>
      <c r="P30" s="96">
        <v>10.59</v>
      </c>
      <c r="Q30" s="96">
        <v>7.17</v>
      </c>
      <c r="R30" s="96">
        <v>472.17</v>
      </c>
      <c r="S30" s="96">
        <v>42.61</v>
      </c>
      <c r="T30" s="96">
        <v>8.11</v>
      </c>
      <c r="U30" s="96">
        <v>10.92</v>
      </c>
      <c r="V30" s="96">
        <v>7.35</v>
      </c>
      <c r="W30" s="96">
        <v>41.88</v>
      </c>
      <c r="X30" s="96">
        <v>6.91</v>
      </c>
      <c r="Y30" s="96">
        <v>2.38</v>
      </c>
      <c r="Z30" s="97">
        <v>4.75</v>
      </c>
    </row>
    <row r="31" spans="1:26" ht="15" customHeight="1" x14ac:dyDescent="0.25">
      <c r="A31" s="72" t="str">
        <f t="shared" si="7"/>
        <v>ZR220x2,5</v>
      </c>
      <c r="B31" s="3" t="str">
        <f t="shared" si="8"/>
        <v>220</v>
      </c>
      <c r="C31" s="3">
        <f t="shared" si="9"/>
        <v>51</v>
      </c>
      <c r="D31" s="3">
        <f t="shared" si="10"/>
        <v>59</v>
      </c>
      <c r="E31" s="3">
        <f t="shared" si="11"/>
        <v>22</v>
      </c>
      <c r="F31" s="4" t="str">
        <f t="shared" si="12"/>
        <v>ZR220</v>
      </c>
      <c r="G31" s="81" t="s">
        <v>74</v>
      </c>
      <c r="H31" s="117">
        <v>2.5</v>
      </c>
      <c r="I31" s="96">
        <v>7.29</v>
      </c>
      <c r="J31" s="96">
        <v>9.23</v>
      </c>
      <c r="K31" s="96">
        <v>1.57</v>
      </c>
      <c r="L31" s="96">
        <v>9.23</v>
      </c>
      <c r="M31" s="96">
        <v>600.6</v>
      </c>
      <c r="N31" s="96">
        <v>53.45</v>
      </c>
      <c r="O31" s="96">
        <v>8.06</v>
      </c>
      <c r="P31" s="96">
        <v>10.76</v>
      </c>
      <c r="Q31" s="96">
        <v>9.23</v>
      </c>
      <c r="R31" s="96">
        <v>600.6</v>
      </c>
      <c r="S31" s="96">
        <v>53.45</v>
      </c>
      <c r="T31" s="96">
        <v>8.06</v>
      </c>
      <c r="U31" s="96">
        <v>10.76</v>
      </c>
      <c r="V31" s="96">
        <v>9.23</v>
      </c>
      <c r="W31" s="96">
        <v>54.43</v>
      </c>
      <c r="X31" s="96">
        <v>8.81</v>
      </c>
      <c r="Y31" s="96">
        <v>2.42</v>
      </c>
      <c r="Z31" s="97">
        <v>4.82</v>
      </c>
    </row>
    <row r="32" spans="1:26" ht="15" customHeight="1" thickBot="1" x14ac:dyDescent="0.3">
      <c r="A32" s="126" t="str">
        <f t="shared" si="7"/>
        <v>ZR220x3,0</v>
      </c>
      <c r="B32" s="14" t="str">
        <f t="shared" si="8"/>
        <v>220</v>
      </c>
      <c r="C32" s="14">
        <f t="shared" si="9"/>
        <v>52</v>
      </c>
      <c r="D32" s="14">
        <f t="shared" si="10"/>
        <v>60</v>
      </c>
      <c r="E32" s="14">
        <f t="shared" si="11"/>
        <v>23</v>
      </c>
      <c r="F32" s="7" t="str">
        <f t="shared" si="12"/>
        <v>ZR220</v>
      </c>
      <c r="G32" s="151" t="s">
        <v>75</v>
      </c>
      <c r="H32" s="152">
        <v>3</v>
      </c>
      <c r="I32" s="98">
        <v>8.7899999999999991</v>
      </c>
      <c r="J32" s="98">
        <v>11.12</v>
      </c>
      <c r="K32" s="98">
        <v>1.6</v>
      </c>
      <c r="L32" s="98">
        <v>11.12</v>
      </c>
      <c r="M32" s="98">
        <v>722.26</v>
      </c>
      <c r="N32" s="98">
        <v>64.290000000000006</v>
      </c>
      <c r="O32" s="98">
        <v>8.0500000000000007</v>
      </c>
      <c r="P32" s="98">
        <v>10.77</v>
      </c>
      <c r="Q32" s="98">
        <v>11.12</v>
      </c>
      <c r="R32" s="98">
        <v>722.26</v>
      </c>
      <c r="S32" s="98">
        <v>64.290000000000006</v>
      </c>
      <c r="T32" s="98">
        <v>8.0500000000000007</v>
      </c>
      <c r="U32" s="98">
        <v>10.77</v>
      </c>
      <c r="V32" s="98">
        <v>11.12</v>
      </c>
      <c r="W32" s="98">
        <v>67.88</v>
      </c>
      <c r="X32" s="98">
        <v>10.77</v>
      </c>
      <c r="Y32" s="98">
        <v>2.4700000000000002</v>
      </c>
      <c r="Z32" s="99">
        <v>4.9000000000000004</v>
      </c>
    </row>
    <row r="33" spans="1:26" ht="15" customHeight="1" x14ac:dyDescent="0.25">
      <c r="A33" s="71" t="str">
        <f t="shared" si="7"/>
        <v>ZR250x1,0</v>
      </c>
      <c r="B33" s="1" t="str">
        <f t="shared" si="8"/>
        <v>250</v>
      </c>
      <c r="C33" s="1">
        <f t="shared" si="9"/>
        <v>63</v>
      </c>
      <c r="D33" s="1">
        <f t="shared" si="10"/>
        <v>73</v>
      </c>
      <c r="E33" s="1">
        <f t="shared" si="11"/>
        <v>20</v>
      </c>
      <c r="F33" s="2" t="str">
        <f t="shared" si="12"/>
        <v>ZR250</v>
      </c>
      <c r="G33" s="80" t="s">
        <v>76</v>
      </c>
      <c r="H33" s="116">
        <v>1</v>
      </c>
      <c r="I33" s="94">
        <v>3.49</v>
      </c>
      <c r="J33" s="94">
        <v>2.79</v>
      </c>
      <c r="K33" s="94">
        <v>2.0499999999999998</v>
      </c>
      <c r="L33" s="94">
        <v>3.72</v>
      </c>
      <c r="M33" s="94">
        <v>305.2</v>
      </c>
      <c r="N33" s="94">
        <v>21.26</v>
      </c>
      <c r="O33" s="94">
        <v>9.0500000000000007</v>
      </c>
      <c r="P33" s="94">
        <v>10.65</v>
      </c>
      <c r="Q33" s="94">
        <v>3.63</v>
      </c>
      <c r="R33" s="94">
        <v>302.91000000000003</v>
      </c>
      <c r="S33" s="94">
        <v>21.77</v>
      </c>
      <c r="T33" s="94">
        <v>9.1199999999999992</v>
      </c>
      <c r="U33" s="94">
        <v>13.91</v>
      </c>
      <c r="V33" s="94">
        <v>3.94</v>
      </c>
      <c r="W33" s="94">
        <v>30.66</v>
      </c>
      <c r="X33" s="94">
        <v>3.99</v>
      </c>
      <c r="Y33" s="94">
        <v>2.78</v>
      </c>
      <c r="Z33" s="95">
        <v>5.83</v>
      </c>
    </row>
    <row r="34" spans="1:26" ht="15" customHeight="1" x14ac:dyDescent="0.25">
      <c r="A34" s="72" t="str">
        <f t="shared" si="7"/>
        <v>ZR250x1,2</v>
      </c>
      <c r="B34" s="3" t="str">
        <f t="shared" si="8"/>
        <v>250</v>
      </c>
      <c r="C34" s="3">
        <f t="shared" si="9"/>
        <v>63</v>
      </c>
      <c r="D34" s="3">
        <f t="shared" si="10"/>
        <v>73</v>
      </c>
      <c r="E34" s="3">
        <f t="shared" si="11"/>
        <v>20</v>
      </c>
      <c r="F34" s="4" t="str">
        <f t="shared" si="12"/>
        <v>ZR250</v>
      </c>
      <c r="G34" s="81" t="s">
        <v>76</v>
      </c>
      <c r="H34" s="117">
        <v>1.2</v>
      </c>
      <c r="I34" s="96">
        <v>4.18</v>
      </c>
      <c r="J34" s="96">
        <v>3.71</v>
      </c>
      <c r="K34" s="96">
        <v>2.06</v>
      </c>
      <c r="L34" s="96">
        <v>4.63</v>
      </c>
      <c r="M34" s="96">
        <v>388.87</v>
      </c>
      <c r="N34" s="96">
        <v>27.97</v>
      </c>
      <c r="O34" s="96">
        <v>9.16</v>
      </c>
      <c r="P34" s="96">
        <v>11.1</v>
      </c>
      <c r="Q34" s="96">
        <v>4.53</v>
      </c>
      <c r="R34" s="96">
        <v>384.7</v>
      </c>
      <c r="S34" s="96">
        <v>28.58</v>
      </c>
      <c r="T34" s="96">
        <v>9.2100000000000009</v>
      </c>
      <c r="U34" s="96">
        <v>13.46</v>
      </c>
      <c r="V34" s="96">
        <v>4.8099999999999996</v>
      </c>
      <c r="W34" s="96">
        <v>39.090000000000003</v>
      </c>
      <c r="X34" s="96">
        <v>5.17</v>
      </c>
      <c r="Y34" s="96">
        <v>2.84</v>
      </c>
      <c r="Z34" s="97">
        <v>5.92</v>
      </c>
    </row>
    <row r="35" spans="1:26" ht="15" customHeight="1" x14ac:dyDescent="0.25">
      <c r="A35" s="72" t="str">
        <f t="shared" si="7"/>
        <v>ZR250x2,0</v>
      </c>
      <c r="B35" s="3" t="str">
        <f t="shared" si="8"/>
        <v>250</v>
      </c>
      <c r="C35" s="3">
        <f t="shared" si="9"/>
        <v>63</v>
      </c>
      <c r="D35" s="3">
        <f t="shared" si="10"/>
        <v>73</v>
      </c>
      <c r="E35" s="3">
        <f t="shared" si="11"/>
        <v>20</v>
      </c>
      <c r="F35" s="4" t="str">
        <f t="shared" si="12"/>
        <v>ZR250</v>
      </c>
      <c r="G35" s="81" t="s">
        <v>76</v>
      </c>
      <c r="H35" s="117">
        <v>2</v>
      </c>
      <c r="I35" s="96">
        <v>6.68</v>
      </c>
      <c r="J35" s="96">
        <v>7.74</v>
      </c>
      <c r="K35" s="96">
        <v>2.02</v>
      </c>
      <c r="L35" s="96">
        <v>8</v>
      </c>
      <c r="M35" s="96">
        <v>707.97</v>
      </c>
      <c r="N35" s="96">
        <v>53.55</v>
      </c>
      <c r="O35" s="96">
        <v>9.4</v>
      </c>
      <c r="P35" s="96">
        <v>11.78</v>
      </c>
      <c r="Q35" s="96">
        <v>7.96</v>
      </c>
      <c r="R35" s="96">
        <v>701.49</v>
      </c>
      <c r="S35" s="96">
        <v>55.27</v>
      </c>
      <c r="T35" s="96">
        <v>9.3800000000000008</v>
      </c>
      <c r="U35" s="96">
        <v>12.69</v>
      </c>
      <c r="V35" s="96">
        <v>8.4700000000000006</v>
      </c>
      <c r="W35" s="96">
        <v>72.02</v>
      </c>
      <c r="X35" s="96">
        <v>9.64</v>
      </c>
      <c r="Y35" s="96">
        <v>2.91</v>
      </c>
      <c r="Z35" s="97">
        <v>6.13</v>
      </c>
    </row>
    <row r="36" spans="1:26" ht="15" customHeight="1" x14ac:dyDescent="0.25">
      <c r="A36" s="72" t="str">
        <f t="shared" si="7"/>
        <v>ZR250x2,5</v>
      </c>
      <c r="B36" s="3" t="str">
        <f t="shared" si="8"/>
        <v>250</v>
      </c>
      <c r="C36" s="3">
        <f t="shared" si="9"/>
        <v>64</v>
      </c>
      <c r="D36" s="3">
        <f t="shared" si="10"/>
        <v>74</v>
      </c>
      <c r="E36" s="3">
        <f t="shared" si="11"/>
        <v>21</v>
      </c>
      <c r="F36" s="4" t="str">
        <f t="shared" si="12"/>
        <v>ZR250</v>
      </c>
      <c r="G36" s="81" t="s">
        <v>77</v>
      </c>
      <c r="H36" s="117">
        <v>2.5</v>
      </c>
      <c r="I36" s="96">
        <v>8.39</v>
      </c>
      <c r="J36" s="96">
        <v>10.35</v>
      </c>
      <c r="K36" s="96">
        <v>2.04</v>
      </c>
      <c r="L36" s="96">
        <v>10.6</v>
      </c>
      <c r="M36" s="96">
        <v>918.35</v>
      </c>
      <c r="N36" s="96">
        <v>71.67</v>
      </c>
      <c r="O36" s="96">
        <v>9.3000000000000007</v>
      </c>
      <c r="P36" s="96">
        <v>12.19</v>
      </c>
      <c r="Q36" s="96">
        <v>10.6</v>
      </c>
      <c r="R36" s="96">
        <v>918.61</v>
      </c>
      <c r="S36" s="96">
        <v>71.930000000000007</v>
      </c>
      <c r="T36" s="96">
        <v>9.3000000000000007</v>
      </c>
      <c r="U36" s="96">
        <v>12.23</v>
      </c>
      <c r="V36" s="96">
        <v>10.63</v>
      </c>
      <c r="W36" s="96">
        <v>93.15</v>
      </c>
      <c r="X36" s="96">
        <v>12.26</v>
      </c>
      <c r="Y36" s="96">
        <v>2.96</v>
      </c>
      <c r="Z36" s="97">
        <v>6.21</v>
      </c>
    </row>
    <row r="37" spans="1:26" ht="15" customHeight="1" x14ac:dyDescent="0.25">
      <c r="A37" s="72" t="str">
        <f t="shared" si="7"/>
        <v>ZR250x3,0</v>
      </c>
      <c r="B37" s="3" t="str">
        <f t="shared" si="8"/>
        <v>250</v>
      </c>
      <c r="C37" s="3">
        <f t="shared" si="9"/>
        <v>65</v>
      </c>
      <c r="D37" s="3">
        <f t="shared" si="10"/>
        <v>75</v>
      </c>
      <c r="E37" s="3">
        <f t="shared" si="11"/>
        <v>22</v>
      </c>
      <c r="F37" s="4" t="str">
        <f t="shared" si="12"/>
        <v>ZR250</v>
      </c>
      <c r="G37" s="81" t="s">
        <v>78</v>
      </c>
      <c r="H37" s="117">
        <v>3</v>
      </c>
      <c r="I37" s="96">
        <v>10.11</v>
      </c>
      <c r="J37" s="96">
        <v>12.8</v>
      </c>
      <c r="K37" s="96">
        <v>2.04</v>
      </c>
      <c r="L37" s="96">
        <v>12.8</v>
      </c>
      <c r="M37" s="96">
        <v>1106.3800000000001</v>
      </c>
      <c r="N37" s="96">
        <v>86.5</v>
      </c>
      <c r="O37" s="96">
        <v>9.2899999999999991</v>
      </c>
      <c r="P37" s="96">
        <v>12.21</v>
      </c>
      <c r="Q37" s="96">
        <v>12.8</v>
      </c>
      <c r="R37" s="96">
        <v>1106.3800000000001</v>
      </c>
      <c r="S37" s="96">
        <v>86.5</v>
      </c>
      <c r="T37" s="96">
        <v>9.2899999999999991</v>
      </c>
      <c r="U37" s="96">
        <v>12.21</v>
      </c>
      <c r="V37" s="96">
        <v>12.8</v>
      </c>
      <c r="W37" s="96">
        <v>115.62</v>
      </c>
      <c r="X37" s="96">
        <v>14.98</v>
      </c>
      <c r="Y37" s="96">
        <v>3</v>
      </c>
      <c r="Z37" s="97">
        <v>6.28</v>
      </c>
    </row>
    <row r="38" spans="1:26" ht="15" customHeight="1" thickBot="1" x14ac:dyDescent="0.3">
      <c r="A38" s="73" t="str">
        <f t="shared" si="7"/>
        <v>ZR250x3,5</v>
      </c>
      <c r="B38" s="5" t="str">
        <f t="shared" si="8"/>
        <v>250</v>
      </c>
      <c r="C38" s="5">
        <f t="shared" si="9"/>
        <v>66</v>
      </c>
      <c r="D38" s="5">
        <f t="shared" si="10"/>
        <v>76</v>
      </c>
      <c r="E38" s="5">
        <f t="shared" si="11"/>
        <v>23</v>
      </c>
      <c r="F38" s="6" t="str">
        <f t="shared" si="12"/>
        <v>ZR250</v>
      </c>
      <c r="G38" s="82" t="s">
        <v>79</v>
      </c>
      <c r="H38" s="118">
        <v>3.5</v>
      </c>
      <c r="I38" s="98">
        <v>11.85</v>
      </c>
      <c r="J38" s="98">
        <v>14.99</v>
      </c>
      <c r="K38" s="98">
        <v>2.09</v>
      </c>
      <c r="L38" s="98">
        <v>14.99</v>
      </c>
      <c r="M38" s="98">
        <v>1293.21</v>
      </c>
      <c r="N38" s="98">
        <v>101.12</v>
      </c>
      <c r="O38" s="98">
        <v>9.2799999999999994</v>
      </c>
      <c r="P38" s="98">
        <v>12.21</v>
      </c>
      <c r="Q38" s="98">
        <v>14.99</v>
      </c>
      <c r="R38" s="98">
        <v>1293.21</v>
      </c>
      <c r="S38" s="98">
        <v>101.12</v>
      </c>
      <c r="T38" s="98">
        <v>9.2799999999999994</v>
      </c>
      <c r="U38" s="98">
        <v>12.21</v>
      </c>
      <c r="V38" s="98">
        <v>14.99</v>
      </c>
      <c r="W38" s="98">
        <v>139.46</v>
      </c>
      <c r="X38" s="98">
        <v>17.79</v>
      </c>
      <c r="Y38" s="98">
        <v>3.04</v>
      </c>
      <c r="Z38" s="99">
        <v>6.36</v>
      </c>
    </row>
    <row r="39" spans="1:26" ht="15" customHeight="1" x14ac:dyDescent="0.25">
      <c r="A39" s="71" t="str">
        <f t="shared" ref="A39:A51" si="13">CONCATENATE(F39,"x",(IF(H39=INT(H39),CONCATENATE(H39,",",0),H39)))</f>
        <v>ZR300x2,0</v>
      </c>
      <c r="B39" s="10" t="str">
        <f t="shared" ref="B39:B45" si="14">LEFT(G39,3)</f>
        <v>300</v>
      </c>
      <c r="C39" s="88">
        <f t="shared" ref="C39:C51" si="15">VALUE(MID(G39,(SEARCH("/",G39,1)+1),(SEARCH("/",G39,(SEARCH("/",G39,1)+1))-SEARCH("/",G39,1)-1)))</f>
        <v>85</v>
      </c>
      <c r="D39" s="88">
        <f t="shared" ref="D39:D51" si="16">VALUE(MID(G39,(SEARCH("/",G39,(SEARCH("/",G39,1)+1))+1),(SEARCH("/",G39,SEARCH("/",G39,(SEARCH("/",G39,1)+1))+1))-(SEARCH("/",G39,(SEARCH("/",G39,1)+1))+1)))</f>
        <v>93</v>
      </c>
      <c r="E39" s="89">
        <f t="shared" ref="E39:E51" si="17">VALUE(MID(G39,(SEARCH("/",G39,SEARCH("/",G39,(SEARCH("/",G39,1)+1))+1)+1),4))</f>
        <v>20.5</v>
      </c>
      <c r="F39" s="133" t="str">
        <f t="shared" ref="F39:F51" si="18">CONCATENATE("ZR",LEFT(G39,3))</f>
        <v>ZR300</v>
      </c>
      <c r="G39" s="80" t="s">
        <v>80</v>
      </c>
      <c r="H39" s="116">
        <v>2</v>
      </c>
      <c r="I39" s="94">
        <v>8.14</v>
      </c>
      <c r="J39" s="94">
        <v>8.2899999999999991</v>
      </c>
      <c r="K39" s="94">
        <v>2.79</v>
      </c>
      <c r="L39" s="94">
        <v>9.1199999999999992</v>
      </c>
      <c r="M39" s="94">
        <v>1190.49</v>
      </c>
      <c r="N39" s="94">
        <v>72.11</v>
      </c>
      <c r="O39" s="94">
        <v>11.42</v>
      </c>
      <c r="P39" s="94">
        <v>13.49</v>
      </c>
      <c r="Q39" s="94">
        <v>9.09</v>
      </c>
      <c r="R39" s="94">
        <v>1174.42</v>
      </c>
      <c r="S39" s="94">
        <v>72.78</v>
      </c>
      <c r="T39" s="94">
        <v>11.36</v>
      </c>
      <c r="U39" s="94">
        <v>16.14</v>
      </c>
      <c r="V39" s="94">
        <v>10.3</v>
      </c>
      <c r="W39" s="94">
        <v>143.84</v>
      </c>
      <c r="X39" s="94">
        <v>15.18</v>
      </c>
      <c r="Y39" s="94">
        <v>3.73</v>
      </c>
      <c r="Z39" s="95">
        <v>8.33</v>
      </c>
    </row>
    <row r="40" spans="1:26" ht="15" customHeight="1" x14ac:dyDescent="0.25">
      <c r="A40" s="72" t="str">
        <f t="shared" si="13"/>
        <v>ZR300x2,5</v>
      </c>
      <c r="B40" s="11" t="str">
        <f t="shared" si="14"/>
        <v>300</v>
      </c>
      <c r="C40" s="90">
        <f t="shared" si="15"/>
        <v>86</v>
      </c>
      <c r="D40" s="90">
        <f t="shared" si="16"/>
        <v>94</v>
      </c>
      <c r="E40" s="90">
        <f t="shared" si="17"/>
        <v>21.5</v>
      </c>
      <c r="F40" s="134" t="str">
        <f t="shared" si="18"/>
        <v>ZR300</v>
      </c>
      <c r="G40" s="81" t="s">
        <v>81</v>
      </c>
      <c r="H40" s="117">
        <v>2.5</v>
      </c>
      <c r="I40" s="96">
        <v>10.210000000000001</v>
      </c>
      <c r="J40" s="96">
        <v>11.59</v>
      </c>
      <c r="K40" s="96">
        <v>2.78</v>
      </c>
      <c r="L40" s="96">
        <v>12.33</v>
      </c>
      <c r="M40" s="96">
        <v>1605.81</v>
      </c>
      <c r="N40" s="96">
        <v>102.33</v>
      </c>
      <c r="O40" s="96">
        <v>11.4</v>
      </c>
      <c r="P40" s="96">
        <v>14.31</v>
      </c>
      <c r="Q40" s="96">
        <v>12.27</v>
      </c>
      <c r="R40" s="96">
        <v>1586.77</v>
      </c>
      <c r="S40" s="96">
        <v>103.55</v>
      </c>
      <c r="T40" s="96">
        <v>11.36</v>
      </c>
      <c r="U40" s="96">
        <v>15.32</v>
      </c>
      <c r="V40" s="96">
        <v>12.95</v>
      </c>
      <c r="W40" s="96">
        <v>185.78</v>
      </c>
      <c r="X40" s="96">
        <v>19.39</v>
      </c>
      <c r="Y40" s="96">
        <v>3.78</v>
      </c>
      <c r="Z40" s="97">
        <v>8.42</v>
      </c>
    </row>
    <row r="41" spans="1:26" ht="15" customHeight="1" x14ac:dyDescent="0.25">
      <c r="A41" s="72" t="str">
        <f t="shared" si="13"/>
        <v>ZR300x3,0</v>
      </c>
      <c r="B41" s="11" t="str">
        <f t="shared" si="14"/>
        <v>300</v>
      </c>
      <c r="C41" s="90">
        <f t="shared" si="15"/>
        <v>87</v>
      </c>
      <c r="D41" s="90">
        <f t="shared" si="16"/>
        <v>95</v>
      </c>
      <c r="E41" s="90">
        <f t="shared" si="17"/>
        <v>22.5</v>
      </c>
      <c r="F41" s="134" t="str">
        <f t="shared" si="18"/>
        <v>ZR300</v>
      </c>
      <c r="G41" s="81" t="s">
        <v>82</v>
      </c>
      <c r="H41" s="117">
        <v>3</v>
      </c>
      <c r="I41" s="96">
        <v>12.3</v>
      </c>
      <c r="J41" s="96">
        <v>14.91</v>
      </c>
      <c r="K41" s="96">
        <v>2.77</v>
      </c>
      <c r="L41" s="96">
        <v>15.58</v>
      </c>
      <c r="M41" s="96">
        <v>1997.82</v>
      </c>
      <c r="N41" s="96">
        <v>131.11000000000001</v>
      </c>
      <c r="O41" s="96">
        <v>11.32</v>
      </c>
      <c r="P41" s="96">
        <v>14.76</v>
      </c>
      <c r="Q41" s="96">
        <v>15.58</v>
      </c>
      <c r="R41" s="96">
        <v>1997.93</v>
      </c>
      <c r="S41" s="96">
        <v>131.26</v>
      </c>
      <c r="T41" s="96">
        <v>11.32</v>
      </c>
      <c r="U41" s="96">
        <v>14.78</v>
      </c>
      <c r="V41" s="96">
        <v>15.59</v>
      </c>
      <c r="W41" s="96">
        <v>229.24</v>
      </c>
      <c r="X41" s="96">
        <v>23.62</v>
      </c>
      <c r="Y41" s="96">
        <v>3.83</v>
      </c>
      <c r="Z41" s="97">
        <v>8.5</v>
      </c>
    </row>
    <row r="42" spans="1:26" ht="15" customHeight="1" thickBot="1" x14ac:dyDescent="0.3">
      <c r="A42" s="73" t="str">
        <f t="shared" si="13"/>
        <v>ZR300x3,5</v>
      </c>
      <c r="B42" s="12" t="str">
        <f t="shared" si="14"/>
        <v>300</v>
      </c>
      <c r="C42" s="92">
        <f t="shared" si="15"/>
        <v>88</v>
      </c>
      <c r="D42" s="92">
        <f t="shared" si="16"/>
        <v>96</v>
      </c>
      <c r="E42" s="91">
        <f t="shared" si="17"/>
        <v>23.5</v>
      </c>
      <c r="F42" s="136" t="str">
        <f t="shared" si="18"/>
        <v>ZR300</v>
      </c>
      <c r="G42" s="82" t="s">
        <v>83</v>
      </c>
      <c r="H42" s="118">
        <v>3.5</v>
      </c>
      <c r="I42" s="98">
        <v>14.41</v>
      </c>
      <c r="J42" s="98">
        <v>18.11</v>
      </c>
      <c r="K42" s="98">
        <v>2.76</v>
      </c>
      <c r="L42" s="98">
        <v>18.239999999999998</v>
      </c>
      <c r="M42" s="98">
        <v>2335.85</v>
      </c>
      <c r="N42" s="98">
        <v>153.38999999999999</v>
      </c>
      <c r="O42" s="98">
        <v>11.31</v>
      </c>
      <c r="P42" s="98">
        <v>14.77</v>
      </c>
      <c r="Q42" s="98">
        <v>18.239999999999998</v>
      </c>
      <c r="R42" s="98">
        <v>2335.85</v>
      </c>
      <c r="S42" s="98">
        <v>153.38999999999999</v>
      </c>
      <c r="T42" s="98">
        <v>11.31</v>
      </c>
      <c r="U42" s="98">
        <v>14.77</v>
      </c>
      <c r="V42" s="98">
        <v>18.239999999999998</v>
      </c>
      <c r="W42" s="98">
        <v>274.94</v>
      </c>
      <c r="X42" s="98">
        <v>27.97</v>
      </c>
      <c r="Y42" s="98">
        <v>3.88</v>
      </c>
      <c r="Z42" s="99">
        <v>8.57</v>
      </c>
    </row>
    <row r="43" spans="1:26" ht="15" customHeight="1" x14ac:dyDescent="0.25">
      <c r="A43" s="74" t="str">
        <f t="shared" si="13"/>
        <v>ZR350x2,0</v>
      </c>
      <c r="B43" s="10" t="str">
        <f t="shared" si="14"/>
        <v>350</v>
      </c>
      <c r="C43" s="88">
        <f t="shared" si="15"/>
        <v>94</v>
      </c>
      <c r="D43" s="88">
        <f t="shared" si="16"/>
        <v>100</v>
      </c>
      <c r="E43" s="89">
        <f t="shared" si="17"/>
        <v>23</v>
      </c>
      <c r="F43" s="133" t="str">
        <f t="shared" si="18"/>
        <v>ZR350</v>
      </c>
      <c r="G43" s="80" t="s">
        <v>84</v>
      </c>
      <c r="H43" s="116">
        <v>2</v>
      </c>
      <c r="I43" s="94">
        <v>9.25</v>
      </c>
      <c r="J43" s="94">
        <v>8.6</v>
      </c>
      <c r="K43" s="94">
        <v>3.04</v>
      </c>
      <c r="L43" s="94">
        <v>9.9</v>
      </c>
      <c r="M43" s="94">
        <v>1741.78</v>
      </c>
      <c r="N43" s="94">
        <v>88.22</v>
      </c>
      <c r="O43" s="94">
        <v>13.25</v>
      </c>
      <c r="P43" s="94">
        <v>15.26</v>
      </c>
      <c r="Q43" s="94">
        <v>9.93</v>
      </c>
      <c r="R43" s="94">
        <v>1724.41</v>
      </c>
      <c r="S43" s="94">
        <v>88.72</v>
      </c>
      <c r="T43" s="94">
        <v>13.17</v>
      </c>
      <c r="U43" s="94">
        <v>19.440000000000001</v>
      </c>
      <c r="V43" s="94">
        <v>11.61</v>
      </c>
      <c r="W43" s="94">
        <v>186.41</v>
      </c>
      <c r="X43" s="94">
        <v>18.21</v>
      </c>
      <c r="Y43" s="94">
        <v>4</v>
      </c>
      <c r="Z43" s="95">
        <v>9.17</v>
      </c>
    </row>
    <row r="44" spans="1:26" ht="15" customHeight="1" x14ac:dyDescent="0.25">
      <c r="A44" s="72" t="str">
        <f t="shared" si="13"/>
        <v>ZR350x2,5</v>
      </c>
      <c r="B44" s="11" t="str">
        <f t="shared" si="14"/>
        <v>350</v>
      </c>
      <c r="C44" s="90">
        <f t="shared" si="15"/>
        <v>93</v>
      </c>
      <c r="D44" s="90">
        <f t="shared" si="16"/>
        <v>100</v>
      </c>
      <c r="E44" s="90">
        <f t="shared" si="17"/>
        <v>25.5</v>
      </c>
      <c r="F44" s="134" t="str">
        <f t="shared" si="18"/>
        <v>ZR350</v>
      </c>
      <c r="G44" s="81" t="s">
        <v>85</v>
      </c>
      <c r="H44" s="117">
        <v>2.5</v>
      </c>
      <c r="I44" s="96">
        <v>11.61</v>
      </c>
      <c r="J44" s="96">
        <v>12.16</v>
      </c>
      <c r="K44" s="96">
        <v>2.96</v>
      </c>
      <c r="L44" s="96">
        <v>13.41</v>
      </c>
      <c r="M44" s="96">
        <v>2365.5100000000002</v>
      </c>
      <c r="N44" s="96">
        <v>126.05</v>
      </c>
      <c r="O44" s="96">
        <v>13.27</v>
      </c>
      <c r="P44" s="96">
        <v>16.23</v>
      </c>
      <c r="Q44" s="96">
        <v>13.38</v>
      </c>
      <c r="R44" s="96">
        <v>2344.89</v>
      </c>
      <c r="S44" s="96">
        <v>127.3</v>
      </c>
      <c r="T44" s="96">
        <v>13.23</v>
      </c>
      <c r="U44" s="96">
        <v>18.420000000000002</v>
      </c>
      <c r="V44" s="96">
        <v>14.73</v>
      </c>
      <c r="W44" s="96">
        <v>240.71</v>
      </c>
      <c r="X44" s="96">
        <v>23.64</v>
      </c>
      <c r="Y44" s="96">
        <v>4.04</v>
      </c>
      <c r="Z44" s="97">
        <v>9.1199999999999992</v>
      </c>
    </row>
    <row r="45" spans="1:26" ht="15" customHeight="1" x14ac:dyDescent="0.25">
      <c r="A45" s="72" t="str">
        <f t="shared" si="13"/>
        <v>ZR350x3,0</v>
      </c>
      <c r="B45" s="11" t="str">
        <f t="shared" si="14"/>
        <v>350</v>
      </c>
      <c r="C45" s="90">
        <f t="shared" si="15"/>
        <v>92</v>
      </c>
      <c r="D45" s="90">
        <f t="shared" si="16"/>
        <v>100</v>
      </c>
      <c r="E45" s="90">
        <f t="shared" si="17"/>
        <v>28</v>
      </c>
      <c r="F45" s="134" t="str">
        <f t="shared" si="18"/>
        <v>ZR350</v>
      </c>
      <c r="G45" s="81" t="s">
        <v>86</v>
      </c>
      <c r="H45" s="117">
        <v>3</v>
      </c>
      <c r="I45" s="96">
        <v>13.98</v>
      </c>
      <c r="J45" s="96">
        <v>15.93</v>
      </c>
      <c r="K45" s="96">
        <v>2.91</v>
      </c>
      <c r="L45" s="96">
        <v>17.05</v>
      </c>
      <c r="M45" s="96">
        <v>2976.41</v>
      </c>
      <c r="N45" s="96">
        <v>164.1</v>
      </c>
      <c r="O45" s="96">
        <v>13.21</v>
      </c>
      <c r="P45" s="96">
        <v>16.86</v>
      </c>
      <c r="Q45" s="96">
        <v>17.04</v>
      </c>
      <c r="R45" s="96">
        <v>2973.41</v>
      </c>
      <c r="S45" s="96">
        <v>168.22</v>
      </c>
      <c r="T45" s="96">
        <v>13.2</v>
      </c>
      <c r="U45" s="96">
        <v>17.68</v>
      </c>
      <c r="V45" s="96">
        <v>17.72</v>
      </c>
      <c r="W45" s="96">
        <v>292.62</v>
      </c>
      <c r="X45" s="96">
        <v>28.73</v>
      </c>
      <c r="Y45" s="96">
        <v>4.0599999999999996</v>
      </c>
      <c r="Z45" s="97">
        <v>9.02</v>
      </c>
    </row>
    <row r="46" spans="1:26" ht="15" customHeight="1" thickBot="1" x14ac:dyDescent="0.3">
      <c r="A46" s="126" t="str">
        <f t="shared" si="13"/>
        <v>ZR350x3,5</v>
      </c>
      <c r="B46" s="12" t="str">
        <f t="shared" ref="B46:B51" si="19">LEFT(G46,3)</f>
        <v>350</v>
      </c>
      <c r="C46" s="91">
        <f t="shared" si="15"/>
        <v>91</v>
      </c>
      <c r="D46" s="91">
        <f t="shared" si="16"/>
        <v>100</v>
      </c>
      <c r="E46" s="92">
        <f t="shared" si="17"/>
        <v>30.5</v>
      </c>
      <c r="F46" s="135" t="str">
        <f t="shared" si="18"/>
        <v>ZR350</v>
      </c>
      <c r="G46" s="82" t="s">
        <v>87</v>
      </c>
      <c r="H46" s="118">
        <v>3.5</v>
      </c>
      <c r="I46" s="98">
        <v>16.36</v>
      </c>
      <c r="J46" s="98">
        <v>19.510000000000002</v>
      </c>
      <c r="K46" s="98">
        <v>2.85</v>
      </c>
      <c r="L46" s="98">
        <v>20.7</v>
      </c>
      <c r="M46" s="98">
        <v>3550.85</v>
      </c>
      <c r="N46" s="98">
        <v>199.76</v>
      </c>
      <c r="O46" s="98">
        <v>13.09</v>
      </c>
      <c r="P46" s="98">
        <v>17.22</v>
      </c>
      <c r="Q46" s="98">
        <v>20.7</v>
      </c>
      <c r="R46" s="98">
        <v>3551.11</v>
      </c>
      <c r="S46" s="98">
        <v>200.04</v>
      </c>
      <c r="T46" s="98">
        <v>13.09</v>
      </c>
      <c r="U46" s="98">
        <v>17.25</v>
      </c>
      <c r="V46" s="98">
        <v>20.73</v>
      </c>
      <c r="W46" s="98">
        <v>345.43</v>
      </c>
      <c r="X46" s="98">
        <v>33.909999999999997</v>
      </c>
      <c r="Y46" s="98">
        <v>4.08</v>
      </c>
      <c r="Z46" s="99">
        <v>8.91</v>
      </c>
    </row>
    <row r="47" spans="1:26" ht="15" customHeight="1" x14ac:dyDescent="0.25">
      <c r="A47" s="71" t="str">
        <f t="shared" si="13"/>
        <v>ZR400x2,0</v>
      </c>
      <c r="B47" s="13" t="str">
        <f t="shared" si="19"/>
        <v>400</v>
      </c>
      <c r="C47" s="89">
        <f t="shared" si="15"/>
        <v>94</v>
      </c>
      <c r="D47" s="89">
        <f t="shared" si="16"/>
        <v>100</v>
      </c>
      <c r="E47" s="88">
        <f t="shared" si="17"/>
        <v>23</v>
      </c>
      <c r="F47" s="9" t="str">
        <f t="shared" si="18"/>
        <v>ZR400</v>
      </c>
      <c r="G47" s="83" t="s">
        <v>88</v>
      </c>
      <c r="H47" s="116">
        <v>2</v>
      </c>
      <c r="I47" s="100">
        <v>10.039999999999999</v>
      </c>
      <c r="J47" s="100">
        <v>8.69</v>
      </c>
      <c r="K47" s="100">
        <v>2.87</v>
      </c>
      <c r="L47" s="100">
        <v>10.42</v>
      </c>
      <c r="M47" s="100">
        <v>2333</v>
      </c>
      <c r="N47" s="100">
        <v>101.8</v>
      </c>
      <c r="O47" s="100">
        <v>14.96</v>
      </c>
      <c r="P47" s="100">
        <v>17.079999999999998</v>
      </c>
      <c r="Q47" s="100">
        <v>10.47</v>
      </c>
      <c r="R47" s="100">
        <v>2311.75</v>
      </c>
      <c r="S47" s="100">
        <v>102.39</v>
      </c>
      <c r="T47" s="100">
        <v>14.85</v>
      </c>
      <c r="U47" s="100">
        <v>22.58</v>
      </c>
      <c r="V47" s="100">
        <v>12.61</v>
      </c>
      <c r="W47" s="100">
        <v>186.45</v>
      </c>
      <c r="X47" s="100">
        <v>18.239999999999998</v>
      </c>
      <c r="Y47" s="100">
        <v>3.84</v>
      </c>
      <c r="Z47" s="101">
        <v>9.18</v>
      </c>
    </row>
    <row r="48" spans="1:26" ht="15" customHeight="1" x14ac:dyDescent="0.25">
      <c r="A48" s="72" t="str">
        <f t="shared" si="13"/>
        <v>ZR400x2,5</v>
      </c>
      <c r="B48" s="11" t="str">
        <f t="shared" si="19"/>
        <v>400</v>
      </c>
      <c r="C48" s="90">
        <f t="shared" si="15"/>
        <v>93</v>
      </c>
      <c r="D48" s="90">
        <f t="shared" si="16"/>
        <v>100</v>
      </c>
      <c r="E48" s="90">
        <f t="shared" si="17"/>
        <v>25.5</v>
      </c>
      <c r="F48" s="134" t="str">
        <f t="shared" si="18"/>
        <v>ZR400</v>
      </c>
      <c r="G48" s="81" t="s">
        <v>89</v>
      </c>
      <c r="H48" s="117">
        <v>2.5</v>
      </c>
      <c r="I48" s="96">
        <v>12.59</v>
      </c>
      <c r="J48" s="96">
        <v>12.34</v>
      </c>
      <c r="K48" s="96">
        <v>2.79</v>
      </c>
      <c r="L48" s="96">
        <v>14.07</v>
      </c>
      <c r="M48" s="96">
        <v>3176.11</v>
      </c>
      <c r="N48" s="96">
        <v>145.51</v>
      </c>
      <c r="O48" s="96">
        <v>15.02</v>
      </c>
      <c r="P48" s="96">
        <v>18.170000000000002</v>
      </c>
      <c r="Q48" s="96">
        <v>14.05</v>
      </c>
      <c r="R48" s="96">
        <v>3152.02</v>
      </c>
      <c r="S48" s="96">
        <v>146.91999999999999</v>
      </c>
      <c r="T48" s="96">
        <v>14.97</v>
      </c>
      <c r="U48" s="96">
        <v>21.45</v>
      </c>
      <c r="V48" s="96">
        <v>15.98</v>
      </c>
      <c r="W48" s="96">
        <v>240.72</v>
      </c>
      <c r="X48" s="96">
        <v>23.65</v>
      </c>
      <c r="Y48" s="96">
        <v>3.88</v>
      </c>
      <c r="Z48" s="97">
        <v>9.1300000000000008</v>
      </c>
    </row>
    <row r="49" spans="1:26" ht="15" customHeight="1" x14ac:dyDescent="0.25">
      <c r="A49" s="72" t="str">
        <f t="shared" si="13"/>
        <v>ZR400x3,0</v>
      </c>
      <c r="B49" s="11" t="str">
        <f t="shared" si="19"/>
        <v>400</v>
      </c>
      <c r="C49" s="90">
        <f t="shared" si="15"/>
        <v>92</v>
      </c>
      <c r="D49" s="90">
        <f t="shared" si="16"/>
        <v>100</v>
      </c>
      <c r="E49" s="90">
        <f t="shared" si="17"/>
        <v>28</v>
      </c>
      <c r="F49" s="134" t="str">
        <f t="shared" si="18"/>
        <v>ZR400</v>
      </c>
      <c r="G49" s="81" t="s">
        <v>90</v>
      </c>
      <c r="H49" s="117">
        <v>3</v>
      </c>
      <c r="I49" s="96">
        <v>15.15</v>
      </c>
      <c r="J49" s="96">
        <v>16.23</v>
      </c>
      <c r="K49" s="96">
        <v>2.74</v>
      </c>
      <c r="L49" s="96">
        <v>17.87</v>
      </c>
      <c r="M49" s="96">
        <v>4003.73</v>
      </c>
      <c r="N49" s="96">
        <v>189.57</v>
      </c>
      <c r="O49" s="96">
        <v>14.96</v>
      </c>
      <c r="P49" s="96">
        <v>18.88</v>
      </c>
      <c r="Q49" s="96">
        <v>17.87</v>
      </c>
      <c r="R49" s="96">
        <v>4006.24</v>
      </c>
      <c r="S49" s="96">
        <v>194.35</v>
      </c>
      <c r="T49" s="96">
        <v>14.97</v>
      </c>
      <c r="U49" s="96">
        <v>20.61</v>
      </c>
      <c r="V49" s="96">
        <v>19.22</v>
      </c>
      <c r="W49" s="96">
        <v>292.63</v>
      </c>
      <c r="X49" s="96">
        <v>28.74</v>
      </c>
      <c r="Y49" s="96">
        <v>3.9</v>
      </c>
      <c r="Z49" s="97">
        <v>9.02</v>
      </c>
    </row>
    <row r="50" spans="1:26" ht="15" customHeight="1" x14ac:dyDescent="0.25">
      <c r="A50" s="72" t="str">
        <f t="shared" si="13"/>
        <v>ZR400x3,5</v>
      </c>
      <c r="B50" s="11" t="str">
        <f t="shared" si="19"/>
        <v>400</v>
      </c>
      <c r="C50" s="90">
        <f t="shared" si="15"/>
        <v>91</v>
      </c>
      <c r="D50" s="90">
        <f t="shared" si="16"/>
        <v>100</v>
      </c>
      <c r="E50" s="90">
        <f t="shared" si="17"/>
        <v>30.5</v>
      </c>
      <c r="F50" s="134" t="str">
        <f t="shared" si="18"/>
        <v>ZR400</v>
      </c>
      <c r="G50" s="81" t="s">
        <v>91</v>
      </c>
      <c r="H50" s="117">
        <v>3.5</v>
      </c>
      <c r="I50" s="96">
        <v>17.73</v>
      </c>
      <c r="J50" s="96">
        <v>19.98</v>
      </c>
      <c r="K50" s="96">
        <v>2.67</v>
      </c>
      <c r="L50" s="96">
        <v>21.69</v>
      </c>
      <c r="M50" s="96">
        <v>4783.05</v>
      </c>
      <c r="N50" s="96">
        <v>231</v>
      </c>
      <c r="O50" s="96">
        <v>14.84</v>
      </c>
      <c r="P50" s="96">
        <v>19.29</v>
      </c>
      <c r="Q50" s="96">
        <v>21.71</v>
      </c>
      <c r="R50" s="96">
        <v>4792.3</v>
      </c>
      <c r="S50" s="96">
        <v>238.1</v>
      </c>
      <c r="T50" s="96">
        <v>14.85</v>
      </c>
      <c r="U50" s="96">
        <v>20.13</v>
      </c>
      <c r="V50" s="96">
        <v>22.48</v>
      </c>
      <c r="W50" s="96">
        <v>345.45</v>
      </c>
      <c r="X50" s="96">
        <v>33.909999999999997</v>
      </c>
      <c r="Y50" s="96">
        <v>3.91</v>
      </c>
      <c r="Z50" s="97">
        <v>8.91</v>
      </c>
    </row>
    <row r="51" spans="1:26" ht="15" customHeight="1" thickBot="1" x14ac:dyDescent="0.3">
      <c r="A51" s="73" t="str">
        <f t="shared" si="13"/>
        <v>ZR400x4,0</v>
      </c>
      <c r="B51" s="12" t="str">
        <f t="shared" si="19"/>
        <v>400</v>
      </c>
      <c r="C51" s="91">
        <f t="shared" si="15"/>
        <v>90</v>
      </c>
      <c r="D51" s="91">
        <f t="shared" si="16"/>
        <v>100</v>
      </c>
      <c r="E51" s="91">
        <f t="shared" si="17"/>
        <v>31</v>
      </c>
      <c r="F51" s="136" t="str">
        <f t="shared" si="18"/>
        <v>ZR400</v>
      </c>
      <c r="G51" s="82" t="s">
        <v>92</v>
      </c>
      <c r="H51" s="118">
        <v>4</v>
      </c>
      <c r="I51" s="98">
        <v>20.21</v>
      </c>
      <c r="J51" s="98">
        <v>23.72</v>
      </c>
      <c r="K51" s="98">
        <v>2.58</v>
      </c>
      <c r="L51" s="98">
        <v>25.55</v>
      </c>
      <c r="M51" s="98">
        <v>5540.51</v>
      </c>
      <c r="N51" s="98">
        <v>272.54000000000002</v>
      </c>
      <c r="O51" s="98">
        <v>14.72</v>
      </c>
      <c r="P51" s="98">
        <v>19.670000000000002</v>
      </c>
      <c r="Q51" s="98">
        <v>25.55</v>
      </c>
      <c r="R51" s="98">
        <v>5540.92</v>
      </c>
      <c r="S51" s="98">
        <v>273.07</v>
      </c>
      <c r="T51" s="98">
        <v>14.72</v>
      </c>
      <c r="U51" s="98">
        <v>19.71</v>
      </c>
      <c r="V51" s="98">
        <v>25.59</v>
      </c>
      <c r="W51" s="98">
        <v>385.62</v>
      </c>
      <c r="X51" s="98">
        <v>37.82</v>
      </c>
      <c r="Y51" s="98">
        <v>3.88</v>
      </c>
      <c r="Z51" s="99">
        <v>8.81</v>
      </c>
    </row>
    <row r="52" spans="1:26" ht="15" customHeight="1" x14ac:dyDescent="0.25">
      <c r="F52" s="241"/>
    </row>
  </sheetData>
  <mergeCells count="33">
    <mergeCell ref="F4:G6"/>
    <mergeCell ref="A4:A10"/>
    <mergeCell ref="B4:B10"/>
    <mergeCell ref="C4:C10"/>
    <mergeCell ref="D4:D10"/>
    <mergeCell ref="E4:E10"/>
    <mergeCell ref="F7:F10"/>
    <mergeCell ref="G7:G10"/>
    <mergeCell ref="N7:N8"/>
    <mergeCell ref="H4:H10"/>
    <mergeCell ref="I4:I9"/>
    <mergeCell ref="J4:K6"/>
    <mergeCell ref="L4:Z4"/>
    <mergeCell ref="L5:U5"/>
    <mergeCell ref="V5:Z6"/>
    <mergeCell ref="L6:P6"/>
    <mergeCell ref="Q6:U6"/>
    <mergeCell ref="J7:J8"/>
    <mergeCell ref="K7:K8"/>
    <mergeCell ref="L7:L8"/>
    <mergeCell ref="M7:M8"/>
    <mergeCell ref="Z7:Z8"/>
    <mergeCell ref="O7:O8"/>
    <mergeCell ref="P7:P8"/>
    <mergeCell ref="V7:V8"/>
    <mergeCell ref="W7:W8"/>
    <mergeCell ref="X7:X8"/>
    <mergeCell ref="Y7:Y8"/>
    <mergeCell ref="Q7:Q8"/>
    <mergeCell ref="R7:R8"/>
    <mergeCell ref="S7:S8"/>
    <mergeCell ref="T7:T8"/>
    <mergeCell ref="U7:U8"/>
  </mergeCell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3"/>
  <sheetViews>
    <sheetView zoomScale="70" zoomScaleNormal="70" workbookViewId="0"/>
  </sheetViews>
  <sheetFormatPr defaultColWidth="8.85546875" defaultRowHeight="15" customHeight="1" x14ac:dyDescent="0.25"/>
  <cols>
    <col min="1" max="1" width="12.7109375" style="195" customWidth="1"/>
    <col min="2" max="5" width="6.7109375" style="195" customWidth="1"/>
    <col min="6" max="6" width="8.7109375" style="195" customWidth="1"/>
    <col min="7" max="7" width="15.7109375" style="195" customWidth="1"/>
    <col min="8" max="26" width="8.7109375" style="195" customWidth="1"/>
    <col min="27" max="16384" width="8.85546875" style="195"/>
  </cols>
  <sheetData>
    <row r="1" spans="1:45" ht="15" customHeight="1" thickBot="1" x14ac:dyDescent="0.3">
      <c r="A1" s="110">
        <v>390</v>
      </c>
    </row>
    <row r="2" spans="1:45" ht="15" customHeight="1" thickBot="1" x14ac:dyDescent="0.3">
      <c r="A2" s="79" t="str">
        <f>Сводная!A23</f>
        <v>ZR250x2,0</v>
      </c>
      <c r="B2" s="93" t="str">
        <f>INDEX(B11:B51,MATCH($A$2,$A$11:$A$51))</f>
        <v>250</v>
      </c>
      <c r="C2" s="105">
        <f t="shared" ref="C2:Z2" si="0">INDEX(C11:C51,MATCH($A$2,$A$11:$A$51))</f>
        <v>63</v>
      </c>
      <c r="D2" s="105">
        <f t="shared" si="0"/>
        <v>73</v>
      </c>
      <c r="E2" s="105">
        <f t="shared" si="0"/>
        <v>20</v>
      </c>
      <c r="F2" s="93" t="str">
        <f t="shared" si="0"/>
        <v>ZR250</v>
      </c>
      <c r="G2" s="93" t="str">
        <f t="shared" si="0"/>
        <v>250/63/73/20</v>
      </c>
      <c r="H2" s="105">
        <f t="shared" si="0"/>
        <v>2</v>
      </c>
      <c r="I2" s="103">
        <f t="shared" si="0"/>
        <v>6.68</v>
      </c>
      <c r="J2" s="103">
        <f t="shared" si="0"/>
        <v>7.6257142857142854</v>
      </c>
      <c r="K2" s="103">
        <f t="shared" si="0"/>
        <v>1.9971428571428571</v>
      </c>
      <c r="L2" s="103">
        <f>INDEX(L11:L51,MATCH($A$2,$A$11:$A$51))</f>
        <v>7.902857142857143</v>
      </c>
      <c r="M2" s="103">
        <f t="shared" si="0"/>
        <v>701.82142857142856</v>
      </c>
      <c r="N2" s="103">
        <f t="shared" si="0"/>
        <v>52.71</v>
      </c>
      <c r="O2" s="103">
        <f t="shared" si="0"/>
        <v>9.4171428571428564</v>
      </c>
      <c r="P2" s="103">
        <f t="shared" si="0"/>
        <v>11.682857142857141</v>
      </c>
      <c r="Q2" s="103">
        <f t="shared" si="0"/>
        <v>7.8457142857142852</v>
      </c>
      <c r="R2" s="103">
        <f t="shared" si="0"/>
        <v>691.84428571428577</v>
      </c>
      <c r="S2" s="103">
        <f t="shared" si="0"/>
        <v>53.972857142857144</v>
      </c>
      <c r="T2" s="103">
        <f t="shared" si="0"/>
        <v>9.3800000000000008</v>
      </c>
      <c r="U2" s="103">
        <f t="shared" si="0"/>
        <v>12.821428571428571</v>
      </c>
      <c r="V2" s="103">
        <f t="shared" si="0"/>
        <v>8.4700000000000006</v>
      </c>
      <c r="W2" s="103">
        <f t="shared" si="0"/>
        <v>72.02</v>
      </c>
      <c r="X2" s="103">
        <f t="shared" si="0"/>
        <v>9.64</v>
      </c>
      <c r="Y2" s="103">
        <f t="shared" si="0"/>
        <v>2.91</v>
      </c>
      <c r="Z2" s="104">
        <f t="shared" si="0"/>
        <v>6.13</v>
      </c>
    </row>
    <row r="3" spans="1:45" ht="15" customHeight="1" thickBot="1" x14ac:dyDescent="0.3"/>
    <row r="4" spans="1:45" ht="15" customHeight="1" x14ac:dyDescent="0.25">
      <c r="A4" s="361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04" t="s">
        <v>165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45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45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 t="s">
        <v>18</v>
      </c>
      <c r="R6" s="345"/>
      <c r="S6" s="345"/>
      <c r="T6" s="345"/>
      <c r="U6" s="345"/>
      <c r="V6" s="345"/>
      <c r="W6" s="345"/>
      <c r="X6" s="345"/>
      <c r="Y6" s="345"/>
      <c r="Z6" s="357"/>
    </row>
    <row r="7" spans="1:45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 t="s">
        <v>21</v>
      </c>
      <c r="R7" s="364" t="s">
        <v>3</v>
      </c>
      <c r="S7" s="364" t="s">
        <v>156</v>
      </c>
      <c r="T7" s="364" t="s">
        <v>20</v>
      </c>
      <c r="U7" s="381" t="s">
        <v>168</v>
      </c>
      <c r="V7" s="364" t="s">
        <v>21</v>
      </c>
      <c r="W7" s="381" t="s">
        <v>3</v>
      </c>
      <c r="X7" s="364" t="s">
        <v>156</v>
      </c>
      <c r="Y7" s="364" t="s">
        <v>20</v>
      </c>
      <c r="Z7" s="400" t="s">
        <v>168</v>
      </c>
    </row>
    <row r="8" spans="1:45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401"/>
    </row>
    <row r="9" spans="1:45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 t="s">
        <v>172</v>
      </c>
      <c r="R9" s="154" t="s">
        <v>174</v>
      </c>
      <c r="S9" s="154" t="s">
        <v>175</v>
      </c>
      <c r="T9" s="154" t="s">
        <v>176</v>
      </c>
      <c r="U9" s="154" t="s">
        <v>177</v>
      </c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45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 t="s">
        <v>182</v>
      </c>
      <c r="R10" s="156" t="s">
        <v>183</v>
      </c>
      <c r="S10" s="156" t="s">
        <v>184</v>
      </c>
      <c r="T10" s="156" t="s">
        <v>6</v>
      </c>
      <c r="U10" s="156" t="s">
        <v>6</v>
      </c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45" ht="15" customHeight="1" thickBot="1" x14ac:dyDescent="0.3">
      <c r="A11" s="144" t="str">
        <f t="shared" ref="A11:A14" si="1">CONCATENATE(F11,"x",(IF(H11=INT(H11),CONCATENATE(H11,",",0),H11)))</f>
        <v>ZR140x1,0</v>
      </c>
      <c r="B11" s="146" t="str">
        <f t="shared" ref="B11:B14" si="2">LEFT(G11,3)</f>
        <v>140</v>
      </c>
      <c r="C11" s="146">
        <f t="shared" ref="C11:C14" si="3">VALUE(MID(G11,(SEARCH("/",G11,1)+1),(SEARCH("/",G11,(SEARCH("/",G11,1)+1))-SEARCH("/",G11,1)-1)))</f>
        <v>49</v>
      </c>
      <c r="D11" s="146">
        <f t="shared" ref="D11:D14" si="4">VALUE(MID(G11,(SEARCH("/",G11,(SEARCH("/",G11,1)+1))+1),(SEARCH("/",G11,SEARCH("/",G11,(SEARCH("/",G11,1)+1))+1))-(SEARCH("/",G11,(SEARCH("/",G11,1)+1))+1)))</f>
        <v>57</v>
      </c>
      <c r="E11" s="146">
        <f t="shared" ref="E11:E14" si="5">VALUE(MID(G11,(SEARCH("/",G11,SEARCH("/",G11,(SEARCH("/",G11,1)+1))+1)+1),4))</f>
        <v>20</v>
      </c>
      <c r="F11" s="158" t="str">
        <f t="shared" ref="F11:F14" si="6">CONCATENATE("ZR",LEFT(G11,3))</f>
        <v>ZR140</v>
      </c>
      <c r="G11" s="159" t="s">
        <v>188</v>
      </c>
      <c r="H11" s="160">
        <v>1</v>
      </c>
      <c r="I11" s="161">
        <v>2.36</v>
      </c>
      <c r="J11" s="161">
        <f>ZR_R_350!J11+(ZR_R_390!$A$1-ZR_R_350!$A$1)/(ZR_R_420!$A$1-ZR_R_350!$A$1)*(ZR_R_420!J11-ZR_R_350!J11)</f>
        <v>2.4842857142857144</v>
      </c>
      <c r="K11" s="161">
        <f>ZR_R_350!K11+(ZR_R_390!$A$1-ZR_R_350!$A$1)/(ZR_R_420!$A$1-ZR_R_350!$A$1)*(ZR_R_420!K11-ZR_R_350!K11)</f>
        <v>1.842857142857143</v>
      </c>
      <c r="L11" s="161">
        <f>ZR_R_350!L11+(ZR_R_390!$A$1-ZR_R_350!$A$1)/(ZR_R_420!$A$1-ZR_R_350!$A$1)*(ZR_R_420!L11-ZR_R_350!L11)</f>
        <v>2.7785714285714285</v>
      </c>
      <c r="M11" s="161">
        <f>ZR_R_350!M11+(ZR_R_390!$A$1-ZR_R_350!$A$1)/(ZR_R_420!$A$1-ZR_R_350!$A$1)*(ZR_R_420!M11-ZR_R_350!M11)</f>
        <v>78.094285714285704</v>
      </c>
      <c r="N11" s="161">
        <f>ZR_R_350!N11+(ZR_R_390!$A$1-ZR_R_350!$A$1)/(ZR_R_420!$A$1-ZR_R_350!$A$1)*(ZR_R_420!N11-ZR_R_350!N11)</f>
        <v>10.457142857142857</v>
      </c>
      <c r="O11" s="161">
        <f>ZR_R_350!O11+(ZR_R_390!$A$1-ZR_R_350!$A$1)/(ZR_R_420!$A$1-ZR_R_350!$A$1)*(ZR_R_420!O11-ZR_R_350!O11)</f>
        <v>5.298571428571428</v>
      </c>
      <c r="P11" s="161">
        <f>ZR_R_350!P11+(ZR_R_390!$A$1-ZR_R_350!$A$1)/(ZR_R_420!$A$1-ZR_R_350!$A$1)*(ZR_R_420!P11-ZR_R_350!P11)</f>
        <v>6.5357142857142856</v>
      </c>
      <c r="Q11" s="161">
        <f>ZR_R_350!Q11+(ZR_R_390!$A$1-ZR_R_350!$A$1)/(ZR_R_420!$A$1-ZR_R_350!$A$1)*(ZR_R_420!Q11-ZR_R_350!Q11)</f>
        <v>2.7085714285714286</v>
      </c>
      <c r="R11" s="161">
        <f>ZR_R_350!R11+(ZR_R_390!$A$1-ZR_R_350!$A$1)/(ZR_R_420!$A$1-ZR_R_350!$A$1)*(ZR_R_420!R11-ZR_R_350!R11)</f>
        <v>75.36571428571429</v>
      </c>
      <c r="S11" s="161">
        <f>ZR_R_350!S11+(ZR_R_390!$A$1-ZR_R_350!$A$1)/(ZR_R_420!$A$1-ZR_R_350!$A$1)*(ZR_R_420!S11-ZR_R_350!S11)</f>
        <v>10.404285714285715</v>
      </c>
      <c r="T11" s="161">
        <f>ZR_R_350!T11+(ZR_R_390!$A$1-ZR_R_350!$A$1)/(ZR_R_420!$A$1-ZR_R_350!$A$1)*(ZR_R_420!T11-ZR_R_350!T11)</f>
        <v>5.2628571428571433</v>
      </c>
      <c r="U11" s="161">
        <f>ZR_R_350!U11+(ZR_R_390!$A$1-ZR_R_350!$A$1)/(ZR_R_420!$A$1-ZR_R_350!$A$1)*(ZR_R_420!U11-ZR_R_350!U11)</f>
        <v>7.24</v>
      </c>
      <c r="V11" s="161">
        <f>ZR_R_350!V11+(ZR_R_390!$A$1-ZR_R_350!$A$1)/(ZR_R_420!$A$1-ZR_R_350!$A$1)*(ZR_R_420!V11-ZR_R_350!V11)</f>
        <v>2.6571428571428575</v>
      </c>
      <c r="W11" s="161">
        <f>ZR_R_350!W11+(ZR_R_390!$A$1-ZR_R_350!$A$1)/(ZR_R_420!$A$1-ZR_R_350!$A$1)*(ZR_R_420!W11-ZR_R_350!W11)</f>
        <v>17.057142857142857</v>
      </c>
      <c r="X11" s="161">
        <f>ZR_R_350!X11+(ZR_R_390!$A$1-ZR_R_350!$A$1)/(ZR_R_420!$A$1-ZR_R_350!$A$1)*(ZR_R_420!X11-ZR_R_350!X11)</f>
        <v>2.77</v>
      </c>
      <c r="Y11" s="161">
        <f>ZR_R_350!Y11+(ZR_R_390!$A$1-ZR_R_350!$A$1)/(ZR_R_420!$A$1-ZR_R_350!$A$1)*(ZR_R_420!Y11-ZR_R_350!Y11)</f>
        <v>2.5271428571428571</v>
      </c>
      <c r="Z11" s="162">
        <f>ZR_R_350!Z11+(ZR_R_390!$A$1-ZR_R_350!$A$1)/(ZR_R_420!$A$1-ZR_R_350!$A$1)*(ZR_R_420!Z11-ZR_R_350!Z11)</f>
        <v>4.3457142857142861</v>
      </c>
      <c r="AB11" s="221">
        <v>2.36</v>
      </c>
      <c r="AC11" s="221">
        <v>2.4300000000000002</v>
      </c>
      <c r="AD11" s="221">
        <v>1.84</v>
      </c>
      <c r="AE11" s="221">
        <v>2.78</v>
      </c>
      <c r="AF11" s="221">
        <v>78.069999999999993</v>
      </c>
      <c r="AG11" s="221">
        <v>10.46</v>
      </c>
      <c r="AH11" s="221">
        <v>5.29</v>
      </c>
      <c r="AI11" s="221">
        <v>6.54</v>
      </c>
      <c r="AJ11" s="221">
        <v>2.71</v>
      </c>
      <c r="AK11" s="221">
        <v>75.349999999999994</v>
      </c>
      <c r="AL11" s="221">
        <v>10.4</v>
      </c>
      <c r="AM11" s="221">
        <v>5.26</v>
      </c>
      <c r="AN11" s="221">
        <v>7.24</v>
      </c>
      <c r="AO11" s="221">
        <v>2.65</v>
      </c>
      <c r="AP11" s="221">
        <v>17.04</v>
      </c>
      <c r="AQ11" s="221">
        <v>2.77</v>
      </c>
      <c r="AR11" s="221">
        <v>2.5299999999999998</v>
      </c>
      <c r="AS11" s="221">
        <v>4.3499999999999996</v>
      </c>
    </row>
    <row r="12" spans="1:45" ht="15" customHeight="1" thickBot="1" x14ac:dyDescent="0.3">
      <c r="A12" s="205" t="str">
        <f t="shared" si="1"/>
        <v>ZR140x1,2</v>
      </c>
      <c r="B12" s="206" t="str">
        <f t="shared" si="2"/>
        <v>140</v>
      </c>
      <c r="C12" s="206">
        <f t="shared" si="3"/>
        <v>49</v>
      </c>
      <c r="D12" s="206">
        <f t="shared" si="4"/>
        <v>57</v>
      </c>
      <c r="E12" s="206">
        <f t="shared" si="5"/>
        <v>20</v>
      </c>
      <c r="F12" s="156" t="str">
        <f t="shared" si="6"/>
        <v>ZR140</v>
      </c>
      <c r="G12" s="157" t="s">
        <v>188</v>
      </c>
      <c r="H12" s="202">
        <v>1.2</v>
      </c>
      <c r="I12" s="213">
        <v>2.82</v>
      </c>
      <c r="J12" s="213">
        <f>ZR_R_350!J12+(ZR_R_390!$A$1-ZR_R_350!$A$1)/(ZR_R_420!$A$1-ZR_R_350!$A$1)*(ZR_R_420!J12-ZR_R_350!J12)</f>
        <v>3.1542857142857144</v>
      </c>
      <c r="K12" s="213">
        <f>ZR_R_350!K12+(ZR_R_390!$A$1-ZR_R_350!$A$1)/(ZR_R_420!$A$1-ZR_R_350!$A$1)*(ZR_R_420!K12-ZR_R_350!K12)</f>
        <v>1.8928571428571428</v>
      </c>
      <c r="L12" s="213">
        <f>ZR_R_350!L12+(ZR_R_390!$A$1-ZR_R_350!$A$1)/(ZR_R_420!$A$1-ZR_R_350!$A$1)*(ZR_R_420!L12-ZR_R_350!L12)</f>
        <v>3.3785714285714286</v>
      </c>
      <c r="M12" s="213">
        <f>ZR_R_350!M12+(ZR_R_390!$A$1-ZR_R_350!$A$1)/(ZR_R_420!$A$1-ZR_R_350!$A$1)*(ZR_R_420!M12-ZR_R_350!M12)</f>
        <v>96.145714285714291</v>
      </c>
      <c r="N12" s="213">
        <f>ZR_R_350!N12+(ZR_R_390!$A$1-ZR_R_350!$A$1)/(ZR_R_420!$A$1-ZR_R_350!$A$1)*(ZR_R_420!N12-ZR_R_350!N12)</f>
        <v>13.102857142857143</v>
      </c>
      <c r="O12" s="213">
        <f>ZR_R_350!O12+(ZR_R_390!$A$1-ZR_R_350!$A$1)/(ZR_R_420!$A$1-ZR_R_350!$A$1)*(ZR_R_420!O12-ZR_R_350!O12)</f>
        <v>5.3285714285714283</v>
      </c>
      <c r="P12" s="213">
        <f>ZR_R_350!P12+(ZR_R_390!$A$1-ZR_R_350!$A$1)/(ZR_R_420!$A$1-ZR_R_350!$A$1)*(ZR_R_420!P12-ZR_R_350!P12)</f>
        <v>6.6657142857142855</v>
      </c>
      <c r="Q12" s="213">
        <f>ZR_R_350!Q12+(ZR_R_390!$A$1-ZR_R_350!$A$1)/(ZR_R_420!$A$1-ZR_R_350!$A$1)*(ZR_R_420!Q12-ZR_R_350!Q12)</f>
        <v>3.3071428571428574</v>
      </c>
      <c r="R12" s="213">
        <f>ZR_R_350!R12+(ZR_R_390!$A$1-ZR_R_350!$A$1)/(ZR_R_420!$A$1-ZR_R_350!$A$1)*(ZR_R_420!R12-ZR_R_350!R12)</f>
        <v>93.085714285714289</v>
      </c>
      <c r="S12" s="213">
        <f>ZR_R_350!S12+(ZR_R_390!$A$1-ZR_R_350!$A$1)/(ZR_R_420!$A$1-ZR_R_350!$A$1)*(ZR_R_420!S12-ZR_R_350!S12)</f>
        <v>13.104285714285714</v>
      </c>
      <c r="T12" s="213">
        <f>ZR_R_350!T12+(ZR_R_390!$A$1-ZR_R_350!$A$1)/(ZR_R_420!$A$1-ZR_R_350!$A$1)*(ZR_R_420!T12-ZR_R_350!T12)</f>
        <v>5.298571428571428</v>
      </c>
      <c r="U12" s="213">
        <f>ZR_R_350!U12+(ZR_R_390!$A$1-ZR_R_350!$A$1)/(ZR_R_420!$A$1-ZR_R_350!$A$1)*(ZR_R_420!U12-ZR_R_350!U12)</f>
        <v>7.1</v>
      </c>
      <c r="V12" s="213">
        <f>ZR_R_350!V12+(ZR_R_390!$A$1-ZR_R_350!$A$1)/(ZR_R_420!$A$1-ZR_R_350!$A$1)*(ZR_R_420!V12-ZR_R_350!V12)</f>
        <v>3.2671428571428573</v>
      </c>
      <c r="W12" s="213">
        <f>ZR_R_350!W12+(ZR_R_390!$A$1-ZR_R_350!$A$1)/(ZR_R_420!$A$1-ZR_R_350!$A$1)*(ZR_R_420!W12-ZR_R_350!W12)</f>
        <v>21.79</v>
      </c>
      <c r="X12" s="213">
        <f>ZR_R_350!X12+(ZR_R_390!$A$1-ZR_R_350!$A$1)/(ZR_R_420!$A$1-ZR_R_350!$A$1)*(ZR_R_420!X12-ZR_R_350!X12)</f>
        <v>3.6085714285714285</v>
      </c>
      <c r="Y12" s="213">
        <f>ZR_R_350!Y12+(ZR_R_390!$A$1-ZR_R_350!$A$1)/(ZR_R_420!$A$1-ZR_R_350!$A$1)*(ZR_R_420!Y12-ZR_R_350!Y12)</f>
        <v>2.572857142857143</v>
      </c>
      <c r="Z12" s="214">
        <f>ZR_R_350!Z12+(ZR_R_390!$A$1-ZR_R_350!$A$1)/(ZR_R_420!$A$1-ZR_R_350!$A$1)*(ZR_R_420!Z12-ZR_R_350!Z12)</f>
        <v>4.4457142857142857</v>
      </c>
      <c r="AB12" s="221">
        <v>2.82</v>
      </c>
      <c r="AC12" s="221">
        <v>3.15</v>
      </c>
      <c r="AD12" s="221">
        <v>1.89</v>
      </c>
      <c r="AE12" s="221">
        <v>3.38</v>
      </c>
      <c r="AF12" s="221">
        <v>96.12</v>
      </c>
      <c r="AG12" s="221">
        <v>13.09</v>
      </c>
      <c r="AH12" s="221">
        <v>5.33</v>
      </c>
      <c r="AI12" s="221">
        <v>6.66</v>
      </c>
      <c r="AJ12" s="221">
        <v>3.31</v>
      </c>
      <c r="AK12" s="221">
        <v>93.04</v>
      </c>
      <c r="AL12" s="221">
        <v>13.1</v>
      </c>
      <c r="AM12" s="221">
        <v>5.3</v>
      </c>
      <c r="AN12" s="221">
        <v>7.1</v>
      </c>
      <c r="AO12" s="221">
        <v>3.26</v>
      </c>
      <c r="AP12" s="221">
        <v>21.77</v>
      </c>
      <c r="AQ12" s="221">
        <v>3.61</v>
      </c>
      <c r="AR12" s="221">
        <v>2.58</v>
      </c>
      <c r="AS12" s="221">
        <v>4.45</v>
      </c>
    </row>
    <row r="13" spans="1:45" ht="15" customHeight="1" thickBot="1" x14ac:dyDescent="0.3">
      <c r="A13" s="144" t="str">
        <f t="shared" si="1"/>
        <v>ZR160x1,0</v>
      </c>
      <c r="B13" s="146" t="str">
        <f t="shared" si="2"/>
        <v>160</v>
      </c>
      <c r="C13" s="146">
        <f t="shared" si="3"/>
        <v>49</v>
      </c>
      <c r="D13" s="146">
        <f t="shared" si="4"/>
        <v>57</v>
      </c>
      <c r="E13" s="146">
        <f t="shared" si="5"/>
        <v>20</v>
      </c>
      <c r="F13" s="158" t="str">
        <f t="shared" si="6"/>
        <v>ZR160</v>
      </c>
      <c r="G13" s="159" t="s">
        <v>60</v>
      </c>
      <c r="H13" s="160">
        <v>1</v>
      </c>
      <c r="I13" s="161">
        <v>2.54</v>
      </c>
      <c r="J13" s="161">
        <f>ZR_R_350!J13+(ZR_R_390!$A$1-ZR_R_350!$A$1)/(ZR_R_420!$A$1-ZR_R_350!$A$1)*(ZR_R_420!J13-ZR_R_350!J13)</f>
        <v>2.5571428571428569</v>
      </c>
      <c r="K13" s="161">
        <f>ZR_R_350!K13+(ZR_R_390!$A$1-ZR_R_350!$A$1)/(ZR_R_420!$A$1-ZR_R_350!$A$1)*(ZR_R_420!K13-ZR_R_350!K13)</f>
        <v>1.7285714285714286</v>
      </c>
      <c r="L13" s="161">
        <f>ZR_R_350!L13+(ZR_R_390!$A$1-ZR_R_350!$A$1)/(ZR_R_420!$A$1-ZR_R_350!$A$1)*(ZR_R_420!L13-ZR_R_350!L13)</f>
        <v>2.9614285714285713</v>
      </c>
      <c r="M13" s="161">
        <f>ZR_R_350!M13+(ZR_R_390!$A$1-ZR_R_350!$A$1)/(ZR_R_420!$A$1-ZR_R_350!$A$1)*(ZR_R_420!M13-ZR_R_350!M13)</f>
        <v>106.13285714285715</v>
      </c>
      <c r="N13" s="161">
        <f>ZR_R_350!N13+(ZR_R_390!$A$1-ZR_R_350!$A$1)/(ZR_R_420!$A$1-ZR_R_350!$A$1)*(ZR_R_420!N13-ZR_R_350!N13)</f>
        <v>12.444285714285714</v>
      </c>
      <c r="O13" s="161">
        <f>ZR_R_350!O13+(ZR_R_390!$A$1-ZR_R_350!$A$1)/(ZR_R_420!$A$1-ZR_R_350!$A$1)*(ZR_R_420!O13-ZR_R_350!O13)</f>
        <v>5.9828571428571431</v>
      </c>
      <c r="P13" s="161">
        <f>ZR_R_350!P13+(ZR_R_390!$A$1-ZR_R_350!$A$1)/(ZR_R_420!$A$1-ZR_R_350!$A$1)*(ZR_R_420!P13-ZR_R_350!P13)</f>
        <v>7.4714285714285715</v>
      </c>
      <c r="Q13" s="161">
        <f>ZR_R_350!Q13+(ZR_R_390!$A$1-ZR_R_350!$A$1)/(ZR_R_420!$A$1-ZR_R_350!$A$1)*(ZR_R_420!Q13-ZR_R_350!Q13)</f>
        <v>2.8914285714285715</v>
      </c>
      <c r="R13" s="161">
        <f>ZR_R_350!R13+(ZR_R_390!$A$1-ZR_R_350!$A$1)/(ZR_R_420!$A$1-ZR_R_350!$A$1)*(ZR_R_420!R13-ZR_R_350!R13)</f>
        <v>102.78428571428572</v>
      </c>
      <c r="S13" s="161">
        <f>ZR_R_350!S13+(ZR_R_390!$A$1-ZR_R_350!$A$1)/(ZR_R_420!$A$1-ZR_R_350!$A$1)*(ZR_R_420!S13-ZR_R_350!S13)</f>
        <v>12.4</v>
      </c>
      <c r="T13" s="161">
        <f>ZR_R_350!T13+(ZR_R_390!$A$1-ZR_R_350!$A$1)/(ZR_R_420!$A$1-ZR_R_350!$A$1)*(ZR_R_420!T13-ZR_R_350!T13)</f>
        <v>5.9485714285714284</v>
      </c>
      <c r="U13" s="161">
        <f>ZR_R_350!U13+(ZR_R_390!$A$1-ZR_R_350!$A$1)/(ZR_R_420!$A$1-ZR_R_350!$A$1)*(ZR_R_420!U13-ZR_R_350!U13)</f>
        <v>8.2885714285714283</v>
      </c>
      <c r="V13" s="161">
        <f>ZR_R_350!V13+(ZR_R_390!$A$1-ZR_R_350!$A$1)/(ZR_R_420!$A$1-ZR_R_350!$A$1)*(ZR_R_420!V13-ZR_R_350!V13)</f>
        <v>2.8571428571428572</v>
      </c>
      <c r="W13" s="161">
        <f>ZR_R_350!W13+(ZR_R_390!$A$1-ZR_R_350!$A$1)/(ZR_R_420!$A$1-ZR_R_350!$A$1)*(ZR_R_420!W13-ZR_R_350!W13)</f>
        <v>17.102857142857143</v>
      </c>
      <c r="X13" s="161">
        <f>ZR_R_350!X13+(ZR_R_390!$A$1-ZR_R_350!$A$1)/(ZR_R_420!$A$1-ZR_R_350!$A$1)*(ZR_R_420!X13-ZR_R_350!X13)</f>
        <v>2.7957142857142858</v>
      </c>
      <c r="Y13" s="161">
        <f>ZR_R_350!Y13+(ZR_R_390!$A$1-ZR_R_350!$A$1)/(ZR_R_420!$A$1-ZR_R_350!$A$1)*(ZR_R_420!Y13-ZR_R_350!Y13)</f>
        <v>2.4428571428571431</v>
      </c>
      <c r="Z13" s="162">
        <f>ZR_R_350!Z13+(ZR_R_390!$A$1-ZR_R_350!$A$1)/(ZR_R_420!$A$1-ZR_R_350!$A$1)*(ZR_R_420!Z13-ZR_R_350!Z13)</f>
        <v>4.3814285714285717</v>
      </c>
      <c r="AB13" s="221">
        <v>2.54</v>
      </c>
      <c r="AC13" s="221">
        <v>2.4900000000000002</v>
      </c>
      <c r="AD13" s="221">
        <v>1.73</v>
      </c>
      <c r="AE13" s="221">
        <v>2.96</v>
      </c>
      <c r="AF13" s="221">
        <v>106.08</v>
      </c>
      <c r="AG13" s="221">
        <v>12.43</v>
      </c>
      <c r="AH13" s="221">
        <v>5.98</v>
      </c>
      <c r="AI13" s="221">
        <v>7.47</v>
      </c>
      <c r="AJ13" s="221">
        <v>2.89</v>
      </c>
      <c r="AK13" s="221">
        <v>102.76</v>
      </c>
      <c r="AL13" s="221">
        <v>12.39</v>
      </c>
      <c r="AM13" s="221">
        <v>5.95</v>
      </c>
      <c r="AN13" s="221">
        <v>8.2899999999999991</v>
      </c>
      <c r="AO13" s="221">
        <v>2.85</v>
      </c>
      <c r="AP13" s="221">
        <v>17.09</v>
      </c>
      <c r="AQ13" s="221">
        <v>2.79</v>
      </c>
      <c r="AR13" s="221">
        <v>2.44</v>
      </c>
      <c r="AS13" s="221">
        <v>4.38</v>
      </c>
    </row>
    <row r="14" spans="1:45" ht="15" customHeight="1" thickBot="1" x14ac:dyDescent="0.3">
      <c r="A14" s="147" t="str">
        <f t="shared" si="1"/>
        <v>ZR160x1,2</v>
      </c>
      <c r="B14" s="149" t="str">
        <f t="shared" si="2"/>
        <v>160</v>
      </c>
      <c r="C14" s="149">
        <f t="shared" si="3"/>
        <v>49</v>
      </c>
      <c r="D14" s="149">
        <f t="shared" si="4"/>
        <v>57</v>
      </c>
      <c r="E14" s="149">
        <f t="shared" si="5"/>
        <v>20</v>
      </c>
      <c r="F14" s="154" t="str">
        <f t="shared" si="6"/>
        <v>ZR160</v>
      </c>
      <c r="G14" s="155" t="s">
        <v>60</v>
      </c>
      <c r="H14" s="164">
        <v>1.2</v>
      </c>
      <c r="I14" s="165">
        <v>3.04</v>
      </c>
      <c r="J14" s="165">
        <f>ZR_R_350!J14+(ZR_R_390!$A$1-ZR_R_350!$A$1)/(ZR_R_420!$A$1-ZR_R_350!$A$1)*(ZR_R_420!J14-ZR_R_350!J14)</f>
        <v>3.3357142857142859</v>
      </c>
      <c r="K14" s="165">
        <f>ZR_R_350!K14+(ZR_R_390!$A$1-ZR_R_350!$A$1)/(ZR_R_420!$A$1-ZR_R_350!$A$1)*(ZR_R_420!K14-ZR_R_350!K14)</f>
        <v>1.7542857142857142</v>
      </c>
      <c r="L14" s="165">
        <f>ZR_R_350!L14+(ZR_R_390!$A$1-ZR_R_350!$A$1)/(ZR_R_420!$A$1-ZR_R_350!$A$1)*(ZR_R_420!L14-ZR_R_350!L14)</f>
        <v>3.6185714285714283</v>
      </c>
      <c r="M14" s="165">
        <f>ZR_R_350!M14+(ZR_R_390!$A$1-ZR_R_350!$A$1)/(ZR_R_420!$A$1-ZR_R_350!$A$1)*(ZR_R_420!M14-ZR_R_350!M14)</f>
        <v>131.43428571428572</v>
      </c>
      <c r="N14" s="165">
        <f>ZR_R_350!N14+(ZR_R_390!$A$1-ZR_R_350!$A$1)/(ZR_R_420!$A$1-ZR_R_350!$A$1)*(ZR_R_420!N14-ZR_R_350!N14)</f>
        <v>15.725714285714286</v>
      </c>
      <c r="O14" s="165">
        <f>ZR_R_350!O14+(ZR_R_390!$A$1-ZR_R_350!$A$1)/(ZR_R_420!$A$1-ZR_R_350!$A$1)*(ZR_R_420!O14-ZR_R_350!O14)</f>
        <v>6.0185714285714287</v>
      </c>
      <c r="P14" s="165">
        <f>ZR_R_350!P14+(ZR_R_390!$A$1-ZR_R_350!$A$1)/(ZR_R_420!$A$1-ZR_R_350!$A$1)*(ZR_R_420!P14-ZR_R_350!P14)</f>
        <v>7.6457142857142859</v>
      </c>
      <c r="Q14" s="165">
        <f>ZR_R_350!Q14+(ZR_R_390!$A$1-ZR_R_350!$A$1)/(ZR_R_420!$A$1-ZR_R_350!$A$1)*(ZR_R_420!Q14-ZR_R_350!Q14)</f>
        <v>3.5471428571428572</v>
      </c>
      <c r="R14" s="165">
        <f>ZR_R_350!R14+(ZR_R_390!$A$1-ZR_R_350!$A$1)/(ZR_R_420!$A$1-ZR_R_350!$A$1)*(ZR_R_420!R14-ZR_R_350!R14)</f>
        <v>127.39571428571429</v>
      </c>
      <c r="S14" s="165">
        <f>ZR_R_350!S14+(ZR_R_390!$A$1-ZR_R_350!$A$1)/(ZR_R_420!$A$1-ZR_R_350!$A$1)*(ZR_R_420!S14-ZR_R_350!S14)</f>
        <v>15.715714285714284</v>
      </c>
      <c r="T14" s="165">
        <f>ZR_R_350!T14+(ZR_R_390!$A$1-ZR_R_350!$A$1)/(ZR_R_420!$A$1-ZR_R_350!$A$1)*(ZR_R_420!T14-ZR_R_350!T14)</f>
        <v>5.9828571428571431</v>
      </c>
      <c r="U14" s="165">
        <f>ZR_R_350!U14+(ZR_R_390!$A$1-ZR_R_350!$A$1)/(ZR_R_420!$A$1-ZR_R_350!$A$1)*(ZR_R_420!U14-ZR_R_350!U14)</f>
        <v>8.1057142857142868</v>
      </c>
      <c r="V14" s="165">
        <f>ZR_R_350!V14+(ZR_R_390!$A$1-ZR_R_350!$A$1)/(ZR_R_420!$A$1-ZR_R_350!$A$1)*(ZR_R_420!V14-ZR_R_350!V14)</f>
        <v>3.5071428571428571</v>
      </c>
      <c r="W14" s="165">
        <f>ZR_R_350!W14+(ZR_R_390!$A$1-ZR_R_350!$A$1)/(ZR_R_420!$A$1-ZR_R_350!$A$1)*(ZR_R_420!W14-ZR_R_350!W14)</f>
        <v>21.825714285714287</v>
      </c>
      <c r="X14" s="165">
        <f>ZR_R_350!X14+(ZR_R_390!$A$1-ZR_R_350!$A$1)/(ZR_R_420!$A$1-ZR_R_350!$A$1)*(ZR_R_420!X14-ZR_R_350!X14)</f>
        <v>3.6285714285714286</v>
      </c>
      <c r="Y14" s="165">
        <f>ZR_R_350!Y14+(ZR_R_390!$A$1-ZR_R_350!$A$1)/(ZR_R_420!$A$1-ZR_R_350!$A$1)*(ZR_R_420!Y14-ZR_R_350!Y14)</f>
        <v>2.4885714285714284</v>
      </c>
      <c r="Z14" s="166">
        <f>ZR_R_350!Z14+(ZR_R_390!$A$1-ZR_R_350!$A$1)/(ZR_R_420!$A$1-ZR_R_350!$A$1)*(ZR_R_420!Z14-ZR_R_350!Z14)</f>
        <v>4.4714285714285715</v>
      </c>
      <c r="AB14" s="221">
        <v>3.04</v>
      </c>
      <c r="AC14" s="221">
        <v>3.27</v>
      </c>
      <c r="AD14" s="221">
        <v>1.75</v>
      </c>
      <c r="AE14" s="221">
        <v>3.62</v>
      </c>
      <c r="AF14" s="221">
        <v>131.4</v>
      </c>
      <c r="AG14" s="221">
        <v>15.71</v>
      </c>
      <c r="AH14" s="221">
        <v>6.02</v>
      </c>
      <c r="AI14" s="221">
        <v>7.64</v>
      </c>
      <c r="AJ14" s="221">
        <v>3.55</v>
      </c>
      <c r="AK14" s="221">
        <v>127.33</v>
      </c>
      <c r="AL14" s="221">
        <v>15.7</v>
      </c>
      <c r="AM14" s="221">
        <v>5.98</v>
      </c>
      <c r="AN14" s="221">
        <v>8.11</v>
      </c>
      <c r="AO14" s="221">
        <v>3.5</v>
      </c>
      <c r="AP14" s="221">
        <v>21.8</v>
      </c>
      <c r="AQ14" s="221">
        <v>3.62</v>
      </c>
      <c r="AR14" s="221">
        <v>2.4900000000000002</v>
      </c>
      <c r="AS14" s="221">
        <v>4.47</v>
      </c>
    </row>
    <row r="15" spans="1:45" ht="15" customHeight="1" thickBot="1" x14ac:dyDescent="0.3">
      <c r="A15" s="72" t="str">
        <f>CONCATENATE(F15,"x",(IF(H15=INT(H15),CONCATENATE(H15,",",0),H15)))</f>
        <v>ZR160x1,5</v>
      </c>
      <c r="B15" s="3" t="str">
        <f>LEFT(G15,3)</f>
        <v>160</v>
      </c>
      <c r="C15" s="3">
        <f>VALUE(MID(G15,(SEARCH("/",G15,1)+1),(SEARCH("/",G15,(SEARCH("/",G15,1)+1))-SEARCH("/",G15,1)-1)))</f>
        <v>49</v>
      </c>
      <c r="D15" s="3">
        <f>VALUE(MID(G15,(SEARCH("/",G15,(SEARCH("/",G15,1)+1))+1),(SEARCH("/",G15,SEARCH("/",G15,(SEARCH("/",G15,1)+1))+1))-(SEARCH("/",G15,(SEARCH("/",G15,1)+1))+1)))</f>
        <v>57</v>
      </c>
      <c r="E15" s="3">
        <f>VALUE(MID(G15,(SEARCH("/",G15,SEARCH("/",G15,(SEARCH("/",G15,1)+1))+1)+1),4))</f>
        <v>20</v>
      </c>
      <c r="F15" s="4" t="str">
        <f>CONCATENATE("ZR",LEFT(G15,3))</f>
        <v>ZR160</v>
      </c>
      <c r="G15" s="81" t="s">
        <v>60</v>
      </c>
      <c r="H15" s="117">
        <v>1.5</v>
      </c>
      <c r="I15" s="96">
        <v>3.62</v>
      </c>
      <c r="J15" s="112">
        <f>ZR_R_350!J15+(ZR_R_390!$A$1-ZR_R_350!$A$1)/(ZR_R_420!$A$1-ZR_R_350!$A$1)*(ZR_R_420!J15-ZR_R_350!J15)</f>
        <v>4.4957142857142856</v>
      </c>
      <c r="K15" s="112">
        <f>ZR_R_350!K15+(ZR_R_390!$A$1-ZR_R_350!$A$1)/(ZR_R_420!$A$1-ZR_R_350!$A$1)*(ZR_R_420!K15-ZR_R_350!K15)</f>
        <v>1.8071428571428572</v>
      </c>
      <c r="L15" s="112">
        <f>ZR_R_350!L15+(ZR_R_390!$A$1-ZR_R_350!$A$1)/(ZR_R_420!$A$1-ZR_R_350!$A$1)*(ZR_R_420!L15-ZR_R_350!L15)</f>
        <v>4.4528571428571428</v>
      </c>
      <c r="M15" s="112">
        <f>ZR_R_350!M15+(ZR_R_390!$A$1-ZR_R_350!$A$1)/(ZR_R_420!$A$1-ZR_R_350!$A$1)*(ZR_R_420!M15-ZR_R_350!M15)</f>
        <v>165.01571428571427</v>
      </c>
      <c r="N15" s="112">
        <f>ZR_R_350!N15+(ZR_R_390!$A$1-ZR_R_350!$A$1)/(ZR_R_420!$A$1-ZR_R_350!$A$1)*(ZR_R_420!N15-ZR_R_350!N15)</f>
        <v>19.748571428571427</v>
      </c>
      <c r="O15" s="112">
        <f>ZR_R_350!O15+(ZR_R_390!$A$1-ZR_R_350!$A$1)/(ZR_R_420!$A$1-ZR_R_350!$A$1)*(ZR_R_420!O15-ZR_R_350!O15)</f>
        <v>6.0757142857142856</v>
      </c>
      <c r="P15" s="112">
        <f>ZR_R_350!P15+(ZR_R_390!$A$1-ZR_R_350!$A$1)/(ZR_R_420!$A$1-ZR_R_350!$A$1)*(ZR_R_420!P15-ZR_R_350!P15)</f>
        <v>7.6414285714285715</v>
      </c>
      <c r="Q15" s="112">
        <f>ZR_R_350!Q15+(ZR_R_390!$A$1-ZR_R_350!$A$1)/(ZR_R_420!$A$1-ZR_R_350!$A$1)*(ZR_R_420!Q15-ZR_R_350!Q15)</f>
        <v>4.4114285714285719</v>
      </c>
      <c r="R15" s="112">
        <f>ZR_R_350!R15+(ZR_R_390!$A$1-ZR_R_350!$A$1)/(ZR_R_420!$A$1-ZR_R_350!$A$1)*(ZR_R_420!R15-ZR_R_350!R15)</f>
        <v>161.88</v>
      </c>
      <c r="S15" s="112">
        <f>ZR_R_350!S15+(ZR_R_390!$A$1-ZR_R_350!$A$1)/(ZR_R_420!$A$1-ZR_R_350!$A$1)*(ZR_R_420!S15-ZR_R_350!S15)</f>
        <v>20.045714285714286</v>
      </c>
      <c r="T15" s="112">
        <f>ZR_R_350!T15+(ZR_R_390!$A$1-ZR_R_350!$A$1)/(ZR_R_420!$A$1-ZR_R_350!$A$1)*(ZR_R_420!T15-ZR_R_350!T15)</f>
        <v>6.05</v>
      </c>
      <c r="U15" s="112">
        <f>ZR_R_350!U15+(ZR_R_390!$A$1-ZR_R_350!$A$1)/(ZR_R_420!$A$1-ZR_R_350!$A$1)*(ZR_R_420!U15-ZR_R_350!U15)</f>
        <v>8.0257142857142867</v>
      </c>
      <c r="V15" s="112">
        <f>ZR_R_350!V15+(ZR_R_390!$A$1-ZR_R_350!$A$1)/(ZR_R_420!$A$1-ZR_R_350!$A$1)*(ZR_R_420!V15-ZR_R_350!V15)</f>
        <v>4.58</v>
      </c>
      <c r="W15" s="112">
        <f>ZR_R_350!W15+(ZR_R_390!$A$1-ZR_R_350!$A$1)/(ZR_R_420!$A$1-ZR_R_350!$A$1)*(ZR_R_420!W15-ZR_R_350!W15)</f>
        <v>29.962857142857143</v>
      </c>
      <c r="X15" s="112">
        <f>ZR_R_350!X15+(ZR_R_390!$A$1-ZR_R_350!$A$1)/(ZR_R_420!$A$1-ZR_R_350!$A$1)*(ZR_R_420!X15-ZR_R_350!X15)</f>
        <v>5.0185714285714287</v>
      </c>
      <c r="Y15" s="112">
        <f>ZR_R_350!Y15+(ZR_R_390!$A$1-ZR_R_350!$A$1)/(ZR_R_420!$A$1-ZR_R_350!$A$1)*(ZR_R_420!Y15-ZR_R_350!Y15)</f>
        <v>2.5499999999999998</v>
      </c>
      <c r="Z15" s="77">
        <f>ZR_R_350!Z15+(ZR_R_390!$A$1-ZR_R_350!$A$1)/(ZR_R_420!$A$1-ZR_R_350!$A$1)*(ZR_R_420!Z15-ZR_R_350!Z15)</f>
        <v>4.63</v>
      </c>
      <c r="AB15" s="217">
        <v>3.62</v>
      </c>
      <c r="AC15" s="218">
        <v>4.41</v>
      </c>
      <c r="AD15" s="217">
        <v>1.82</v>
      </c>
      <c r="AE15" s="218">
        <v>4.46</v>
      </c>
      <c r="AF15" s="218">
        <v>165.48</v>
      </c>
      <c r="AG15" s="218">
        <v>19.75</v>
      </c>
      <c r="AH15" s="218">
        <v>6.09</v>
      </c>
      <c r="AI15" s="218">
        <v>7.82</v>
      </c>
      <c r="AJ15" s="218">
        <v>4.45</v>
      </c>
      <c r="AK15" s="218">
        <v>161.88</v>
      </c>
      <c r="AL15" s="218">
        <v>20.04</v>
      </c>
      <c r="AM15" s="218">
        <v>6.06</v>
      </c>
      <c r="AN15" s="218">
        <v>7.97</v>
      </c>
      <c r="AO15" s="218">
        <v>4.58</v>
      </c>
      <c r="AP15" s="218">
        <v>29.67</v>
      </c>
      <c r="AQ15" s="218">
        <v>5.0199999999999996</v>
      </c>
      <c r="AR15" s="218">
        <v>2.54</v>
      </c>
      <c r="AS15" s="218">
        <v>4.67</v>
      </c>
    </row>
    <row r="16" spans="1:45" ht="15" customHeight="1" thickBot="1" x14ac:dyDescent="0.3">
      <c r="A16" s="72" t="str">
        <f t="shared" ref="A16:A38" si="7">CONCATENATE(F16,"x",(IF(H16=INT(H16),CONCATENATE(H16,",",0),H16)))</f>
        <v>ZR160x2,0</v>
      </c>
      <c r="B16" s="3" t="str">
        <f t="shared" ref="B16:B38" si="8">LEFT(G16,3)</f>
        <v>160</v>
      </c>
      <c r="C16" s="3">
        <f t="shared" ref="C16:C38" si="9">VALUE(MID(G16,(SEARCH("/",G16,1)+1),(SEARCH("/",G16,(SEARCH("/",G16,1)+1))-SEARCH("/",G16,1)-1)))</f>
        <v>50</v>
      </c>
      <c r="D16" s="3">
        <f t="shared" ref="D16:D38" si="10">VALUE(MID(G16,(SEARCH("/",G16,(SEARCH("/",G16,1)+1))+1),(SEARCH("/",G16,SEARCH("/",G16,(SEARCH("/",G16,1)+1))+1))-(SEARCH("/",G16,(SEARCH("/",G16,1)+1))+1)))</f>
        <v>58</v>
      </c>
      <c r="E16" s="3">
        <f t="shared" ref="E16:E38" si="11">VALUE(MID(G16,(SEARCH("/",G16,SEARCH("/",G16,(SEARCH("/",G16,1)+1))+1)+1),4))</f>
        <v>21</v>
      </c>
      <c r="F16" s="4" t="str">
        <f t="shared" ref="F16:F38" si="12">CONCATENATE("ZR",LEFT(G16,3))</f>
        <v>ZR160</v>
      </c>
      <c r="G16" s="81" t="s">
        <v>61</v>
      </c>
      <c r="H16" s="117">
        <v>2</v>
      </c>
      <c r="I16" s="96">
        <v>4.8600000000000003</v>
      </c>
      <c r="J16" s="112">
        <f>ZR_R_350!J16+(ZR_R_390!$A$1-ZR_R_350!$A$1)/(ZR_R_420!$A$1-ZR_R_350!$A$1)*(ZR_R_420!J16-ZR_R_350!J16)</f>
        <v>6.15</v>
      </c>
      <c r="K16" s="112">
        <f>ZR_R_350!K16+(ZR_R_390!$A$1-ZR_R_350!$A$1)/(ZR_R_420!$A$1-ZR_R_350!$A$1)*(ZR_R_420!K16-ZR_R_350!K16)</f>
        <v>1.89</v>
      </c>
      <c r="L16" s="112">
        <f>ZR_R_350!L16+(ZR_R_390!$A$1-ZR_R_350!$A$1)/(ZR_R_420!$A$1-ZR_R_350!$A$1)*(ZR_R_420!L16-ZR_R_350!L16)</f>
        <v>6.15</v>
      </c>
      <c r="M16" s="112">
        <f>ZR_R_350!M16+(ZR_R_390!$A$1-ZR_R_350!$A$1)/(ZR_R_420!$A$1-ZR_R_350!$A$1)*(ZR_R_420!M16-ZR_R_350!M16)</f>
        <v>224.73</v>
      </c>
      <c r="N16" s="112">
        <f>ZR_R_350!N16+(ZR_R_390!$A$1-ZR_R_350!$A$1)/(ZR_R_420!$A$1-ZR_R_350!$A$1)*(ZR_R_420!N16-ZR_R_350!N16)</f>
        <v>27.38</v>
      </c>
      <c r="O16" s="112">
        <f>ZR_R_350!O16+(ZR_R_390!$A$1-ZR_R_350!$A$1)/(ZR_R_420!$A$1-ZR_R_350!$A$1)*(ZR_R_420!O16-ZR_R_350!O16)</f>
        <v>6.04</v>
      </c>
      <c r="P16" s="112">
        <f>ZR_R_350!P16+(ZR_R_390!$A$1-ZR_R_350!$A$1)/(ZR_R_420!$A$1-ZR_R_350!$A$1)*(ZR_R_420!P16-ZR_R_350!P16)</f>
        <v>7.79</v>
      </c>
      <c r="Q16" s="112">
        <f>ZR_R_350!Q16+(ZR_R_390!$A$1-ZR_R_350!$A$1)/(ZR_R_420!$A$1-ZR_R_350!$A$1)*(ZR_R_420!Q16-ZR_R_350!Q16)</f>
        <v>6.15</v>
      </c>
      <c r="R16" s="112">
        <f>ZR_R_350!R16+(ZR_R_390!$A$1-ZR_R_350!$A$1)/(ZR_R_420!$A$1-ZR_R_350!$A$1)*(ZR_R_420!R16-ZR_R_350!R16)</f>
        <v>224.73</v>
      </c>
      <c r="S16" s="112">
        <f>ZR_R_350!S16+(ZR_R_390!$A$1-ZR_R_350!$A$1)/(ZR_R_420!$A$1-ZR_R_350!$A$1)*(ZR_R_420!S16-ZR_R_350!S16)</f>
        <v>27.38</v>
      </c>
      <c r="T16" s="112">
        <f>ZR_R_350!T16+(ZR_R_390!$A$1-ZR_R_350!$A$1)/(ZR_R_420!$A$1-ZR_R_350!$A$1)*(ZR_R_420!T16-ZR_R_350!T16)</f>
        <v>6.04</v>
      </c>
      <c r="U16" s="112">
        <f>ZR_R_350!U16+(ZR_R_390!$A$1-ZR_R_350!$A$1)/(ZR_R_420!$A$1-ZR_R_350!$A$1)*(ZR_R_420!U16-ZR_R_350!U16)</f>
        <v>7.79</v>
      </c>
      <c r="V16" s="112">
        <f>ZR_R_350!V16+(ZR_R_390!$A$1-ZR_R_350!$A$1)/(ZR_R_420!$A$1-ZR_R_350!$A$1)*(ZR_R_420!V16-ZR_R_350!V16)</f>
        <v>6.15</v>
      </c>
      <c r="W16" s="112">
        <f>ZR_R_350!W16+(ZR_R_390!$A$1-ZR_R_350!$A$1)/(ZR_R_420!$A$1-ZR_R_350!$A$1)*(ZR_R_420!W16-ZR_R_350!W16)</f>
        <v>41.84</v>
      </c>
      <c r="X16" s="112">
        <f>ZR_R_350!X16+(ZR_R_390!$A$1-ZR_R_350!$A$1)/(ZR_R_420!$A$1-ZR_R_350!$A$1)*(ZR_R_420!X16-ZR_R_350!X16)</f>
        <v>6.87</v>
      </c>
      <c r="Y16" s="112">
        <f>ZR_R_350!Y16+(ZR_R_390!$A$1-ZR_R_350!$A$1)/(ZR_R_420!$A$1-ZR_R_350!$A$1)*(ZR_R_420!Y16-ZR_R_350!Y16)</f>
        <v>2.6</v>
      </c>
      <c r="Z16" s="77">
        <f>ZR_R_350!Z16+(ZR_R_390!$A$1-ZR_R_350!$A$1)/(ZR_R_420!$A$1-ZR_R_350!$A$1)*(ZR_R_420!Z16-ZR_R_350!Z16)</f>
        <v>4.72</v>
      </c>
      <c r="AB16" s="217">
        <v>4.8600000000000003</v>
      </c>
      <c r="AC16" s="218">
        <v>6.15</v>
      </c>
      <c r="AD16" s="217">
        <v>1.89</v>
      </c>
      <c r="AE16" s="218">
        <v>6.15</v>
      </c>
      <c r="AF16" s="218">
        <v>224.73</v>
      </c>
      <c r="AG16" s="218">
        <v>27.38</v>
      </c>
      <c r="AH16" s="218">
        <v>6.04</v>
      </c>
      <c r="AI16" s="218">
        <v>7.79</v>
      </c>
      <c r="AJ16" s="218">
        <v>6.15</v>
      </c>
      <c r="AK16" s="218">
        <v>224.73</v>
      </c>
      <c r="AL16" s="218">
        <v>27.38</v>
      </c>
      <c r="AM16" s="218">
        <v>6.04</v>
      </c>
      <c r="AN16" s="218">
        <v>7.79</v>
      </c>
      <c r="AO16" s="218">
        <v>6.15</v>
      </c>
      <c r="AP16" s="218">
        <v>41.84</v>
      </c>
      <c r="AQ16" s="218">
        <v>6.87</v>
      </c>
      <c r="AR16" s="218">
        <v>2.6</v>
      </c>
      <c r="AS16" s="218">
        <v>4.72</v>
      </c>
    </row>
    <row r="17" spans="1:45" ht="15" customHeight="1" thickBot="1" x14ac:dyDescent="0.3">
      <c r="A17" s="72" t="str">
        <f t="shared" si="7"/>
        <v>ZR160x2,5</v>
      </c>
      <c r="B17" s="3" t="str">
        <f t="shared" si="8"/>
        <v>160</v>
      </c>
      <c r="C17" s="3">
        <f t="shared" si="9"/>
        <v>51</v>
      </c>
      <c r="D17" s="3">
        <f t="shared" si="10"/>
        <v>59</v>
      </c>
      <c r="E17" s="3">
        <f t="shared" si="11"/>
        <v>22</v>
      </c>
      <c r="F17" s="4" t="str">
        <f t="shared" si="12"/>
        <v>ZR160</v>
      </c>
      <c r="G17" s="81" t="s">
        <v>62</v>
      </c>
      <c r="H17" s="117">
        <v>2.5</v>
      </c>
      <c r="I17" s="96">
        <v>6.11</v>
      </c>
      <c r="J17" s="112">
        <f>ZR_R_350!J17+(ZR_R_390!$A$1-ZR_R_350!$A$1)/(ZR_R_420!$A$1-ZR_R_350!$A$1)*(ZR_R_420!J17-ZR_R_350!J17)</f>
        <v>7.73</v>
      </c>
      <c r="K17" s="112">
        <f>ZR_R_350!K17+(ZR_R_390!$A$1-ZR_R_350!$A$1)/(ZR_R_420!$A$1-ZR_R_350!$A$1)*(ZR_R_420!K17-ZR_R_350!K17)</f>
        <v>1.93</v>
      </c>
      <c r="L17" s="112">
        <f>ZR_R_350!L17+(ZR_R_390!$A$1-ZR_R_350!$A$1)/(ZR_R_420!$A$1-ZR_R_350!$A$1)*(ZR_R_420!L17-ZR_R_350!L17)</f>
        <v>7.73</v>
      </c>
      <c r="M17" s="112">
        <f>ZR_R_350!M17+(ZR_R_390!$A$1-ZR_R_350!$A$1)/(ZR_R_420!$A$1-ZR_R_350!$A$1)*(ZR_R_420!M17-ZR_R_350!M17)</f>
        <v>281.04000000000002</v>
      </c>
      <c r="N17" s="112">
        <f>ZR_R_350!N17+(ZR_R_390!$A$1-ZR_R_350!$A$1)/(ZR_R_420!$A$1-ZR_R_350!$A$1)*(ZR_R_420!N17-ZR_R_350!N17)</f>
        <v>34.25</v>
      </c>
      <c r="O17" s="112">
        <f>ZR_R_350!O17+(ZR_R_390!$A$1-ZR_R_350!$A$1)/(ZR_R_420!$A$1-ZR_R_350!$A$1)*(ZR_R_420!O17-ZR_R_350!O17)</f>
        <v>6.02</v>
      </c>
      <c r="P17" s="112">
        <f>ZR_R_350!P17+(ZR_R_390!$A$1-ZR_R_350!$A$1)/(ZR_R_420!$A$1-ZR_R_350!$A$1)*(ZR_R_420!P17-ZR_R_350!P17)</f>
        <v>7.8</v>
      </c>
      <c r="Q17" s="112">
        <f>ZR_R_350!Q17+(ZR_R_390!$A$1-ZR_R_350!$A$1)/(ZR_R_420!$A$1-ZR_R_350!$A$1)*(ZR_R_420!Q17-ZR_R_350!Q17)</f>
        <v>7.73</v>
      </c>
      <c r="R17" s="112">
        <f>ZR_R_350!R17+(ZR_R_390!$A$1-ZR_R_350!$A$1)/(ZR_R_420!$A$1-ZR_R_350!$A$1)*(ZR_R_420!R17-ZR_R_350!R17)</f>
        <v>281.04000000000002</v>
      </c>
      <c r="S17" s="112">
        <f>ZR_R_350!S17+(ZR_R_390!$A$1-ZR_R_350!$A$1)/(ZR_R_420!$A$1-ZR_R_350!$A$1)*(ZR_R_420!S17-ZR_R_350!S17)</f>
        <v>34.25</v>
      </c>
      <c r="T17" s="112">
        <f>ZR_R_350!T17+(ZR_R_390!$A$1-ZR_R_350!$A$1)/(ZR_R_420!$A$1-ZR_R_350!$A$1)*(ZR_R_420!T17-ZR_R_350!T17)</f>
        <v>6.02</v>
      </c>
      <c r="U17" s="112">
        <f>ZR_R_350!U17+(ZR_R_390!$A$1-ZR_R_350!$A$1)/(ZR_R_420!$A$1-ZR_R_350!$A$1)*(ZR_R_420!U17-ZR_R_350!U17)</f>
        <v>7.8</v>
      </c>
      <c r="V17" s="112">
        <f>ZR_R_350!V17+(ZR_R_390!$A$1-ZR_R_350!$A$1)/(ZR_R_420!$A$1-ZR_R_350!$A$1)*(ZR_R_420!V17-ZR_R_350!V17)</f>
        <v>7.73</v>
      </c>
      <c r="W17" s="112">
        <f>ZR_R_350!W17+(ZR_R_390!$A$1-ZR_R_350!$A$1)/(ZR_R_420!$A$1-ZR_R_350!$A$1)*(ZR_R_420!W17-ZR_R_350!W17)</f>
        <v>54.38</v>
      </c>
      <c r="X17" s="112">
        <f>ZR_R_350!X17+(ZR_R_390!$A$1-ZR_R_350!$A$1)/(ZR_R_420!$A$1-ZR_R_350!$A$1)*(ZR_R_420!X17-ZR_R_350!X17)</f>
        <v>8.76</v>
      </c>
      <c r="Y17" s="112">
        <f>ZR_R_350!Y17+(ZR_R_390!$A$1-ZR_R_350!$A$1)/(ZR_R_420!$A$1-ZR_R_350!$A$1)*(ZR_R_420!Y17-ZR_R_350!Y17)</f>
        <v>2.65</v>
      </c>
      <c r="Z17" s="77">
        <f>ZR_R_350!Z17+(ZR_R_390!$A$1-ZR_R_350!$A$1)/(ZR_R_420!$A$1-ZR_R_350!$A$1)*(ZR_R_420!Z17-ZR_R_350!Z17)</f>
        <v>4.79</v>
      </c>
      <c r="AB17" s="217">
        <v>6.11</v>
      </c>
      <c r="AC17" s="218">
        <v>7.73</v>
      </c>
      <c r="AD17" s="217">
        <v>1.93</v>
      </c>
      <c r="AE17" s="218">
        <v>7.73</v>
      </c>
      <c r="AF17" s="218">
        <v>281.04000000000002</v>
      </c>
      <c r="AG17" s="218">
        <v>34.25</v>
      </c>
      <c r="AH17" s="218">
        <v>6.02</v>
      </c>
      <c r="AI17" s="218">
        <v>7.8</v>
      </c>
      <c r="AJ17" s="218">
        <v>7.73</v>
      </c>
      <c r="AK17" s="218">
        <v>281.04000000000002</v>
      </c>
      <c r="AL17" s="218">
        <v>34.25</v>
      </c>
      <c r="AM17" s="218">
        <v>6.02</v>
      </c>
      <c r="AN17" s="218">
        <v>7.8</v>
      </c>
      <c r="AO17" s="218">
        <v>7.73</v>
      </c>
      <c r="AP17" s="218">
        <v>54.38</v>
      </c>
      <c r="AQ17" s="218">
        <v>8.76</v>
      </c>
      <c r="AR17" s="218">
        <v>2.65</v>
      </c>
      <c r="AS17" s="218">
        <v>4.79</v>
      </c>
    </row>
    <row r="18" spans="1:45" ht="15" customHeight="1" thickBot="1" x14ac:dyDescent="0.3">
      <c r="A18" s="73" t="str">
        <f t="shared" si="7"/>
        <v>ZR160x3,0</v>
      </c>
      <c r="B18" s="5" t="str">
        <f t="shared" si="8"/>
        <v>160</v>
      </c>
      <c r="C18" s="5">
        <f t="shared" si="9"/>
        <v>52</v>
      </c>
      <c r="D18" s="5">
        <f t="shared" si="10"/>
        <v>60</v>
      </c>
      <c r="E18" s="5">
        <f t="shared" si="11"/>
        <v>23</v>
      </c>
      <c r="F18" s="6" t="str">
        <f t="shared" si="12"/>
        <v>ZR160</v>
      </c>
      <c r="G18" s="82" t="s">
        <v>63</v>
      </c>
      <c r="H18" s="118">
        <v>3</v>
      </c>
      <c r="I18" s="98">
        <v>7.38</v>
      </c>
      <c r="J18" s="113">
        <f>ZR_R_350!J18+(ZR_R_390!$A$1-ZR_R_350!$A$1)/(ZR_R_420!$A$1-ZR_R_350!$A$1)*(ZR_R_420!J18-ZR_R_350!J18)</f>
        <v>9.32</v>
      </c>
      <c r="K18" s="113">
        <f>ZR_R_350!K18+(ZR_R_390!$A$1-ZR_R_350!$A$1)/(ZR_R_420!$A$1-ZR_R_350!$A$1)*(ZR_R_420!K18-ZR_R_350!K18)</f>
        <v>1.98</v>
      </c>
      <c r="L18" s="113">
        <f>ZR_R_350!L18+(ZR_R_390!$A$1-ZR_R_350!$A$1)/(ZR_R_420!$A$1-ZR_R_350!$A$1)*(ZR_R_420!L18-ZR_R_350!L18)</f>
        <v>9.32</v>
      </c>
      <c r="M18" s="113">
        <f>ZR_R_350!M18+(ZR_R_390!$A$1-ZR_R_350!$A$1)/(ZR_R_420!$A$1-ZR_R_350!$A$1)*(ZR_R_420!M18-ZR_R_350!M18)</f>
        <v>337.32</v>
      </c>
      <c r="N18" s="113">
        <f>ZR_R_350!N18+(ZR_R_390!$A$1-ZR_R_350!$A$1)/(ZR_R_420!$A$1-ZR_R_350!$A$1)*(ZR_R_420!N18-ZR_R_350!N18)</f>
        <v>41.12</v>
      </c>
      <c r="O18" s="113">
        <f>ZR_R_350!O18+(ZR_R_390!$A$1-ZR_R_350!$A$1)/(ZR_R_420!$A$1-ZR_R_350!$A$1)*(ZR_R_420!O18-ZR_R_350!O18)</f>
        <v>6.01</v>
      </c>
      <c r="P18" s="113">
        <f>ZR_R_350!P18+(ZR_R_390!$A$1-ZR_R_350!$A$1)/(ZR_R_420!$A$1-ZR_R_350!$A$1)*(ZR_R_420!P18-ZR_R_350!P18)</f>
        <v>7.8</v>
      </c>
      <c r="Q18" s="113">
        <f>ZR_R_350!Q18+(ZR_R_390!$A$1-ZR_R_350!$A$1)/(ZR_R_420!$A$1-ZR_R_350!$A$1)*(ZR_R_420!Q18-ZR_R_350!Q18)</f>
        <v>9.32</v>
      </c>
      <c r="R18" s="113">
        <f>ZR_R_350!R18+(ZR_R_390!$A$1-ZR_R_350!$A$1)/(ZR_R_420!$A$1-ZR_R_350!$A$1)*(ZR_R_420!R18-ZR_R_350!R18)</f>
        <v>337.32</v>
      </c>
      <c r="S18" s="113">
        <f>ZR_R_350!S18+(ZR_R_390!$A$1-ZR_R_350!$A$1)/(ZR_R_420!$A$1-ZR_R_350!$A$1)*(ZR_R_420!S18-ZR_R_350!S18)</f>
        <v>41.12</v>
      </c>
      <c r="T18" s="113">
        <f>ZR_R_350!T18+(ZR_R_390!$A$1-ZR_R_350!$A$1)/(ZR_R_420!$A$1-ZR_R_350!$A$1)*(ZR_R_420!T18-ZR_R_350!T18)</f>
        <v>6.01</v>
      </c>
      <c r="U18" s="113">
        <f>ZR_R_350!U18+(ZR_R_390!$A$1-ZR_R_350!$A$1)/(ZR_R_420!$A$1-ZR_R_350!$A$1)*(ZR_R_420!U18-ZR_R_350!U18)</f>
        <v>7.8</v>
      </c>
      <c r="V18" s="113">
        <f>ZR_R_350!V18+(ZR_R_390!$A$1-ZR_R_350!$A$1)/(ZR_R_420!$A$1-ZR_R_350!$A$1)*(ZR_R_420!V18-ZR_R_350!V18)</f>
        <v>9.32</v>
      </c>
      <c r="W18" s="113">
        <f>ZR_R_350!W18+(ZR_R_390!$A$1-ZR_R_350!$A$1)/(ZR_R_420!$A$1-ZR_R_350!$A$1)*(ZR_R_420!W18-ZR_R_350!W18)</f>
        <v>67.819999999999993</v>
      </c>
      <c r="X18" s="113">
        <f>ZR_R_350!X18+(ZR_R_390!$A$1-ZR_R_350!$A$1)/(ZR_R_420!$A$1-ZR_R_350!$A$1)*(ZR_R_420!X18-ZR_R_350!X18)</f>
        <v>10.71</v>
      </c>
      <c r="Y18" s="113">
        <f>ZR_R_350!Y18+(ZR_R_390!$A$1-ZR_R_350!$A$1)/(ZR_R_420!$A$1-ZR_R_350!$A$1)*(ZR_R_420!Y18-ZR_R_350!Y18)</f>
        <v>2.69</v>
      </c>
      <c r="Z18" s="78">
        <f>ZR_R_350!Z18+(ZR_R_390!$A$1-ZR_R_350!$A$1)/(ZR_R_420!$A$1-ZR_R_350!$A$1)*(ZR_R_420!Z18-ZR_R_350!Z18)</f>
        <v>4.87</v>
      </c>
      <c r="AB18" s="217">
        <v>7.38</v>
      </c>
      <c r="AC18" s="218">
        <v>9.32</v>
      </c>
      <c r="AD18" s="217">
        <v>1.98</v>
      </c>
      <c r="AE18" s="218">
        <v>9.32</v>
      </c>
      <c r="AF18" s="218">
        <v>337.32</v>
      </c>
      <c r="AG18" s="218">
        <v>41.12</v>
      </c>
      <c r="AH18" s="218">
        <v>6.01</v>
      </c>
      <c r="AI18" s="218">
        <v>7.8</v>
      </c>
      <c r="AJ18" s="218">
        <v>9.32</v>
      </c>
      <c r="AK18" s="218">
        <v>337.32</v>
      </c>
      <c r="AL18" s="218">
        <v>41.12</v>
      </c>
      <c r="AM18" s="218">
        <v>6.01</v>
      </c>
      <c r="AN18" s="218">
        <v>7.8</v>
      </c>
      <c r="AO18" s="218">
        <v>9.32</v>
      </c>
      <c r="AP18" s="218">
        <v>67.819999999999993</v>
      </c>
      <c r="AQ18" s="218">
        <v>10.71</v>
      </c>
      <c r="AR18" s="218">
        <v>2.69</v>
      </c>
      <c r="AS18" s="218">
        <v>4.87</v>
      </c>
    </row>
    <row r="19" spans="1:45" ht="15" customHeight="1" thickBot="1" x14ac:dyDescent="0.3">
      <c r="A19" s="72" t="str">
        <f t="shared" si="7"/>
        <v>ZR180x1,5</v>
      </c>
      <c r="B19" s="3" t="str">
        <f t="shared" si="8"/>
        <v>180</v>
      </c>
      <c r="C19" s="3">
        <f t="shared" si="9"/>
        <v>49</v>
      </c>
      <c r="D19" s="3">
        <f t="shared" si="10"/>
        <v>57</v>
      </c>
      <c r="E19" s="3">
        <f t="shared" si="11"/>
        <v>20</v>
      </c>
      <c r="F19" s="4" t="str">
        <f t="shared" si="12"/>
        <v>ZR180</v>
      </c>
      <c r="G19" s="81" t="s">
        <v>64</v>
      </c>
      <c r="H19" s="117">
        <v>1.5</v>
      </c>
      <c r="I19" s="94">
        <v>3.85</v>
      </c>
      <c r="J19" s="111">
        <f>ZR_R_350!J19+(ZR_R_390!$A$1-ZR_R_350!$A$1)/(ZR_R_420!$A$1-ZR_R_350!$A$1)*(ZR_R_420!J19-ZR_R_350!J19)</f>
        <v>4.6571428571428575</v>
      </c>
      <c r="K19" s="111">
        <f>ZR_R_350!K19+(ZR_R_390!$A$1-ZR_R_350!$A$1)/(ZR_R_420!$A$1-ZR_R_350!$A$1)*(ZR_R_420!K19-ZR_R_350!K19)</f>
        <v>1.6942857142857142</v>
      </c>
      <c r="L19" s="111">
        <f>ZR_R_350!L19+(ZR_R_390!$A$1-ZR_R_350!$A$1)/(ZR_R_420!$A$1-ZR_R_350!$A$1)*(ZR_R_420!L19-ZR_R_350!L19)</f>
        <v>4.6171428571428574</v>
      </c>
      <c r="M19" s="111">
        <f>ZR_R_350!M19+(ZR_R_390!$A$1-ZR_R_350!$A$1)/(ZR_R_420!$A$1-ZR_R_350!$A$1)*(ZR_R_420!M19-ZR_R_350!M19)</f>
        <v>213.95714285714286</v>
      </c>
      <c r="N19" s="111">
        <f>ZR_R_350!N19+(ZR_R_390!$A$1-ZR_R_350!$A$1)/(ZR_R_420!$A$1-ZR_R_350!$A$1)*(ZR_R_420!N19-ZR_R_350!N19)</f>
        <v>22.447142857142858</v>
      </c>
      <c r="O19" s="111">
        <f>ZR_R_350!O19+(ZR_R_390!$A$1-ZR_R_350!$A$1)/(ZR_R_420!$A$1-ZR_R_350!$A$1)*(ZR_R_420!O19-ZR_R_350!O19)</f>
        <v>6.7957142857142854</v>
      </c>
      <c r="P19" s="111">
        <f>ZR_R_350!P19+(ZR_R_390!$A$1-ZR_R_350!$A$1)/(ZR_R_420!$A$1-ZR_R_350!$A$1)*(ZR_R_420!P19-ZR_R_350!P19)</f>
        <v>8.4700000000000006</v>
      </c>
      <c r="Q19" s="111">
        <f>ZR_R_350!Q19+(ZR_R_390!$A$1-ZR_R_350!$A$1)/(ZR_R_420!$A$1-ZR_R_350!$A$1)*(ZR_R_420!Q19-ZR_R_350!Q19)</f>
        <v>4.5814285714285718</v>
      </c>
      <c r="R19" s="111">
        <f>ZR_R_350!R19+(ZR_R_390!$A$1-ZR_R_350!$A$1)/(ZR_R_420!$A$1-ZR_R_350!$A$1)*(ZR_R_420!R19-ZR_R_350!R19)</f>
        <v>210.35857142857142</v>
      </c>
      <c r="S19" s="111">
        <f>ZR_R_350!S19+(ZR_R_390!$A$1-ZR_R_350!$A$1)/(ZR_R_420!$A$1-ZR_R_350!$A$1)*(ZR_R_420!S19-ZR_R_350!S19)</f>
        <v>22.934285714285714</v>
      </c>
      <c r="T19" s="111">
        <f>ZR_R_350!T19+(ZR_R_390!$A$1-ZR_R_350!$A$1)/(ZR_R_420!$A$1-ZR_R_350!$A$1)*(ZR_R_420!T19-ZR_R_350!T19)</f>
        <v>6.77</v>
      </c>
      <c r="U19" s="111">
        <f>ZR_R_350!U19+(ZR_R_390!$A$1-ZR_R_350!$A$1)/(ZR_R_420!$A$1-ZR_R_350!$A$1)*(ZR_R_420!U19-ZR_R_350!U19)</f>
        <v>9.1714285714285708</v>
      </c>
      <c r="V19" s="111">
        <f>ZR_R_350!V19+(ZR_R_390!$A$1-ZR_R_350!$A$1)/(ZR_R_420!$A$1-ZR_R_350!$A$1)*(ZR_R_420!V19-ZR_R_350!V19)</f>
        <v>4.88</v>
      </c>
      <c r="W19" s="111">
        <f>ZR_R_350!W19+(ZR_R_390!$A$1-ZR_R_350!$A$1)/(ZR_R_420!$A$1-ZR_R_350!$A$1)*(ZR_R_420!W19-ZR_R_350!W19)</f>
        <v>29.972857142857144</v>
      </c>
      <c r="X19" s="111">
        <f>ZR_R_350!X19+(ZR_R_390!$A$1-ZR_R_350!$A$1)/(ZR_R_420!$A$1-ZR_R_350!$A$1)*(ZR_R_420!X19-ZR_R_350!X19)</f>
        <v>5.0285714285714285</v>
      </c>
      <c r="Y19" s="111">
        <f>ZR_R_350!Y19+(ZR_R_390!$A$1-ZR_R_350!$A$1)/(ZR_R_420!$A$1-ZR_R_350!$A$1)*(ZR_R_420!Y19-ZR_R_350!Y19)</f>
        <v>2.4700000000000002</v>
      </c>
      <c r="Z19" s="76">
        <f>ZR_R_350!Z19+(ZR_R_390!$A$1-ZR_R_350!$A$1)/(ZR_R_420!$A$1-ZR_R_350!$A$1)*(ZR_R_420!Z19-ZR_R_350!Z19)</f>
        <v>4.6399999999999997</v>
      </c>
      <c r="AB19" s="217">
        <v>3.85</v>
      </c>
      <c r="AC19" s="218">
        <v>4.58</v>
      </c>
      <c r="AD19" s="217">
        <v>1.69</v>
      </c>
      <c r="AE19" s="218">
        <v>4.63</v>
      </c>
      <c r="AF19" s="218">
        <v>214.56</v>
      </c>
      <c r="AG19" s="218">
        <v>22.45</v>
      </c>
      <c r="AH19" s="218">
        <v>6.81</v>
      </c>
      <c r="AI19" s="218">
        <v>8.65</v>
      </c>
      <c r="AJ19" s="218">
        <v>4.58</v>
      </c>
      <c r="AK19" s="218">
        <v>210.35</v>
      </c>
      <c r="AL19" s="218">
        <v>22.93</v>
      </c>
      <c r="AM19" s="218">
        <v>6.78</v>
      </c>
      <c r="AN19" s="218">
        <v>9.1300000000000008</v>
      </c>
      <c r="AO19" s="218">
        <v>4.88</v>
      </c>
      <c r="AP19" s="218">
        <v>29.95</v>
      </c>
      <c r="AQ19" s="218">
        <v>5.03</v>
      </c>
      <c r="AR19" s="218">
        <v>2.46</v>
      </c>
      <c r="AS19" s="218">
        <v>4.68</v>
      </c>
    </row>
    <row r="20" spans="1:45" ht="15" customHeight="1" thickBot="1" x14ac:dyDescent="0.3">
      <c r="A20" s="72" t="str">
        <f t="shared" si="7"/>
        <v>ZR180x2,0</v>
      </c>
      <c r="B20" s="3" t="str">
        <f t="shared" si="8"/>
        <v>180</v>
      </c>
      <c r="C20" s="3">
        <f t="shared" si="9"/>
        <v>50</v>
      </c>
      <c r="D20" s="3">
        <f t="shared" si="10"/>
        <v>58</v>
      </c>
      <c r="E20" s="3">
        <f t="shared" si="11"/>
        <v>21</v>
      </c>
      <c r="F20" s="4" t="str">
        <f t="shared" si="12"/>
        <v>ZR180</v>
      </c>
      <c r="G20" s="81" t="s">
        <v>65</v>
      </c>
      <c r="H20" s="117">
        <v>2</v>
      </c>
      <c r="I20" s="96">
        <v>5.17</v>
      </c>
      <c r="J20" s="112">
        <f>ZR_R_350!J20+(ZR_R_390!$A$1-ZR_R_350!$A$1)/(ZR_R_420!$A$1-ZR_R_350!$A$1)*(ZR_R_420!J20-ZR_R_350!J20)</f>
        <v>6.55</v>
      </c>
      <c r="K20" s="112">
        <f>ZR_R_350!K20+(ZR_R_390!$A$1-ZR_R_350!$A$1)/(ZR_R_420!$A$1-ZR_R_350!$A$1)*(ZR_R_420!K20-ZR_R_350!K20)</f>
        <v>1.75</v>
      </c>
      <c r="L20" s="112">
        <f>ZR_R_350!L20+(ZR_R_390!$A$1-ZR_R_350!$A$1)/(ZR_R_420!$A$1-ZR_R_350!$A$1)*(ZR_R_420!L20-ZR_R_350!L20)</f>
        <v>6.55</v>
      </c>
      <c r="M20" s="112">
        <f>ZR_R_350!M20+(ZR_R_390!$A$1-ZR_R_350!$A$1)/(ZR_R_420!$A$1-ZR_R_350!$A$1)*(ZR_R_420!M20-ZR_R_350!M20)</f>
        <v>296.82</v>
      </c>
      <c r="N20" s="112">
        <f>ZR_R_350!N20+(ZR_R_390!$A$1-ZR_R_350!$A$1)/(ZR_R_420!$A$1-ZR_R_350!$A$1)*(ZR_R_420!N20-ZR_R_350!N20)</f>
        <v>32.200000000000003</v>
      </c>
      <c r="O20" s="112">
        <f>ZR_R_350!O20+(ZR_R_390!$A$1-ZR_R_350!$A$1)/(ZR_R_420!$A$1-ZR_R_350!$A$1)*(ZR_R_420!O20-ZR_R_350!O20)</f>
        <v>6.72</v>
      </c>
      <c r="P20" s="112">
        <f>ZR_R_350!P20+(ZR_R_390!$A$1-ZR_R_350!$A$1)/(ZR_R_420!$A$1-ZR_R_350!$A$1)*(ZR_R_420!P20-ZR_R_350!P20)</f>
        <v>8.7799999999999994</v>
      </c>
      <c r="Q20" s="112">
        <f>ZR_R_350!Q20+(ZR_R_390!$A$1-ZR_R_350!$A$1)/(ZR_R_420!$A$1-ZR_R_350!$A$1)*(ZR_R_420!Q20-ZR_R_350!Q20)</f>
        <v>6.55</v>
      </c>
      <c r="R20" s="112">
        <f>ZR_R_350!R20+(ZR_R_390!$A$1-ZR_R_350!$A$1)/(ZR_R_420!$A$1-ZR_R_350!$A$1)*(ZR_R_420!R20-ZR_R_350!R20)</f>
        <v>296.82</v>
      </c>
      <c r="S20" s="112">
        <f>ZR_R_350!S20+(ZR_R_390!$A$1-ZR_R_350!$A$1)/(ZR_R_420!$A$1-ZR_R_350!$A$1)*(ZR_R_420!S20-ZR_R_350!S20)</f>
        <v>32.200000000000003</v>
      </c>
      <c r="T20" s="112">
        <f>ZR_R_350!T20+(ZR_R_390!$A$1-ZR_R_350!$A$1)/(ZR_R_420!$A$1-ZR_R_350!$A$1)*(ZR_R_420!T20-ZR_R_350!T20)</f>
        <v>6.72</v>
      </c>
      <c r="U20" s="112">
        <f>ZR_R_350!U20+(ZR_R_390!$A$1-ZR_R_350!$A$1)/(ZR_R_420!$A$1-ZR_R_350!$A$1)*(ZR_R_420!U20-ZR_R_350!U20)</f>
        <v>8.7799999999999994</v>
      </c>
      <c r="V20" s="112">
        <f>ZR_R_350!V20+(ZR_R_390!$A$1-ZR_R_350!$A$1)/(ZR_R_420!$A$1-ZR_R_350!$A$1)*(ZR_R_420!V20-ZR_R_350!V20)</f>
        <v>6.55</v>
      </c>
      <c r="W20" s="112">
        <f>ZR_R_350!W20+(ZR_R_390!$A$1-ZR_R_350!$A$1)/(ZR_R_420!$A$1-ZR_R_350!$A$1)*(ZR_R_420!W20-ZR_R_350!W20)</f>
        <v>41.86</v>
      </c>
      <c r="X20" s="112">
        <f>ZR_R_350!X20+(ZR_R_390!$A$1-ZR_R_350!$A$1)/(ZR_R_420!$A$1-ZR_R_350!$A$1)*(ZR_R_420!X20-ZR_R_350!X20)</f>
        <v>6.89</v>
      </c>
      <c r="Y20" s="112">
        <f>ZR_R_350!Y20+(ZR_R_390!$A$1-ZR_R_350!$A$1)/(ZR_R_420!$A$1-ZR_R_350!$A$1)*(ZR_R_420!Y20-ZR_R_350!Y20)</f>
        <v>2.52</v>
      </c>
      <c r="Z20" s="77">
        <f>ZR_R_350!Z20+(ZR_R_390!$A$1-ZR_R_350!$A$1)/(ZR_R_420!$A$1-ZR_R_350!$A$1)*(ZR_R_420!Z20-ZR_R_350!Z20)</f>
        <v>4.7300000000000004</v>
      </c>
      <c r="AB20" s="217">
        <v>5.17</v>
      </c>
      <c r="AC20" s="218">
        <v>6.55</v>
      </c>
      <c r="AD20" s="217">
        <v>1.75</v>
      </c>
      <c r="AE20" s="218">
        <v>6.55</v>
      </c>
      <c r="AF20" s="218">
        <v>296.82</v>
      </c>
      <c r="AG20" s="218">
        <v>32.200000000000003</v>
      </c>
      <c r="AH20" s="218">
        <v>6.72</v>
      </c>
      <c r="AI20" s="218">
        <v>8.7799999999999994</v>
      </c>
      <c r="AJ20" s="218">
        <v>6.55</v>
      </c>
      <c r="AK20" s="218">
        <v>296.82</v>
      </c>
      <c r="AL20" s="218">
        <v>32.200000000000003</v>
      </c>
      <c r="AM20" s="218">
        <v>6.72</v>
      </c>
      <c r="AN20" s="218">
        <v>8.7799999999999994</v>
      </c>
      <c r="AO20" s="218">
        <v>6.55</v>
      </c>
      <c r="AP20" s="218">
        <v>41.86</v>
      </c>
      <c r="AQ20" s="218">
        <v>6.89</v>
      </c>
      <c r="AR20" s="218">
        <v>2.52</v>
      </c>
      <c r="AS20" s="218">
        <v>4.7300000000000004</v>
      </c>
    </row>
    <row r="21" spans="1:45" ht="15" customHeight="1" thickBot="1" x14ac:dyDescent="0.3">
      <c r="A21" s="72" t="str">
        <f t="shared" si="7"/>
        <v>ZR180x2,5</v>
      </c>
      <c r="B21" s="3" t="str">
        <f t="shared" si="8"/>
        <v>180</v>
      </c>
      <c r="C21" s="3">
        <f t="shared" si="9"/>
        <v>51</v>
      </c>
      <c r="D21" s="3">
        <f t="shared" si="10"/>
        <v>59</v>
      </c>
      <c r="E21" s="3">
        <f t="shared" si="11"/>
        <v>22</v>
      </c>
      <c r="F21" s="4" t="str">
        <f t="shared" si="12"/>
        <v>ZR180</v>
      </c>
      <c r="G21" s="81" t="s">
        <v>66</v>
      </c>
      <c r="H21" s="117">
        <v>2.5</v>
      </c>
      <c r="I21" s="96">
        <v>6.5</v>
      </c>
      <c r="J21" s="112">
        <f>ZR_R_350!J21+(ZR_R_390!$A$1-ZR_R_350!$A$1)/(ZR_R_420!$A$1-ZR_R_350!$A$1)*(ZR_R_420!J21-ZR_R_350!J21)</f>
        <v>8.23</v>
      </c>
      <c r="K21" s="112">
        <f>ZR_R_350!K21+(ZR_R_390!$A$1-ZR_R_350!$A$1)/(ZR_R_420!$A$1-ZR_R_350!$A$1)*(ZR_R_420!K21-ZR_R_350!K21)</f>
        <v>1.79</v>
      </c>
      <c r="L21" s="112">
        <f>ZR_R_350!L21+(ZR_R_390!$A$1-ZR_R_350!$A$1)/(ZR_R_420!$A$1-ZR_R_350!$A$1)*(ZR_R_420!L21-ZR_R_350!L21)</f>
        <v>8.23</v>
      </c>
      <c r="M21" s="112">
        <f>ZR_R_350!M21+(ZR_R_390!$A$1-ZR_R_350!$A$1)/(ZR_R_420!$A$1-ZR_R_350!$A$1)*(ZR_R_420!M21-ZR_R_350!M21)</f>
        <v>371.48</v>
      </c>
      <c r="N21" s="112">
        <f>ZR_R_350!N21+(ZR_R_390!$A$1-ZR_R_350!$A$1)/(ZR_R_420!$A$1-ZR_R_350!$A$1)*(ZR_R_420!N21-ZR_R_350!N21)</f>
        <v>40.31</v>
      </c>
      <c r="O21" s="112">
        <f>ZR_R_350!O21+(ZR_R_390!$A$1-ZR_R_350!$A$1)/(ZR_R_420!$A$1-ZR_R_350!$A$1)*(ZR_R_420!O21-ZR_R_350!O21)</f>
        <v>6.71</v>
      </c>
      <c r="P21" s="112">
        <f>ZR_R_350!P21+(ZR_R_390!$A$1-ZR_R_350!$A$1)/(ZR_R_420!$A$1-ZR_R_350!$A$1)*(ZR_R_420!P21-ZR_R_350!P21)</f>
        <v>8.7799999999999994</v>
      </c>
      <c r="Q21" s="112">
        <f>ZR_R_350!Q21+(ZR_R_390!$A$1-ZR_R_350!$A$1)/(ZR_R_420!$A$1-ZR_R_350!$A$1)*(ZR_R_420!Q21-ZR_R_350!Q21)</f>
        <v>8.23</v>
      </c>
      <c r="R21" s="112">
        <f>ZR_R_350!R21+(ZR_R_390!$A$1-ZR_R_350!$A$1)/(ZR_R_420!$A$1-ZR_R_350!$A$1)*(ZR_R_420!R21-ZR_R_350!R21)</f>
        <v>371.48</v>
      </c>
      <c r="S21" s="112">
        <f>ZR_R_350!S21+(ZR_R_390!$A$1-ZR_R_350!$A$1)/(ZR_R_420!$A$1-ZR_R_350!$A$1)*(ZR_R_420!S21-ZR_R_350!S21)</f>
        <v>40.31</v>
      </c>
      <c r="T21" s="112">
        <f>ZR_R_350!T21+(ZR_R_390!$A$1-ZR_R_350!$A$1)/(ZR_R_420!$A$1-ZR_R_350!$A$1)*(ZR_R_420!T21-ZR_R_350!T21)</f>
        <v>6.71</v>
      </c>
      <c r="U21" s="112">
        <f>ZR_R_350!U21+(ZR_R_390!$A$1-ZR_R_350!$A$1)/(ZR_R_420!$A$1-ZR_R_350!$A$1)*(ZR_R_420!U21-ZR_R_350!U21)</f>
        <v>8.7799999999999994</v>
      </c>
      <c r="V21" s="112">
        <f>ZR_R_350!V21+(ZR_R_390!$A$1-ZR_R_350!$A$1)/(ZR_R_420!$A$1-ZR_R_350!$A$1)*(ZR_R_420!V21-ZR_R_350!V21)</f>
        <v>8.23</v>
      </c>
      <c r="W21" s="112">
        <f>ZR_R_350!W21+(ZR_R_390!$A$1-ZR_R_350!$A$1)/(ZR_R_420!$A$1-ZR_R_350!$A$1)*(ZR_R_420!W21-ZR_R_350!W21)</f>
        <v>54.4</v>
      </c>
      <c r="X21" s="112">
        <f>ZR_R_350!X21+(ZR_R_390!$A$1-ZR_R_350!$A$1)/(ZR_R_420!$A$1-ZR_R_350!$A$1)*(ZR_R_420!X21-ZR_R_350!X21)</f>
        <v>8.7799999999999994</v>
      </c>
      <c r="Y21" s="112">
        <f>ZR_R_350!Y21+(ZR_R_390!$A$1-ZR_R_350!$A$1)/(ZR_R_420!$A$1-ZR_R_350!$A$1)*(ZR_R_420!Y21-ZR_R_350!Y21)</f>
        <v>2.57</v>
      </c>
      <c r="Z21" s="77">
        <f>ZR_R_350!Z21+(ZR_R_390!$A$1-ZR_R_350!$A$1)/(ZR_R_420!$A$1-ZR_R_350!$A$1)*(ZR_R_420!Z21-ZR_R_350!Z21)</f>
        <v>4.8099999999999996</v>
      </c>
      <c r="AB21" s="217">
        <v>6.5</v>
      </c>
      <c r="AC21" s="218">
        <v>8.23</v>
      </c>
      <c r="AD21" s="217">
        <v>1.79</v>
      </c>
      <c r="AE21" s="218">
        <v>8.23</v>
      </c>
      <c r="AF21" s="218">
        <v>371.48</v>
      </c>
      <c r="AG21" s="218">
        <v>40.31</v>
      </c>
      <c r="AH21" s="218">
        <v>6.71</v>
      </c>
      <c r="AI21" s="218">
        <v>8.7799999999999994</v>
      </c>
      <c r="AJ21" s="218">
        <v>8.23</v>
      </c>
      <c r="AK21" s="218">
        <v>371.48</v>
      </c>
      <c r="AL21" s="218">
        <v>40.31</v>
      </c>
      <c r="AM21" s="218">
        <v>6.71</v>
      </c>
      <c r="AN21" s="218">
        <v>8.7799999999999994</v>
      </c>
      <c r="AO21" s="218">
        <v>8.23</v>
      </c>
      <c r="AP21" s="218">
        <v>54.4</v>
      </c>
      <c r="AQ21" s="218">
        <v>8.7799999999999994</v>
      </c>
      <c r="AR21" s="218">
        <v>2.57</v>
      </c>
      <c r="AS21" s="218">
        <v>4.8099999999999996</v>
      </c>
    </row>
    <row r="22" spans="1:45" ht="15" customHeight="1" thickBot="1" x14ac:dyDescent="0.3">
      <c r="A22" s="73" t="str">
        <f t="shared" si="7"/>
        <v>ZR180x3,0</v>
      </c>
      <c r="B22" s="5" t="str">
        <f t="shared" si="8"/>
        <v>180</v>
      </c>
      <c r="C22" s="5">
        <f t="shared" si="9"/>
        <v>52</v>
      </c>
      <c r="D22" s="5">
        <f t="shared" si="10"/>
        <v>60</v>
      </c>
      <c r="E22" s="5">
        <f t="shared" si="11"/>
        <v>23</v>
      </c>
      <c r="F22" s="6" t="str">
        <f t="shared" si="12"/>
        <v>ZR180</v>
      </c>
      <c r="G22" s="82" t="s">
        <v>67</v>
      </c>
      <c r="H22" s="118">
        <v>3</v>
      </c>
      <c r="I22" s="108">
        <v>7.85</v>
      </c>
      <c r="J22" s="199">
        <f>ZR_R_350!J22+(ZR_R_390!$A$1-ZR_R_350!$A$1)/(ZR_R_420!$A$1-ZR_R_350!$A$1)*(ZR_R_420!J22-ZR_R_350!J22)</f>
        <v>9.92</v>
      </c>
      <c r="K22" s="199">
        <f>ZR_R_350!K22+(ZR_R_390!$A$1-ZR_R_350!$A$1)/(ZR_R_420!$A$1-ZR_R_350!$A$1)*(ZR_R_420!K22-ZR_R_350!K22)</f>
        <v>1.84</v>
      </c>
      <c r="L22" s="199">
        <f>ZR_R_350!L22+(ZR_R_390!$A$1-ZR_R_350!$A$1)/(ZR_R_420!$A$1-ZR_R_350!$A$1)*(ZR_R_420!L22-ZR_R_350!L22)</f>
        <v>9.92</v>
      </c>
      <c r="M22" s="199">
        <f>ZR_R_350!M22+(ZR_R_390!$A$1-ZR_R_350!$A$1)/(ZR_R_420!$A$1-ZR_R_350!$A$1)*(ZR_R_420!M22-ZR_R_350!M22)</f>
        <v>446.25</v>
      </c>
      <c r="N22" s="199">
        <f>ZR_R_350!N22+(ZR_R_390!$A$1-ZR_R_350!$A$1)/(ZR_R_420!$A$1-ZR_R_350!$A$1)*(ZR_R_420!N22-ZR_R_350!N22)</f>
        <v>48.43</v>
      </c>
      <c r="O22" s="199">
        <f>ZR_R_350!O22+(ZR_R_390!$A$1-ZR_R_350!$A$1)/(ZR_R_420!$A$1-ZR_R_350!$A$1)*(ZR_R_420!O22-ZR_R_350!O22)</f>
        <v>6.7</v>
      </c>
      <c r="P22" s="199">
        <f>ZR_R_350!P22+(ZR_R_390!$A$1-ZR_R_350!$A$1)/(ZR_R_420!$A$1-ZR_R_350!$A$1)*(ZR_R_420!P22-ZR_R_350!P22)</f>
        <v>8.7899999999999991</v>
      </c>
      <c r="Q22" s="199">
        <f>ZR_R_350!Q22+(ZR_R_390!$A$1-ZR_R_350!$A$1)/(ZR_R_420!$A$1-ZR_R_350!$A$1)*(ZR_R_420!Q22-ZR_R_350!Q22)</f>
        <v>9.92</v>
      </c>
      <c r="R22" s="199">
        <f>ZR_R_350!R22+(ZR_R_390!$A$1-ZR_R_350!$A$1)/(ZR_R_420!$A$1-ZR_R_350!$A$1)*(ZR_R_420!R22-ZR_R_350!R22)</f>
        <v>446.25</v>
      </c>
      <c r="S22" s="199">
        <f>ZR_R_350!S22+(ZR_R_390!$A$1-ZR_R_350!$A$1)/(ZR_R_420!$A$1-ZR_R_350!$A$1)*(ZR_R_420!S22-ZR_R_350!S22)</f>
        <v>48.43</v>
      </c>
      <c r="T22" s="199">
        <f>ZR_R_350!T22+(ZR_R_390!$A$1-ZR_R_350!$A$1)/(ZR_R_420!$A$1-ZR_R_350!$A$1)*(ZR_R_420!T22-ZR_R_350!T22)</f>
        <v>6.7</v>
      </c>
      <c r="U22" s="199">
        <f>ZR_R_350!U22+(ZR_R_390!$A$1-ZR_R_350!$A$1)/(ZR_R_420!$A$1-ZR_R_350!$A$1)*(ZR_R_420!U22-ZR_R_350!U22)</f>
        <v>8.7899999999999991</v>
      </c>
      <c r="V22" s="199">
        <f>ZR_R_350!V22+(ZR_R_390!$A$1-ZR_R_350!$A$1)/(ZR_R_420!$A$1-ZR_R_350!$A$1)*(ZR_R_420!V22-ZR_R_350!V22)</f>
        <v>9.92</v>
      </c>
      <c r="W22" s="199">
        <f>ZR_R_350!W22+(ZR_R_390!$A$1-ZR_R_350!$A$1)/(ZR_R_420!$A$1-ZR_R_350!$A$1)*(ZR_R_420!W22-ZR_R_350!W22)</f>
        <v>67.84</v>
      </c>
      <c r="X22" s="199">
        <f>ZR_R_350!X22+(ZR_R_390!$A$1-ZR_R_350!$A$1)/(ZR_R_420!$A$1-ZR_R_350!$A$1)*(ZR_R_420!X22-ZR_R_350!X22)</f>
        <v>10.74</v>
      </c>
      <c r="Y22" s="199">
        <f>ZR_R_350!Y22+(ZR_R_390!$A$1-ZR_R_350!$A$1)/(ZR_R_420!$A$1-ZR_R_350!$A$1)*(ZR_R_420!Y22-ZR_R_350!Y22)</f>
        <v>2.61</v>
      </c>
      <c r="Z22" s="210">
        <f>ZR_R_350!Z22+(ZR_R_390!$A$1-ZR_R_350!$A$1)/(ZR_R_420!$A$1-ZR_R_350!$A$1)*(ZR_R_420!Z22-ZR_R_350!Z22)</f>
        <v>4.88</v>
      </c>
      <c r="AB22" s="217">
        <v>7.85</v>
      </c>
      <c r="AC22" s="218">
        <v>9.92</v>
      </c>
      <c r="AD22" s="217">
        <v>1.84</v>
      </c>
      <c r="AE22" s="218">
        <v>9.92</v>
      </c>
      <c r="AF22" s="218">
        <v>446.25</v>
      </c>
      <c r="AG22" s="218">
        <v>48.43</v>
      </c>
      <c r="AH22" s="218">
        <v>6.7</v>
      </c>
      <c r="AI22" s="218">
        <v>8.7899999999999991</v>
      </c>
      <c r="AJ22" s="218">
        <v>9.92</v>
      </c>
      <c r="AK22" s="218">
        <v>446.25</v>
      </c>
      <c r="AL22" s="218">
        <v>48.43</v>
      </c>
      <c r="AM22" s="218">
        <v>6.7</v>
      </c>
      <c r="AN22" s="218">
        <v>8.7899999999999991</v>
      </c>
      <c r="AO22" s="218">
        <v>9.92</v>
      </c>
      <c r="AP22" s="218">
        <v>67.84</v>
      </c>
      <c r="AQ22" s="218">
        <v>10.74</v>
      </c>
      <c r="AR22" s="218">
        <v>2.61</v>
      </c>
      <c r="AS22" s="218">
        <v>4.88</v>
      </c>
    </row>
    <row r="23" spans="1:45" ht="15" customHeight="1" thickBot="1" x14ac:dyDescent="0.3">
      <c r="A23" s="71" t="str">
        <f t="shared" si="7"/>
        <v>ZR200x1,0</v>
      </c>
      <c r="B23" s="1" t="str">
        <f t="shared" si="8"/>
        <v>200</v>
      </c>
      <c r="C23" s="1">
        <f t="shared" si="9"/>
        <v>49</v>
      </c>
      <c r="D23" s="1">
        <f t="shared" si="10"/>
        <v>57</v>
      </c>
      <c r="E23" s="1">
        <f t="shared" si="11"/>
        <v>20</v>
      </c>
      <c r="F23" s="2" t="str">
        <f t="shared" si="12"/>
        <v>ZR200</v>
      </c>
      <c r="G23" s="80" t="s">
        <v>68</v>
      </c>
      <c r="H23" s="116">
        <v>1</v>
      </c>
      <c r="I23" s="94">
        <v>2.83</v>
      </c>
      <c r="J23" s="111">
        <f>ZR_R_350!J23+(ZR_R_390!$A$1-ZR_R_350!$A$1)/(ZR_R_420!$A$1-ZR_R_350!$A$1)*(ZR_R_420!J23-ZR_R_350!J23)</f>
        <v>2.6314285714285717</v>
      </c>
      <c r="K23" s="111">
        <f>ZR_R_350!K23+(ZR_R_390!$A$1-ZR_R_350!$A$1)/(ZR_R_420!$A$1-ZR_R_350!$A$1)*(ZR_R_420!K23-ZR_R_350!K23)</f>
        <v>1.5642857142857143</v>
      </c>
      <c r="L23" s="111">
        <f>ZR_R_350!L23+(ZR_R_390!$A$1-ZR_R_350!$A$1)/(ZR_R_420!$A$1-ZR_R_350!$A$1)*(ZR_R_420!L23-ZR_R_350!L23)</f>
        <v>3.2157142857142857</v>
      </c>
      <c r="M23" s="111">
        <f>ZR_R_350!M23+(ZR_R_390!$A$1-ZR_R_350!$A$1)/(ZR_R_420!$A$1-ZR_R_350!$A$1)*(ZR_R_420!M23-ZR_R_350!M23)</f>
        <v>171.44142857142856</v>
      </c>
      <c r="N23" s="111">
        <f>ZR_R_350!N23+(ZR_R_390!$A$1-ZR_R_350!$A$1)/(ZR_R_420!$A$1-ZR_R_350!$A$1)*(ZR_R_420!N23-ZR_R_350!N23)</f>
        <v>15.667142857142858</v>
      </c>
      <c r="O23" s="111">
        <f>ZR_R_350!O23+(ZR_R_390!$A$1-ZR_R_350!$A$1)/(ZR_R_420!$A$1-ZR_R_350!$A$1)*(ZR_R_420!O23-ZR_R_350!O23)</f>
        <v>7.2971428571428572</v>
      </c>
      <c r="P23" s="111">
        <f>ZR_R_350!P23+(ZR_R_390!$A$1-ZR_R_350!$A$1)/(ZR_R_420!$A$1-ZR_R_350!$A$1)*(ZR_R_420!P23-ZR_R_350!P23)</f>
        <v>9.0585714285714296</v>
      </c>
      <c r="Q23" s="111">
        <f>ZR_R_350!Q23+(ZR_R_390!$A$1-ZR_R_350!$A$1)/(ZR_R_420!$A$1-ZR_R_350!$A$1)*(ZR_R_420!Q23-ZR_R_350!Q23)</f>
        <v>3.1457142857142859</v>
      </c>
      <c r="R23" s="111">
        <f>ZR_R_350!R23+(ZR_R_390!$A$1-ZR_R_350!$A$1)/(ZR_R_420!$A$1-ZR_R_350!$A$1)*(ZR_R_420!R23-ZR_R_350!R23)</f>
        <v>168.62428571428569</v>
      </c>
      <c r="S23" s="111">
        <f>ZR_R_350!S23+(ZR_R_390!$A$1-ZR_R_350!$A$1)/(ZR_R_420!$A$1-ZR_R_350!$A$1)*(ZR_R_420!S23-ZR_R_350!S23)</f>
        <v>15.877142857142857</v>
      </c>
      <c r="T23" s="111">
        <f>ZR_R_350!T23+(ZR_R_390!$A$1-ZR_R_350!$A$1)/(ZR_R_420!$A$1-ZR_R_350!$A$1)*(ZR_R_420!T23-ZR_R_350!T23)</f>
        <v>7.3028571428571434</v>
      </c>
      <c r="U23" s="111">
        <f>ZR_R_350!U23+(ZR_R_390!$A$1-ZR_R_350!$A$1)/(ZR_R_420!$A$1-ZR_R_350!$A$1)*(ZR_R_420!U23-ZR_R_350!U23)</f>
        <v>10.62142857142857</v>
      </c>
      <c r="V23" s="111">
        <f>ZR_R_350!V23+(ZR_R_390!$A$1-ZR_R_350!$A$1)/(ZR_R_420!$A$1-ZR_R_350!$A$1)*(ZR_R_420!V23-ZR_R_350!V23)</f>
        <v>3.2571428571428571</v>
      </c>
      <c r="W23" s="111">
        <f>ZR_R_350!W23+(ZR_R_390!$A$1-ZR_R_350!$A$1)/(ZR_R_420!$A$1-ZR_R_350!$A$1)*(ZR_R_420!W23-ZR_R_350!W23)</f>
        <v>17.184285714285714</v>
      </c>
      <c r="X23" s="111">
        <f>ZR_R_350!X23+(ZR_R_390!$A$1-ZR_R_350!$A$1)/(ZR_R_420!$A$1-ZR_R_350!$A$1)*(ZR_R_420!X23-ZR_R_350!X23)</f>
        <v>2.8357142857142859</v>
      </c>
      <c r="Y23" s="111">
        <f>ZR_R_350!Y23+(ZR_R_390!$A$1-ZR_R_350!$A$1)/(ZR_R_420!$A$1-ZR_R_350!$A$1)*(ZR_R_420!Y23-ZR_R_350!Y23)</f>
        <v>2.2928571428571427</v>
      </c>
      <c r="Z23" s="76">
        <f>ZR_R_350!Z23+(ZR_R_390!$A$1-ZR_R_350!$A$1)/(ZR_R_420!$A$1-ZR_R_350!$A$1)*(ZR_R_420!Z23-ZR_R_350!Z23)</f>
        <v>4.4414285714285713</v>
      </c>
      <c r="AB23" s="220">
        <v>2.83</v>
      </c>
      <c r="AC23" s="219">
        <v>2.54</v>
      </c>
      <c r="AD23" s="220">
        <v>1.56</v>
      </c>
      <c r="AE23" s="219">
        <v>3.21</v>
      </c>
      <c r="AF23" s="219">
        <v>171.35</v>
      </c>
      <c r="AG23" s="219">
        <v>15.66</v>
      </c>
      <c r="AH23" s="219">
        <v>7.29</v>
      </c>
      <c r="AI23" s="219">
        <v>9.06</v>
      </c>
      <c r="AJ23" s="219">
        <v>3.15</v>
      </c>
      <c r="AK23" s="219">
        <v>168.58</v>
      </c>
      <c r="AL23" s="219">
        <v>15.87</v>
      </c>
      <c r="AM23" s="219">
        <v>7.31</v>
      </c>
      <c r="AN23" s="219">
        <v>10.62</v>
      </c>
      <c r="AO23" s="219">
        <v>3.25</v>
      </c>
      <c r="AP23" s="219">
        <v>17.170000000000002</v>
      </c>
      <c r="AQ23" s="219">
        <v>2.83</v>
      </c>
      <c r="AR23" s="219">
        <v>2.29</v>
      </c>
      <c r="AS23" s="219">
        <v>4.4400000000000004</v>
      </c>
    </row>
    <row r="24" spans="1:45" ht="15" customHeight="1" thickBot="1" x14ac:dyDescent="0.3">
      <c r="A24" s="72" t="str">
        <f t="shared" si="7"/>
        <v>ZR200x1,2</v>
      </c>
      <c r="B24" s="3" t="str">
        <f t="shared" si="8"/>
        <v>200</v>
      </c>
      <c r="C24" s="3">
        <f t="shared" si="9"/>
        <v>49</v>
      </c>
      <c r="D24" s="3">
        <f t="shared" si="10"/>
        <v>57</v>
      </c>
      <c r="E24" s="3">
        <f t="shared" si="11"/>
        <v>20</v>
      </c>
      <c r="F24" s="4" t="str">
        <f t="shared" si="12"/>
        <v>ZR200</v>
      </c>
      <c r="G24" s="81" t="s">
        <v>68</v>
      </c>
      <c r="H24" s="117">
        <v>1.2</v>
      </c>
      <c r="I24" s="96">
        <v>3.39</v>
      </c>
      <c r="J24" s="112">
        <f>ZR_R_350!J24+(ZR_R_390!$A$1-ZR_R_350!$A$1)/(ZR_R_420!$A$1-ZR_R_350!$A$1)*(ZR_R_420!J24-ZR_R_350!J24)</f>
        <v>3.4585714285714286</v>
      </c>
      <c r="K24" s="112">
        <f>ZR_R_350!K24+(ZR_R_390!$A$1-ZR_R_350!$A$1)/(ZR_R_420!$A$1-ZR_R_350!$A$1)*(ZR_R_420!K24-ZR_R_350!K24)</f>
        <v>1.5742857142857143</v>
      </c>
      <c r="L24" s="112">
        <f>ZR_R_350!L24+(ZR_R_390!$A$1-ZR_R_350!$A$1)/(ZR_R_420!$A$1-ZR_R_350!$A$1)*(ZR_R_420!L24-ZR_R_350!L24)</f>
        <v>3.99</v>
      </c>
      <c r="M24" s="112">
        <f>ZR_R_350!M24+(ZR_R_390!$A$1-ZR_R_350!$A$1)/(ZR_R_420!$A$1-ZR_R_350!$A$1)*(ZR_R_420!M24-ZR_R_350!M24)</f>
        <v>216.43714285714285</v>
      </c>
      <c r="N24" s="112">
        <f>ZR_R_350!N24+(ZR_R_390!$A$1-ZR_R_350!$A$1)/(ZR_R_420!$A$1-ZR_R_350!$A$1)*(ZR_R_420!N24-ZR_R_350!N24)</f>
        <v>20.394285714285715</v>
      </c>
      <c r="O24" s="112">
        <f>ZR_R_350!O24+(ZR_R_390!$A$1-ZR_R_350!$A$1)/(ZR_R_420!$A$1-ZR_R_350!$A$1)*(ZR_R_420!O24-ZR_R_350!O24)</f>
        <v>7.3571428571428568</v>
      </c>
      <c r="P24" s="112">
        <f>ZR_R_350!P24+(ZR_R_390!$A$1-ZR_R_350!$A$1)/(ZR_R_420!$A$1-ZR_R_350!$A$1)*(ZR_R_420!P24-ZR_R_350!P24)</f>
        <v>9.3885714285714297</v>
      </c>
      <c r="Q24" s="112">
        <f>ZR_R_350!Q24+(ZR_R_390!$A$1-ZR_R_350!$A$1)/(ZR_R_420!$A$1-ZR_R_350!$A$1)*(ZR_R_420!Q24-ZR_R_350!Q24)</f>
        <v>3.92</v>
      </c>
      <c r="R24" s="112">
        <f>ZR_R_350!R24+(ZR_R_390!$A$1-ZR_R_350!$A$1)/(ZR_R_420!$A$1-ZR_R_350!$A$1)*(ZR_R_420!R24-ZR_R_350!R24)</f>
        <v>212.27</v>
      </c>
      <c r="S24" s="112">
        <f>ZR_R_350!S24+(ZR_R_390!$A$1-ZR_R_350!$A$1)/(ZR_R_420!$A$1-ZR_R_350!$A$1)*(ZR_R_420!S24-ZR_R_350!S24)</f>
        <v>20.62</v>
      </c>
      <c r="T24" s="112">
        <f>ZR_R_350!T24+(ZR_R_390!$A$1-ZR_R_350!$A$1)/(ZR_R_420!$A$1-ZR_R_350!$A$1)*(ZR_R_420!T24-ZR_R_350!T24)</f>
        <v>7.3485714285714288</v>
      </c>
      <c r="U24" s="112">
        <f>ZR_R_350!U24+(ZR_R_390!$A$1-ZR_R_350!$A$1)/(ZR_R_420!$A$1-ZR_R_350!$A$1)*(ZR_R_420!U24-ZR_R_350!U24)</f>
        <v>10.29142857142857</v>
      </c>
      <c r="V24" s="112">
        <f>ZR_R_350!V24+(ZR_R_390!$A$1-ZR_R_350!$A$1)/(ZR_R_420!$A$1-ZR_R_350!$A$1)*(ZR_R_420!V24-ZR_R_350!V24)</f>
        <v>3.9871428571428571</v>
      </c>
      <c r="W24" s="112">
        <f>ZR_R_350!W24+(ZR_R_390!$A$1-ZR_R_350!$A$1)/(ZR_R_420!$A$1-ZR_R_350!$A$1)*(ZR_R_420!W24-ZR_R_350!W24)</f>
        <v>21.881428571428572</v>
      </c>
      <c r="X24" s="112">
        <f>ZR_R_350!X24+(ZR_R_390!$A$1-ZR_R_350!$A$1)/(ZR_R_420!$A$1-ZR_R_350!$A$1)*(ZR_R_420!X24-ZR_R_350!X24)</f>
        <v>3.6642857142857141</v>
      </c>
      <c r="Y24" s="112">
        <f>ZR_R_350!Y24+(ZR_R_390!$A$1-ZR_R_350!$A$1)/(ZR_R_420!$A$1-ZR_R_350!$A$1)*(ZR_R_420!Y24-ZR_R_350!Y24)</f>
        <v>2.3385714285714285</v>
      </c>
      <c r="Z24" s="77">
        <f>ZR_R_350!Z24+(ZR_R_390!$A$1-ZR_R_350!$A$1)/(ZR_R_420!$A$1-ZR_R_350!$A$1)*(ZR_R_420!Z24-ZR_R_350!Z24)</f>
        <v>4.5171428571428569</v>
      </c>
      <c r="AB24" s="220">
        <v>3.39</v>
      </c>
      <c r="AC24" s="219">
        <v>3.36</v>
      </c>
      <c r="AD24" s="220">
        <v>1.58</v>
      </c>
      <c r="AE24" s="219">
        <v>3.99</v>
      </c>
      <c r="AF24" s="219">
        <v>216.34</v>
      </c>
      <c r="AG24" s="219">
        <v>20.39</v>
      </c>
      <c r="AH24" s="219">
        <v>7.36</v>
      </c>
      <c r="AI24" s="219">
        <v>9.39</v>
      </c>
      <c r="AJ24" s="219">
        <v>3.92</v>
      </c>
      <c r="AK24" s="219">
        <v>212.13</v>
      </c>
      <c r="AL24" s="219">
        <v>20.61</v>
      </c>
      <c r="AM24" s="219">
        <v>7.35</v>
      </c>
      <c r="AN24" s="219">
        <v>10.29</v>
      </c>
      <c r="AO24" s="219">
        <v>3.98</v>
      </c>
      <c r="AP24" s="219">
        <v>21.86</v>
      </c>
      <c r="AQ24" s="219">
        <v>3.66</v>
      </c>
      <c r="AR24" s="219">
        <v>2.34</v>
      </c>
      <c r="AS24" s="219">
        <v>4.5199999999999996</v>
      </c>
    </row>
    <row r="25" spans="1:45" ht="15" customHeight="1" thickBot="1" x14ac:dyDescent="0.3">
      <c r="A25" s="72" t="str">
        <f t="shared" si="7"/>
        <v>ZR200x1,5</v>
      </c>
      <c r="B25" s="3" t="str">
        <f t="shared" si="8"/>
        <v>200</v>
      </c>
      <c r="C25" s="3">
        <f t="shared" si="9"/>
        <v>49</v>
      </c>
      <c r="D25" s="3">
        <f t="shared" si="10"/>
        <v>57</v>
      </c>
      <c r="E25" s="3">
        <f t="shared" si="11"/>
        <v>20</v>
      </c>
      <c r="F25" s="4" t="str">
        <f t="shared" si="12"/>
        <v>ZR200</v>
      </c>
      <c r="G25" s="81" t="s">
        <v>68</v>
      </c>
      <c r="H25" s="117">
        <v>1.5</v>
      </c>
      <c r="I25" s="96">
        <v>4.09</v>
      </c>
      <c r="J25" s="112">
        <f>ZR_R_350!J25+(ZR_R_390!$A$1-ZR_R_350!$A$1)/(ZR_R_420!$A$1-ZR_R_350!$A$1)*(ZR_R_420!J25-ZR_R_350!J25)</f>
        <v>4.7457142857142864</v>
      </c>
      <c r="K25" s="112">
        <f>ZR_R_350!K25+(ZR_R_390!$A$1-ZR_R_350!$A$1)/(ZR_R_420!$A$1-ZR_R_350!$A$1)*(ZR_R_420!K25-ZR_R_350!K25)</f>
        <v>1.6042857142857143</v>
      </c>
      <c r="L25" s="112">
        <f>ZR_R_350!L25+(ZR_R_390!$A$1-ZR_R_350!$A$1)/(ZR_R_420!$A$1-ZR_R_350!$A$1)*(ZR_R_420!L25-ZR_R_350!L25)</f>
        <v>4.7771428571428576</v>
      </c>
      <c r="M25" s="112">
        <f>ZR_R_350!M25+(ZR_R_390!$A$1-ZR_R_350!$A$1)/(ZR_R_420!$A$1-ZR_R_350!$A$1)*(ZR_R_420!M25-ZR_R_350!M25)</f>
        <v>270.05142857142857</v>
      </c>
      <c r="N25" s="112">
        <f>ZR_R_350!N25+(ZR_R_390!$A$1-ZR_R_350!$A$1)/(ZR_R_420!$A$1-ZR_R_350!$A$1)*(ZR_R_420!N25-ZR_R_350!N25)</f>
        <v>25.171428571428571</v>
      </c>
      <c r="O25" s="112">
        <f>ZR_R_350!O25+(ZR_R_390!$A$1-ZR_R_350!$A$1)/(ZR_R_420!$A$1-ZR_R_350!$A$1)*(ZR_R_420!O25-ZR_R_350!O25)</f>
        <v>7.5057142857142853</v>
      </c>
      <c r="P25" s="112">
        <f>ZR_R_350!P25+(ZR_R_390!$A$1-ZR_R_350!$A$1)/(ZR_R_420!$A$1-ZR_R_350!$A$1)*(ZR_R_420!P25-ZR_R_350!P25)</f>
        <v>9.274285714285714</v>
      </c>
      <c r="Q25" s="112">
        <f>ZR_R_350!Q25+(ZR_R_390!$A$1-ZR_R_350!$A$1)/(ZR_R_420!$A$1-ZR_R_350!$A$1)*(ZR_R_420!Q25-ZR_R_350!Q25)</f>
        <v>4.7457142857142864</v>
      </c>
      <c r="R25" s="112">
        <f>ZR_R_350!R25+(ZR_R_390!$A$1-ZR_R_350!$A$1)/(ZR_R_420!$A$1-ZR_R_350!$A$1)*(ZR_R_420!R25-ZR_R_350!R25)</f>
        <v>266.02</v>
      </c>
      <c r="S25" s="112">
        <f>ZR_R_350!S25+(ZR_R_390!$A$1-ZR_R_350!$A$1)/(ZR_R_420!$A$1-ZR_R_350!$A$1)*(ZR_R_420!S25-ZR_R_350!S25)</f>
        <v>25.72</v>
      </c>
      <c r="T25" s="112">
        <f>ZR_R_350!T25+(ZR_R_390!$A$1-ZR_R_350!$A$1)/(ZR_R_420!$A$1-ZR_R_350!$A$1)*(ZR_R_420!T25-ZR_R_350!T25)</f>
        <v>7.48</v>
      </c>
      <c r="U25" s="112">
        <f>ZR_R_350!U25+(ZR_R_390!$A$1-ZR_R_350!$A$1)/(ZR_R_420!$A$1-ZR_R_350!$A$1)*(ZR_R_420!U25-ZR_R_350!U25)</f>
        <v>10.342857142857143</v>
      </c>
      <c r="V25" s="112">
        <f>ZR_R_350!V25+(ZR_R_390!$A$1-ZR_R_350!$A$1)/(ZR_R_420!$A$1-ZR_R_350!$A$1)*(ZR_R_420!V25-ZR_R_350!V25)</f>
        <v>5.18</v>
      </c>
      <c r="W25" s="112">
        <f>ZR_R_350!W25+(ZR_R_390!$A$1-ZR_R_350!$A$1)/(ZR_R_420!$A$1-ZR_R_350!$A$1)*(ZR_R_420!W25-ZR_R_350!W25)</f>
        <v>29.982857142857142</v>
      </c>
      <c r="X25" s="112">
        <f>ZR_R_350!X25+(ZR_R_390!$A$1-ZR_R_350!$A$1)/(ZR_R_420!$A$1-ZR_R_350!$A$1)*(ZR_R_420!X25-ZR_R_350!X25)</f>
        <v>5.0385714285714283</v>
      </c>
      <c r="Y25" s="112">
        <f>ZR_R_350!Y25+(ZR_R_390!$A$1-ZR_R_350!$A$1)/(ZR_R_420!$A$1-ZR_R_350!$A$1)*(ZR_R_420!Y25-ZR_R_350!Y25)</f>
        <v>2.4</v>
      </c>
      <c r="Z25" s="77">
        <f>ZR_R_350!Z25+(ZR_R_390!$A$1-ZR_R_350!$A$1)/(ZR_R_420!$A$1-ZR_R_350!$A$1)*(ZR_R_420!Z25-ZR_R_350!Z25)</f>
        <v>4.6542857142857148</v>
      </c>
      <c r="AB25" s="217">
        <v>4.09</v>
      </c>
      <c r="AC25" s="218">
        <v>4.74</v>
      </c>
      <c r="AD25" s="217">
        <v>1.63</v>
      </c>
      <c r="AE25" s="218">
        <v>4.79</v>
      </c>
      <c r="AF25" s="218">
        <v>270.58</v>
      </c>
      <c r="AG25" s="218">
        <v>25.17</v>
      </c>
      <c r="AH25" s="218">
        <v>7.52</v>
      </c>
      <c r="AI25" s="218">
        <v>9.4600000000000009</v>
      </c>
      <c r="AJ25" s="218">
        <v>4.74</v>
      </c>
      <c r="AK25" s="218">
        <v>266.02</v>
      </c>
      <c r="AL25" s="218">
        <v>25.72</v>
      </c>
      <c r="AM25" s="218">
        <v>7.49</v>
      </c>
      <c r="AN25" s="218">
        <v>10.31</v>
      </c>
      <c r="AO25" s="218">
        <v>5.18</v>
      </c>
      <c r="AP25" s="218">
        <v>29.7</v>
      </c>
      <c r="AQ25" s="218">
        <v>5.04</v>
      </c>
      <c r="AR25" s="218">
        <v>2.41</v>
      </c>
      <c r="AS25" s="218">
        <v>4.6900000000000004</v>
      </c>
    </row>
    <row r="26" spans="1:45" ht="15" customHeight="1" thickBot="1" x14ac:dyDescent="0.3">
      <c r="A26" s="72" t="str">
        <f t="shared" si="7"/>
        <v>ZR200x2,0</v>
      </c>
      <c r="B26" s="3" t="str">
        <f t="shared" si="8"/>
        <v>200</v>
      </c>
      <c r="C26" s="3">
        <f t="shared" si="9"/>
        <v>50</v>
      </c>
      <c r="D26" s="3">
        <f t="shared" si="10"/>
        <v>58</v>
      </c>
      <c r="E26" s="3">
        <f t="shared" si="11"/>
        <v>21</v>
      </c>
      <c r="F26" s="4" t="str">
        <f t="shared" si="12"/>
        <v>ZR200</v>
      </c>
      <c r="G26" s="81" t="s">
        <v>69</v>
      </c>
      <c r="H26" s="117">
        <v>2</v>
      </c>
      <c r="I26" s="96">
        <v>5.48</v>
      </c>
      <c r="J26" s="112">
        <f>ZR_R_350!J26+(ZR_R_390!$A$1-ZR_R_350!$A$1)/(ZR_R_420!$A$1-ZR_R_350!$A$1)*(ZR_R_420!J26-ZR_R_350!J26)</f>
        <v>6.894285714285715</v>
      </c>
      <c r="K26" s="112">
        <f>ZR_R_350!K26+(ZR_R_390!$A$1-ZR_R_350!$A$1)/(ZR_R_420!$A$1-ZR_R_350!$A$1)*(ZR_R_420!K26-ZR_R_350!K26)</f>
        <v>1.6357142857142857</v>
      </c>
      <c r="L26" s="112">
        <f>ZR_R_350!L26+(ZR_R_390!$A$1-ZR_R_350!$A$1)/(ZR_R_420!$A$1-ZR_R_350!$A$1)*(ZR_R_420!L26-ZR_R_350!L26)</f>
        <v>6.85</v>
      </c>
      <c r="M26" s="112">
        <f>ZR_R_350!M26+(ZR_R_390!$A$1-ZR_R_350!$A$1)/(ZR_R_420!$A$1-ZR_R_350!$A$1)*(ZR_R_420!M26-ZR_R_350!M26)</f>
        <v>377.83428571428573</v>
      </c>
      <c r="N26" s="112">
        <f>ZR_R_350!N26+(ZR_R_390!$A$1-ZR_R_350!$A$1)/(ZR_R_420!$A$1-ZR_R_350!$A$1)*(ZR_R_420!N26-ZR_R_350!N26)</f>
        <v>36.630000000000003</v>
      </c>
      <c r="O26" s="112">
        <f>ZR_R_350!O26+(ZR_R_390!$A$1-ZR_R_350!$A$1)/(ZR_R_420!$A$1-ZR_R_350!$A$1)*(ZR_R_420!O26-ZR_R_350!O26)</f>
        <v>7.4171428571428573</v>
      </c>
      <c r="P26" s="112">
        <f>ZR_R_350!P26+(ZR_R_390!$A$1-ZR_R_350!$A$1)/(ZR_R_420!$A$1-ZR_R_350!$A$1)*(ZR_R_420!P26-ZR_R_350!P26)</f>
        <v>9.6857142857142868</v>
      </c>
      <c r="Q26" s="112">
        <f>ZR_R_350!Q26+(ZR_R_390!$A$1-ZR_R_350!$A$1)/(ZR_R_420!$A$1-ZR_R_350!$A$1)*(ZR_R_420!Q26-ZR_R_350!Q26)</f>
        <v>6.8542857142857141</v>
      </c>
      <c r="R26" s="112">
        <f>ZR_R_350!R26+(ZR_R_390!$A$1-ZR_R_350!$A$1)/(ZR_R_420!$A$1-ZR_R_350!$A$1)*(ZR_R_420!R26-ZR_R_350!R26)</f>
        <v>378.31285714285713</v>
      </c>
      <c r="S26" s="112">
        <f>ZR_R_350!S26+(ZR_R_390!$A$1-ZR_R_350!$A$1)/(ZR_R_420!$A$1-ZR_R_350!$A$1)*(ZR_R_420!S26-ZR_R_350!S26)</f>
        <v>37.272857142857141</v>
      </c>
      <c r="T26" s="112">
        <f>ZR_R_350!T26+(ZR_R_390!$A$1-ZR_R_350!$A$1)/(ZR_R_420!$A$1-ZR_R_350!$A$1)*(ZR_R_420!T26-ZR_R_350!T26)</f>
        <v>7.4228571428571435</v>
      </c>
      <c r="U26" s="112">
        <f>ZR_R_350!U26+(ZR_R_390!$A$1-ZR_R_350!$A$1)/(ZR_R_420!$A$1-ZR_R_350!$A$1)*(ZR_R_420!U26-ZR_R_350!U26)</f>
        <v>9.8485714285714288</v>
      </c>
      <c r="V26" s="112">
        <f>ZR_R_350!V26+(ZR_R_390!$A$1-ZR_R_350!$A$1)/(ZR_R_420!$A$1-ZR_R_350!$A$1)*(ZR_R_420!V26-ZR_R_350!V26)</f>
        <v>6.95</v>
      </c>
      <c r="W26" s="112">
        <f>ZR_R_350!W26+(ZR_R_390!$A$1-ZR_R_350!$A$1)/(ZR_R_420!$A$1-ZR_R_350!$A$1)*(ZR_R_420!W26-ZR_R_350!W26)</f>
        <v>41.87</v>
      </c>
      <c r="X26" s="112">
        <f>ZR_R_350!X26+(ZR_R_390!$A$1-ZR_R_350!$A$1)/(ZR_R_420!$A$1-ZR_R_350!$A$1)*(ZR_R_420!X26-ZR_R_350!X26)</f>
        <v>6.9</v>
      </c>
      <c r="Y26" s="112">
        <f>ZR_R_350!Y26+(ZR_R_390!$A$1-ZR_R_350!$A$1)/(ZR_R_420!$A$1-ZR_R_350!$A$1)*(ZR_R_420!Y26-ZR_R_350!Y26)</f>
        <v>2.4500000000000002</v>
      </c>
      <c r="Z26" s="77">
        <f>ZR_R_350!Z26+(ZR_R_390!$A$1-ZR_R_350!$A$1)/(ZR_R_420!$A$1-ZR_R_350!$A$1)*(ZR_R_420!Z26-ZR_R_350!Z26)</f>
        <v>4.74</v>
      </c>
      <c r="AB26" s="217">
        <v>5.48</v>
      </c>
      <c r="AC26" s="218">
        <v>6.85</v>
      </c>
      <c r="AD26" s="217">
        <v>1.64</v>
      </c>
      <c r="AE26" s="218">
        <v>6.85</v>
      </c>
      <c r="AF26" s="218">
        <v>378.42</v>
      </c>
      <c r="AG26" s="218">
        <v>36.630000000000003</v>
      </c>
      <c r="AH26" s="218">
        <v>7.44</v>
      </c>
      <c r="AI26" s="218">
        <v>9.8800000000000008</v>
      </c>
      <c r="AJ26" s="218">
        <v>6.85</v>
      </c>
      <c r="AK26" s="218">
        <v>378.31</v>
      </c>
      <c r="AL26" s="218">
        <v>37.270000000000003</v>
      </c>
      <c r="AM26" s="218">
        <v>7.43</v>
      </c>
      <c r="AN26" s="218">
        <v>9.76</v>
      </c>
      <c r="AO26" s="218">
        <v>6.95</v>
      </c>
      <c r="AP26" s="218">
        <v>41.87</v>
      </c>
      <c r="AQ26" s="218">
        <v>6.9</v>
      </c>
      <c r="AR26" s="218">
        <v>2.4500000000000002</v>
      </c>
      <c r="AS26" s="218">
        <v>4.74</v>
      </c>
    </row>
    <row r="27" spans="1:45" ht="15" customHeight="1" thickBot="1" x14ac:dyDescent="0.3">
      <c r="A27" s="72" t="str">
        <f t="shared" si="7"/>
        <v>ZR200x2,5</v>
      </c>
      <c r="B27" s="3" t="str">
        <f t="shared" si="8"/>
        <v>200</v>
      </c>
      <c r="C27" s="3">
        <f t="shared" si="9"/>
        <v>51</v>
      </c>
      <c r="D27" s="3">
        <f t="shared" si="10"/>
        <v>59</v>
      </c>
      <c r="E27" s="3">
        <f t="shared" si="11"/>
        <v>22</v>
      </c>
      <c r="F27" s="4" t="str">
        <f t="shared" si="12"/>
        <v>ZR200</v>
      </c>
      <c r="G27" s="81" t="s">
        <v>70</v>
      </c>
      <c r="H27" s="117">
        <v>2.5</v>
      </c>
      <c r="I27" s="96">
        <v>6.9</v>
      </c>
      <c r="J27" s="112">
        <f>ZR_R_350!J27+(ZR_R_390!$A$1-ZR_R_350!$A$1)/(ZR_R_420!$A$1-ZR_R_350!$A$1)*(ZR_R_420!J27-ZR_R_350!J27)</f>
        <v>8.73</v>
      </c>
      <c r="K27" s="112">
        <f>ZR_R_350!K27+(ZR_R_390!$A$1-ZR_R_350!$A$1)/(ZR_R_420!$A$1-ZR_R_350!$A$1)*(ZR_R_420!K27-ZR_R_350!K27)</f>
        <v>1.67</v>
      </c>
      <c r="L27" s="112">
        <f>ZR_R_350!L27+(ZR_R_390!$A$1-ZR_R_350!$A$1)/(ZR_R_420!$A$1-ZR_R_350!$A$1)*(ZR_R_420!L27-ZR_R_350!L27)</f>
        <v>8.73</v>
      </c>
      <c r="M27" s="112">
        <f>ZR_R_350!M27+(ZR_R_390!$A$1-ZR_R_350!$A$1)/(ZR_R_420!$A$1-ZR_R_350!$A$1)*(ZR_R_420!M27-ZR_R_350!M27)</f>
        <v>477.66</v>
      </c>
      <c r="N27" s="112">
        <f>ZR_R_350!N27+(ZR_R_390!$A$1-ZR_R_350!$A$1)/(ZR_R_420!$A$1-ZR_R_350!$A$1)*(ZR_R_420!N27-ZR_R_350!N27)</f>
        <v>46.71</v>
      </c>
      <c r="O27" s="112">
        <f>ZR_R_350!O27+(ZR_R_390!$A$1-ZR_R_350!$A$1)/(ZR_R_420!$A$1-ZR_R_350!$A$1)*(ZR_R_420!O27-ZR_R_350!O27)</f>
        <v>7.39</v>
      </c>
      <c r="P27" s="112">
        <f>ZR_R_350!P27+(ZR_R_390!$A$1-ZR_R_350!$A$1)/(ZR_R_420!$A$1-ZR_R_350!$A$1)*(ZR_R_420!P27-ZR_R_350!P27)</f>
        <v>9.77</v>
      </c>
      <c r="Q27" s="112">
        <f>ZR_R_350!Q27+(ZR_R_390!$A$1-ZR_R_350!$A$1)/(ZR_R_420!$A$1-ZR_R_350!$A$1)*(ZR_R_420!Q27-ZR_R_350!Q27)</f>
        <v>8.73</v>
      </c>
      <c r="R27" s="112">
        <f>ZR_R_350!R27+(ZR_R_390!$A$1-ZR_R_350!$A$1)/(ZR_R_420!$A$1-ZR_R_350!$A$1)*(ZR_R_420!R27-ZR_R_350!R27)</f>
        <v>477.66</v>
      </c>
      <c r="S27" s="112">
        <f>ZR_R_350!S27+(ZR_R_390!$A$1-ZR_R_350!$A$1)/(ZR_R_420!$A$1-ZR_R_350!$A$1)*(ZR_R_420!S27-ZR_R_350!S27)</f>
        <v>46.71</v>
      </c>
      <c r="T27" s="112">
        <f>ZR_R_350!T27+(ZR_R_390!$A$1-ZR_R_350!$A$1)/(ZR_R_420!$A$1-ZR_R_350!$A$1)*(ZR_R_420!T27-ZR_R_350!T27)</f>
        <v>7.39</v>
      </c>
      <c r="U27" s="112">
        <f>ZR_R_350!U27+(ZR_R_390!$A$1-ZR_R_350!$A$1)/(ZR_R_420!$A$1-ZR_R_350!$A$1)*(ZR_R_420!U27-ZR_R_350!U27)</f>
        <v>9.77</v>
      </c>
      <c r="V27" s="112">
        <f>ZR_R_350!V27+(ZR_R_390!$A$1-ZR_R_350!$A$1)/(ZR_R_420!$A$1-ZR_R_350!$A$1)*(ZR_R_420!V27-ZR_R_350!V27)</f>
        <v>8.73</v>
      </c>
      <c r="W27" s="112">
        <f>ZR_R_350!W27+(ZR_R_390!$A$1-ZR_R_350!$A$1)/(ZR_R_420!$A$1-ZR_R_350!$A$1)*(ZR_R_420!W27-ZR_R_350!W27)</f>
        <v>54.42</v>
      </c>
      <c r="X27" s="112">
        <f>ZR_R_350!X27+(ZR_R_390!$A$1-ZR_R_350!$A$1)/(ZR_R_420!$A$1-ZR_R_350!$A$1)*(ZR_R_420!X27-ZR_R_350!X27)</f>
        <v>8.7899999999999991</v>
      </c>
      <c r="Y27" s="112">
        <f>ZR_R_350!Y27+(ZR_R_390!$A$1-ZR_R_350!$A$1)/(ZR_R_420!$A$1-ZR_R_350!$A$1)*(ZR_R_420!Y27-ZR_R_350!Y27)</f>
        <v>2.4900000000000002</v>
      </c>
      <c r="Z27" s="77">
        <f>ZR_R_350!Z27+(ZR_R_390!$A$1-ZR_R_350!$A$1)/(ZR_R_420!$A$1-ZR_R_350!$A$1)*(ZR_R_420!Z27-ZR_R_350!Z27)</f>
        <v>4.8099999999999996</v>
      </c>
      <c r="AB27" s="217">
        <v>6.9</v>
      </c>
      <c r="AC27" s="218">
        <v>8.73</v>
      </c>
      <c r="AD27" s="217">
        <v>1.67</v>
      </c>
      <c r="AE27" s="218">
        <v>8.73</v>
      </c>
      <c r="AF27" s="218">
        <v>477.66</v>
      </c>
      <c r="AG27" s="218">
        <v>46.71</v>
      </c>
      <c r="AH27" s="218">
        <v>7.39</v>
      </c>
      <c r="AI27" s="218">
        <v>9.77</v>
      </c>
      <c r="AJ27" s="218">
        <v>8.73</v>
      </c>
      <c r="AK27" s="218">
        <v>477.66</v>
      </c>
      <c r="AL27" s="218">
        <v>46.71</v>
      </c>
      <c r="AM27" s="218">
        <v>7.39</v>
      </c>
      <c r="AN27" s="218">
        <v>9.77</v>
      </c>
      <c r="AO27" s="218">
        <v>8.73</v>
      </c>
      <c r="AP27" s="218">
        <v>54.42</v>
      </c>
      <c r="AQ27" s="218">
        <v>8.7899999999999991</v>
      </c>
      <c r="AR27" s="218">
        <v>2.4900000000000002</v>
      </c>
      <c r="AS27" s="218">
        <v>4.8099999999999996</v>
      </c>
    </row>
    <row r="28" spans="1:45" ht="15" customHeight="1" thickBot="1" x14ac:dyDescent="0.3">
      <c r="A28" s="73" t="str">
        <f t="shared" si="7"/>
        <v>ZR200x3,0</v>
      </c>
      <c r="B28" s="5" t="str">
        <f t="shared" si="8"/>
        <v>200</v>
      </c>
      <c r="C28" s="5">
        <f t="shared" si="9"/>
        <v>52</v>
      </c>
      <c r="D28" s="5">
        <f t="shared" si="10"/>
        <v>60</v>
      </c>
      <c r="E28" s="5">
        <f t="shared" si="11"/>
        <v>23</v>
      </c>
      <c r="F28" s="6" t="str">
        <f t="shared" si="12"/>
        <v>ZR200</v>
      </c>
      <c r="G28" s="82" t="s">
        <v>71</v>
      </c>
      <c r="H28" s="118">
        <v>3</v>
      </c>
      <c r="I28" s="98">
        <v>8.32</v>
      </c>
      <c r="J28" s="113">
        <f>ZR_R_350!J28+(ZR_R_390!$A$1-ZR_R_350!$A$1)/(ZR_R_420!$A$1-ZR_R_350!$A$1)*(ZR_R_420!J28-ZR_R_350!J28)</f>
        <v>10.52</v>
      </c>
      <c r="K28" s="113">
        <f>ZR_R_350!K28+(ZR_R_390!$A$1-ZR_R_350!$A$1)/(ZR_R_420!$A$1-ZR_R_350!$A$1)*(ZR_R_420!K28-ZR_R_350!K28)</f>
        <v>1.71</v>
      </c>
      <c r="L28" s="113">
        <f>ZR_R_350!L28+(ZR_R_390!$A$1-ZR_R_350!$A$1)/(ZR_R_420!$A$1-ZR_R_350!$A$1)*(ZR_R_420!L28-ZR_R_350!L28)</f>
        <v>10.52</v>
      </c>
      <c r="M28" s="113">
        <f>ZR_R_350!M28+(ZR_R_390!$A$1-ZR_R_350!$A$1)/(ZR_R_420!$A$1-ZR_R_350!$A$1)*(ZR_R_420!M28-ZR_R_350!M28)</f>
        <v>574.16</v>
      </c>
      <c r="N28" s="113">
        <f>ZR_R_350!N28+(ZR_R_390!$A$1-ZR_R_350!$A$1)/(ZR_R_420!$A$1-ZR_R_350!$A$1)*(ZR_R_420!N28-ZR_R_350!N28)</f>
        <v>56.15</v>
      </c>
      <c r="O28" s="113">
        <f>ZR_R_350!O28+(ZR_R_390!$A$1-ZR_R_350!$A$1)/(ZR_R_420!$A$1-ZR_R_350!$A$1)*(ZR_R_420!O28-ZR_R_350!O28)</f>
        <v>7.38</v>
      </c>
      <c r="P28" s="113">
        <f>ZR_R_350!P28+(ZR_R_390!$A$1-ZR_R_350!$A$1)/(ZR_R_420!$A$1-ZR_R_350!$A$1)*(ZR_R_420!P28-ZR_R_350!P28)</f>
        <v>9.7799999999999994</v>
      </c>
      <c r="Q28" s="113">
        <f>ZR_R_350!Q28+(ZR_R_390!$A$1-ZR_R_350!$A$1)/(ZR_R_420!$A$1-ZR_R_350!$A$1)*(ZR_R_420!Q28-ZR_R_350!Q28)</f>
        <v>10.52</v>
      </c>
      <c r="R28" s="113">
        <f>ZR_R_350!R28+(ZR_R_390!$A$1-ZR_R_350!$A$1)/(ZR_R_420!$A$1-ZR_R_350!$A$1)*(ZR_R_420!R28-ZR_R_350!R28)</f>
        <v>574.16</v>
      </c>
      <c r="S28" s="113">
        <f>ZR_R_350!S28+(ZR_R_390!$A$1-ZR_R_350!$A$1)/(ZR_R_420!$A$1-ZR_R_350!$A$1)*(ZR_R_420!S28-ZR_R_350!S28)</f>
        <v>56.15</v>
      </c>
      <c r="T28" s="113">
        <f>ZR_R_350!T28+(ZR_R_390!$A$1-ZR_R_350!$A$1)/(ZR_R_420!$A$1-ZR_R_350!$A$1)*(ZR_R_420!T28-ZR_R_350!T28)</f>
        <v>7.38</v>
      </c>
      <c r="U28" s="113">
        <f>ZR_R_350!U28+(ZR_R_390!$A$1-ZR_R_350!$A$1)/(ZR_R_420!$A$1-ZR_R_350!$A$1)*(ZR_R_420!U28-ZR_R_350!U28)</f>
        <v>9.7799999999999994</v>
      </c>
      <c r="V28" s="113">
        <f>ZR_R_350!V28+(ZR_R_390!$A$1-ZR_R_350!$A$1)/(ZR_R_420!$A$1-ZR_R_350!$A$1)*(ZR_R_420!V28-ZR_R_350!V28)</f>
        <v>10.52</v>
      </c>
      <c r="W28" s="113">
        <f>ZR_R_350!W28+(ZR_R_390!$A$1-ZR_R_350!$A$1)/(ZR_R_420!$A$1-ZR_R_350!$A$1)*(ZR_R_420!W28-ZR_R_350!W28)</f>
        <v>67.86</v>
      </c>
      <c r="X28" s="113">
        <f>ZR_R_350!X28+(ZR_R_390!$A$1-ZR_R_350!$A$1)/(ZR_R_420!$A$1-ZR_R_350!$A$1)*(ZR_R_420!X28-ZR_R_350!X28)</f>
        <v>10.75</v>
      </c>
      <c r="Y28" s="113">
        <f>ZR_R_350!Y28+(ZR_R_390!$A$1-ZR_R_350!$A$1)/(ZR_R_420!$A$1-ZR_R_350!$A$1)*(ZR_R_420!Y28-ZR_R_350!Y28)</f>
        <v>2.5299999999999998</v>
      </c>
      <c r="Z28" s="78">
        <f>ZR_R_350!Z28+(ZR_R_390!$A$1-ZR_R_350!$A$1)/(ZR_R_420!$A$1-ZR_R_350!$A$1)*(ZR_R_420!Z28-ZR_R_350!Z28)</f>
        <v>4.8899999999999997</v>
      </c>
      <c r="AB28" s="217">
        <v>8.32</v>
      </c>
      <c r="AC28" s="218">
        <v>10.52</v>
      </c>
      <c r="AD28" s="217">
        <v>1.71</v>
      </c>
      <c r="AE28" s="218">
        <v>10.52</v>
      </c>
      <c r="AF28" s="218">
        <v>574.16</v>
      </c>
      <c r="AG28" s="218">
        <v>56.15</v>
      </c>
      <c r="AH28" s="218">
        <v>7.38</v>
      </c>
      <c r="AI28" s="218">
        <v>9.7799999999999994</v>
      </c>
      <c r="AJ28" s="218">
        <v>10.52</v>
      </c>
      <c r="AK28" s="218">
        <v>574.16</v>
      </c>
      <c r="AL28" s="218">
        <v>56.15</v>
      </c>
      <c r="AM28" s="218">
        <v>7.38</v>
      </c>
      <c r="AN28" s="218">
        <v>9.7799999999999994</v>
      </c>
      <c r="AO28" s="218">
        <v>10.52</v>
      </c>
      <c r="AP28" s="218">
        <v>67.86</v>
      </c>
      <c r="AQ28" s="218">
        <v>10.75</v>
      </c>
      <c r="AR28" s="218">
        <v>2.5299999999999998</v>
      </c>
      <c r="AS28" s="218">
        <v>4.8899999999999997</v>
      </c>
    </row>
    <row r="29" spans="1:45" ht="15" customHeight="1" thickBot="1" x14ac:dyDescent="0.3">
      <c r="A29" s="71" t="str">
        <f t="shared" si="7"/>
        <v>ZR220x1,5</v>
      </c>
      <c r="B29" s="1" t="str">
        <f t="shared" si="8"/>
        <v>220</v>
      </c>
      <c r="C29" s="1">
        <f t="shared" si="9"/>
        <v>49</v>
      </c>
      <c r="D29" s="1">
        <f t="shared" si="10"/>
        <v>57</v>
      </c>
      <c r="E29" s="1">
        <f t="shared" si="11"/>
        <v>20</v>
      </c>
      <c r="F29" s="2" t="str">
        <f t="shared" si="12"/>
        <v>ZR220</v>
      </c>
      <c r="G29" s="80" t="s">
        <v>72</v>
      </c>
      <c r="H29" s="116">
        <v>1.5</v>
      </c>
      <c r="I29" s="96">
        <v>4.33</v>
      </c>
      <c r="J29" s="111">
        <f>ZR_R_350!J29+(ZR_R_390!$A$1-ZR_R_350!$A$1)/(ZR_R_420!$A$1-ZR_R_350!$A$1)*(ZR_R_420!J29-ZR_R_350!J29)</f>
        <v>4.8099999999999996</v>
      </c>
      <c r="K29" s="111">
        <f>ZR_R_350!K29+(ZR_R_390!$A$1-ZR_R_350!$A$1)/(ZR_R_420!$A$1-ZR_R_350!$A$1)*(ZR_R_420!K29-ZR_R_350!K29)</f>
        <v>1.5342857142857143</v>
      </c>
      <c r="L29" s="111">
        <f>ZR_R_350!L29+(ZR_R_390!$A$1-ZR_R_350!$A$1)/(ZR_R_420!$A$1-ZR_R_350!$A$1)*(ZR_R_420!L29-ZR_R_350!L29)</f>
        <v>4.9371428571428568</v>
      </c>
      <c r="M29" s="111">
        <f>ZR_R_350!M29+(ZR_R_390!$A$1-ZR_R_350!$A$1)/(ZR_R_420!$A$1-ZR_R_350!$A$1)*(ZR_R_420!M29-ZR_R_350!M29)</f>
        <v>333.45142857142855</v>
      </c>
      <c r="N29" s="111">
        <f>ZR_R_350!N29+(ZR_R_390!$A$1-ZR_R_350!$A$1)/(ZR_R_420!$A$1-ZR_R_350!$A$1)*(ZR_R_420!N29-ZR_R_350!N29)</f>
        <v>27.92</v>
      </c>
      <c r="O29" s="111">
        <f>ZR_R_350!O29+(ZR_R_390!$A$1-ZR_R_350!$A$1)/(ZR_R_420!$A$1-ZR_R_350!$A$1)*(ZR_R_420!O29-ZR_R_350!O29)</f>
        <v>8.2057142857142864</v>
      </c>
      <c r="P29" s="111">
        <f>ZR_R_350!P29+(ZR_R_390!$A$1-ZR_R_350!$A$1)/(ZR_R_420!$A$1-ZR_R_350!$A$1)*(ZR_R_420!P29-ZR_R_350!P29)</f>
        <v>10.05857142857143</v>
      </c>
      <c r="Q29" s="111">
        <f>ZR_R_350!Q29+(ZR_R_390!$A$1-ZR_R_350!$A$1)/(ZR_R_420!$A$1-ZR_R_350!$A$1)*(ZR_R_420!Q29-ZR_R_350!Q29)</f>
        <v>4.9057142857142857</v>
      </c>
      <c r="R29" s="111">
        <f>ZR_R_350!R29+(ZR_R_390!$A$1-ZR_R_350!$A$1)/(ZR_R_420!$A$1-ZR_R_350!$A$1)*(ZR_R_420!R29-ZR_R_350!R29)</f>
        <v>329.08285714285716</v>
      </c>
      <c r="S29" s="111">
        <f>ZR_R_350!S29+(ZR_R_390!$A$1-ZR_R_350!$A$1)/(ZR_R_420!$A$1-ZR_R_350!$A$1)*(ZR_R_420!S29-ZR_R_350!S29)</f>
        <v>28.53142857142857</v>
      </c>
      <c r="T29" s="111">
        <f>ZR_R_350!T29+(ZR_R_390!$A$1-ZR_R_350!$A$1)/(ZR_R_420!$A$1-ZR_R_350!$A$1)*(ZR_R_420!T29-ZR_R_350!T29)</f>
        <v>8.18</v>
      </c>
      <c r="U29" s="111">
        <f>ZR_R_350!U29+(ZR_R_390!$A$1-ZR_R_350!$A$1)/(ZR_R_420!$A$1-ZR_R_350!$A$1)*(ZR_R_420!U29-ZR_R_350!U29)</f>
        <v>11.534285714285714</v>
      </c>
      <c r="V29" s="111">
        <f>ZR_R_350!V29+(ZR_R_390!$A$1-ZR_R_350!$A$1)/(ZR_R_420!$A$1-ZR_R_350!$A$1)*(ZR_R_420!V29-ZR_R_350!V29)</f>
        <v>5.48</v>
      </c>
      <c r="W29" s="111">
        <f>ZR_R_350!W29+(ZR_R_390!$A$1-ZR_R_350!$A$1)/(ZR_R_420!$A$1-ZR_R_350!$A$1)*(ZR_R_420!W29-ZR_R_350!W29)</f>
        <v>29.992857142857144</v>
      </c>
      <c r="X29" s="111">
        <f>ZR_R_350!X29+(ZR_R_390!$A$1-ZR_R_350!$A$1)/(ZR_R_420!$A$1-ZR_R_350!$A$1)*(ZR_R_420!X29-ZR_R_350!X29)</f>
        <v>5.048571428571428</v>
      </c>
      <c r="Y29" s="111">
        <f>ZR_R_350!Y29+(ZR_R_390!$A$1-ZR_R_350!$A$1)/(ZR_R_420!$A$1-ZR_R_350!$A$1)*(ZR_R_420!Y29-ZR_R_350!Y29)</f>
        <v>2.33</v>
      </c>
      <c r="Z29" s="76">
        <f>ZR_R_350!Z29+(ZR_R_390!$A$1-ZR_R_350!$A$1)/(ZR_R_420!$A$1-ZR_R_350!$A$1)*(ZR_R_420!Z29-ZR_R_350!Z29)</f>
        <v>4.66</v>
      </c>
      <c r="AB29" s="217">
        <v>4.33</v>
      </c>
      <c r="AC29" s="218">
        <v>4.8600000000000003</v>
      </c>
      <c r="AD29" s="217">
        <v>1.53</v>
      </c>
      <c r="AE29" s="218">
        <v>4.9400000000000004</v>
      </c>
      <c r="AF29" s="218">
        <v>333.84</v>
      </c>
      <c r="AG29" s="218">
        <v>27.92</v>
      </c>
      <c r="AH29" s="218">
        <v>8.2200000000000006</v>
      </c>
      <c r="AI29" s="218">
        <v>10.25</v>
      </c>
      <c r="AJ29" s="218">
        <v>4.9000000000000004</v>
      </c>
      <c r="AK29" s="218">
        <v>329.08</v>
      </c>
      <c r="AL29" s="218">
        <v>28.53</v>
      </c>
      <c r="AM29" s="218">
        <v>8.19</v>
      </c>
      <c r="AN29" s="218">
        <v>11.4</v>
      </c>
      <c r="AO29" s="218">
        <v>5.48</v>
      </c>
      <c r="AP29" s="218">
        <v>29.71</v>
      </c>
      <c r="AQ29" s="218">
        <v>5.05</v>
      </c>
      <c r="AR29" s="218">
        <v>2.34</v>
      </c>
      <c r="AS29" s="218">
        <v>4.7</v>
      </c>
    </row>
    <row r="30" spans="1:45" ht="15" customHeight="1" thickBot="1" x14ac:dyDescent="0.3">
      <c r="A30" s="72" t="str">
        <f t="shared" si="7"/>
        <v>ZR220x2,0</v>
      </c>
      <c r="B30" s="3" t="str">
        <f t="shared" si="8"/>
        <v>220</v>
      </c>
      <c r="C30" s="3">
        <f t="shared" si="9"/>
        <v>50</v>
      </c>
      <c r="D30" s="3">
        <f t="shared" si="10"/>
        <v>58</v>
      </c>
      <c r="E30" s="3">
        <f t="shared" si="11"/>
        <v>21</v>
      </c>
      <c r="F30" s="4" t="str">
        <f t="shared" si="12"/>
        <v>ZR220</v>
      </c>
      <c r="G30" s="81" t="s">
        <v>73</v>
      </c>
      <c r="H30" s="117">
        <v>2</v>
      </c>
      <c r="I30" s="96">
        <v>5.8</v>
      </c>
      <c r="J30" s="112">
        <f>ZR_R_350!J30+(ZR_R_390!$A$1-ZR_R_350!$A$1)/(ZR_R_420!$A$1-ZR_R_350!$A$1)*(ZR_R_420!J30-ZR_R_350!J30)</f>
        <v>7.0428571428571427</v>
      </c>
      <c r="K30" s="112">
        <f>ZR_R_350!K30+(ZR_R_390!$A$1-ZR_R_350!$A$1)/(ZR_R_420!$A$1-ZR_R_350!$A$1)*(ZR_R_420!K30-ZR_R_350!K30)</f>
        <v>1.5557142857142858</v>
      </c>
      <c r="L30" s="112">
        <f>ZR_R_350!L30+(ZR_R_390!$A$1-ZR_R_350!$A$1)/(ZR_R_420!$A$1-ZR_R_350!$A$1)*(ZR_R_420!L30-ZR_R_350!L30)</f>
        <v>7.0742857142857138</v>
      </c>
      <c r="M30" s="112">
        <f>ZR_R_350!M30+(ZR_R_390!$A$1-ZR_R_350!$A$1)/(ZR_R_420!$A$1-ZR_R_350!$A$1)*(ZR_R_420!M30-ZR_R_350!M30)</f>
        <v>467.30142857142857</v>
      </c>
      <c r="N30" s="112">
        <f>ZR_R_350!N30+(ZR_R_390!$A$1-ZR_R_350!$A$1)/(ZR_R_420!$A$1-ZR_R_350!$A$1)*(ZR_R_420!N30-ZR_R_350!N30)</f>
        <v>40.667142857142856</v>
      </c>
      <c r="O30" s="112">
        <f>ZR_R_350!O30+(ZR_R_390!$A$1-ZR_R_350!$A$1)/(ZR_R_420!$A$1-ZR_R_350!$A$1)*(ZR_R_420!O30-ZR_R_350!O30)</f>
        <v>8.1171428571428574</v>
      </c>
      <c r="P30" s="112">
        <f>ZR_R_350!P30+(ZR_R_390!$A$1-ZR_R_350!$A$1)/(ZR_R_420!$A$1-ZR_R_350!$A$1)*(ZR_R_420!P30-ZR_R_350!P30)</f>
        <v>10.51</v>
      </c>
      <c r="Q30" s="112">
        <f>ZR_R_350!Q30+(ZR_R_390!$A$1-ZR_R_350!$A$1)/(ZR_R_420!$A$1-ZR_R_350!$A$1)*(ZR_R_420!Q30-ZR_R_350!Q30)</f>
        <v>7.0842857142857136</v>
      </c>
      <c r="R30" s="112">
        <f>ZR_R_350!R30+(ZR_R_390!$A$1-ZR_R_350!$A$1)/(ZR_R_420!$A$1-ZR_R_350!$A$1)*(ZR_R_420!R30-ZR_R_350!R30)</f>
        <v>468.82142857142856</v>
      </c>
      <c r="S30" s="112">
        <f>ZR_R_350!S30+(ZR_R_390!$A$1-ZR_R_350!$A$1)/(ZR_R_420!$A$1-ZR_R_350!$A$1)*(ZR_R_420!S30-ZR_R_350!S30)</f>
        <v>42.37</v>
      </c>
      <c r="T30" s="112">
        <f>ZR_R_350!T30+(ZR_R_390!$A$1-ZR_R_350!$A$1)/(ZR_R_420!$A$1-ZR_R_350!$A$1)*(ZR_R_420!T30-ZR_R_350!T30)</f>
        <v>8.1271428571428572</v>
      </c>
      <c r="U30" s="112">
        <f>ZR_R_350!U30+(ZR_R_390!$A$1-ZR_R_350!$A$1)/(ZR_R_420!$A$1-ZR_R_350!$A$1)*(ZR_R_420!U30-ZR_R_350!U30)</f>
        <v>10.994285714285715</v>
      </c>
      <c r="V30" s="112">
        <f>ZR_R_350!V30+(ZR_R_390!$A$1-ZR_R_350!$A$1)/(ZR_R_420!$A$1-ZR_R_350!$A$1)*(ZR_R_420!V30-ZR_R_350!V30)</f>
        <v>7.35</v>
      </c>
      <c r="W30" s="112">
        <f>ZR_R_350!W30+(ZR_R_390!$A$1-ZR_R_350!$A$1)/(ZR_R_420!$A$1-ZR_R_350!$A$1)*(ZR_R_420!W30-ZR_R_350!W30)</f>
        <v>41.88</v>
      </c>
      <c r="X30" s="112">
        <f>ZR_R_350!X30+(ZR_R_390!$A$1-ZR_R_350!$A$1)/(ZR_R_420!$A$1-ZR_R_350!$A$1)*(ZR_R_420!X30-ZR_R_350!X30)</f>
        <v>6.91</v>
      </c>
      <c r="Y30" s="112">
        <f>ZR_R_350!Y30+(ZR_R_390!$A$1-ZR_R_350!$A$1)/(ZR_R_420!$A$1-ZR_R_350!$A$1)*(ZR_R_420!Y30-ZR_R_350!Y30)</f>
        <v>2.38</v>
      </c>
      <c r="Z30" s="77">
        <f>ZR_R_350!Z30+(ZR_R_390!$A$1-ZR_R_350!$A$1)/(ZR_R_420!$A$1-ZR_R_350!$A$1)*(ZR_R_420!Z30-ZR_R_350!Z30)</f>
        <v>4.75</v>
      </c>
      <c r="AB30" s="217">
        <v>5.8</v>
      </c>
      <c r="AC30" s="218">
        <v>7.04</v>
      </c>
      <c r="AD30" s="217">
        <v>1.56</v>
      </c>
      <c r="AE30" s="218">
        <v>7.07</v>
      </c>
      <c r="AF30" s="218">
        <v>467.58</v>
      </c>
      <c r="AG30" s="218">
        <v>40.67</v>
      </c>
      <c r="AH30" s="218">
        <v>8.14</v>
      </c>
      <c r="AI30" s="218">
        <v>10.7</v>
      </c>
      <c r="AJ30" s="218">
        <v>7.08</v>
      </c>
      <c r="AK30" s="218">
        <v>468.86</v>
      </c>
      <c r="AL30" s="218">
        <v>42.37</v>
      </c>
      <c r="AM30" s="218">
        <v>8.1300000000000008</v>
      </c>
      <c r="AN30" s="218">
        <v>10.82</v>
      </c>
      <c r="AO30" s="218">
        <v>7.35</v>
      </c>
      <c r="AP30" s="218">
        <v>41.88</v>
      </c>
      <c r="AQ30" s="218">
        <v>6.91</v>
      </c>
      <c r="AR30" s="218">
        <v>2.38</v>
      </c>
      <c r="AS30" s="218">
        <v>4.75</v>
      </c>
    </row>
    <row r="31" spans="1:45" ht="15" customHeight="1" thickBot="1" x14ac:dyDescent="0.3">
      <c r="A31" s="72" t="str">
        <f t="shared" si="7"/>
        <v>ZR220x2,5</v>
      </c>
      <c r="B31" s="3" t="str">
        <f t="shared" si="8"/>
        <v>220</v>
      </c>
      <c r="C31" s="3">
        <f t="shared" si="9"/>
        <v>51</v>
      </c>
      <c r="D31" s="3">
        <f t="shared" si="10"/>
        <v>59</v>
      </c>
      <c r="E31" s="3">
        <f t="shared" si="11"/>
        <v>22</v>
      </c>
      <c r="F31" s="4" t="str">
        <f t="shared" si="12"/>
        <v>ZR220</v>
      </c>
      <c r="G31" s="81" t="s">
        <v>74</v>
      </c>
      <c r="H31" s="117">
        <v>2.5</v>
      </c>
      <c r="I31" s="96">
        <v>7.29</v>
      </c>
      <c r="J31" s="112">
        <f>ZR_R_350!J31+(ZR_R_390!$A$1-ZR_R_350!$A$1)/(ZR_R_420!$A$1-ZR_R_350!$A$1)*(ZR_R_420!J31-ZR_R_350!J31)</f>
        <v>9.23</v>
      </c>
      <c r="K31" s="112">
        <f>ZR_R_350!K31+(ZR_R_390!$A$1-ZR_R_350!$A$1)/(ZR_R_420!$A$1-ZR_R_350!$A$1)*(ZR_R_420!K31-ZR_R_350!K31)</f>
        <v>1.57</v>
      </c>
      <c r="L31" s="112">
        <f>ZR_R_350!L31+(ZR_R_390!$A$1-ZR_R_350!$A$1)/(ZR_R_420!$A$1-ZR_R_350!$A$1)*(ZR_R_420!L31-ZR_R_350!L31)</f>
        <v>9.23</v>
      </c>
      <c r="M31" s="112">
        <f>ZR_R_350!M31+(ZR_R_390!$A$1-ZR_R_350!$A$1)/(ZR_R_420!$A$1-ZR_R_350!$A$1)*(ZR_R_420!M31-ZR_R_350!M31)</f>
        <v>600.6</v>
      </c>
      <c r="N31" s="112">
        <f>ZR_R_350!N31+(ZR_R_390!$A$1-ZR_R_350!$A$1)/(ZR_R_420!$A$1-ZR_R_350!$A$1)*(ZR_R_420!N31-ZR_R_350!N31)</f>
        <v>53.45</v>
      </c>
      <c r="O31" s="112">
        <f>ZR_R_350!O31+(ZR_R_390!$A$1-ZR_R_350!$A$1)/(ZR_R_420!$A$1-ZR_R_350!$A$1)*(ZR_R_420!O31-ZR_R_350!O31)</f>
        <v>8.06</v>
      </c>
      <c r="P31" s="112">
        <f>ZR_R_350!P31+(ZR_R_390!$A$1-ZR_R_350!$A$1)/(ZR_R_420!$A$1-ZR_R_350!$A$1)*(ZR_R_420!P31-ZR_R_350!P31)</f>
        <v>10.76</v>
      </c>
      <c r="Q31" s="112">
        <f>ZR_R_350!Q31+(ZR_R_390!$A$1-ZR_R_350!$A$1)/(ZR_R_420!$A$1-ZR_R_350!$A$1)*(ZR_R_420!Q31-ZR_R_350!Q31)</f>
        <v>9.23</v>
      </c>
      <c r="R31" s="112">
        <f>ZR_R_350!R31+(ZR_R_390!$A$1-ZR_R_350!$A$1)/(ZR_R_420!$A$1-ZR_R_350!$A$1)*(ZR_R_420!R31-ZR_R_350!R31)</f>
        <v>600.6</v>
      </c>
      <c r="S31" s="112">
        <f>ZR_R_350!S31+(ZR_R_390!$A$1-ZR_R_350!$A$1)/(ZR_R_420!$A$1-ZR_R_350!$A$1)*(ZR_R_420!S31-ZR_R_350!S31)</f>
        <v>53.45</v>
      </c>
      <c r="T31" s="112">
        <f>ZR_R_350!T31+(ZR_R_390!$A$1-ZR_R_350!$A$1)/(ZR_R_420!$A$1-ZR_R_350!$A$1)*(ZR_R_420!T31-ZR_R_350!T31)</f>
        <v>8.06</v>
      </c>
      <c r="U31" s="112">
        <f>ZR_R_350!U31+(ZR_R_390!$A$1-ZR_R_350!$A$1)/(ZR_R_420!$A$1-ZR_R_350!$A$1)*(ZR_R_420!U31-ZR_R_350!U31)</f>
        <v>10.76</v>
      </c>
      <c r="V31" s="112">
        <f>ZR_R_350!V31+(ZR_R_390!$A$1-ZR_R_350!$A$1)/(ZR_R_420!$A$1-ZR_R_350!$A$1)*(ZR_R_420!V31-ZR_R_350!V31)</f>
        <v>9.23</v>
      </c>
      <c r="W31" s="112">
        <f>ZR_R_350!W31+(ZR_R_390!$A$1-ZR_R_350!$A$1)/(ZR_R_420!$A$1-ZR_R_350!$A$1)*(ZR_R_420!W31-ZR_R_350!W31)</f>
        <v>54.43</v>
      </c>
      <c r="X31" s="112">
        <f>ZR_R_350!X31+(ZR_R_390!$A$1-ZR_R_350!$A$1)/(ZR_R_420!$A$1-ZR_R_350!$A$1)*(ZR_R_420!X31-ZR_R_350!X31)</f>
        <v>8.81</v>
      </c>
      <c r="Y31" s="112">
        <f>ZR_R_350!Y31+(ZR_R_390!$A$1-ZR_R_350!$A$1)/(ZR_R_420!$A$1-ZR_R_350!$A$1)*(ZR_R_420!Y31-ZR_R_350!Y31)</f>
        <v>2.42</v>
      </c>
      <c r="Z31" s="77">
        <f>ZR_R_350!Z31+(ZR_R_390!$A$1-ZR_R_350!$A$1)/(ZR_R_420!$A$1-ZR_R_350!$A$1)*(ZR_R_420!Z31-ZR_R_350!Z31)</f>
        <v>4.82</v>
      </c>
      <c r="AB31" s="217">
        <v>7.29</v>
      </c>
      <c r="AC31" s="218">
        <v>9.23</v>
      </c>
      <c r="AD31" s="217">
        <v>1.57</v>
      </c>
      <c r="AE31" s="218">
        <v>9.23</v>
      </c>
      <c r="AF31" s="218">
        <v>600.6</v>
      </c>
      <c r="AG31" s="218">
        <v>53.45</v>
      </c>
      <c r="AH31" s="218">
        <v>8.06</v>
      </c>
      <c r="AI31" s="218">
        <v>10.76</v>
      </c>
      <c r="AJ31" s="218">
        <v>9.23</v>
      </c>
      <c r="AK31" s="218">
        <v>600.6</v>
      </c>
      <c r="AL31" s="218">
        <v>53.45</v>
      </c>
      <c r="AM31" s="218">
        <v>8.06</v>
      </c>
      <c r="AN31" s="218">
        <v>10.76</v>
      </c>
      <c r="AO31" s="218">
        <v>9.23</v>
      </c>
      <c r="AP31" s="218">
        <v>54.43</v>
      </c>
      <c r="AQ31" s="218">
        <v>8.81</v>
      </c>
      <c r="AR31" s="218">
        <v>2.42</v>
      </c>
      <c r="AS31" s="218">
        <v>4.82</v>
      </c>
    </row>
    <row r="32" spans="1:45" ht="15" customHeight="1" thickBot="1" x14ac:dyDescent="0.3">
      <c r="A32" s="126" t="str">
        <f t="shared" si="7"/>
        <v>ZR220x3,0</v>
      </c>
      <c r="B32" s="14" t="str">
        <f t="shared" si="8"/>
        <v>220</v>
      </c>
      <c r="C32" s="14">
        <f t="shared" si="9"/>
        <v>52</v>
      </c>
      <c r="D32" s="14">
        <f t="shared" si="10"/>
        <v>60</v>
      </c>
      <c r="E32" s="14">
        <f t="shared" si="11"/>
        <v>23</v>
      </c>
      <c r="F32" s="7" t="str">
        <f t="shared" si="12"/>
        <v>ZR220</v>
      </c>
      <c r="G32" s="151" t="s">
        <v>75</v>
      </c>
      <c r="H32" s="152">
        <v>3</v>
      </c>
      <c r="I32" s="98">
        <v>8.7899999999999991</v>
      </c>
      <c r="J32" s="199">
        <f>ZR_R_350!J32+(ZR_R_390!$A$1-ZR_R_350!$A$1)/(ZR_R_420!$A$1-ZR_R_350!$A$1)*(ZR_R_420!J32-ZR_R_350!J32)</f>
        <v>11.12</v>
      </c>
      <c r="K32" s="199">
        <f>ZR_R_350!K32+(ZR_R_390!$A$1-ZR_R_350!$A$1)/(ZR_R_420!$A$1-ZR_R_350!$A$1)*(ZR_R_420!K32-ZR_R_350!K32)</f>
        <v>1.6</v>
      </c>
      <c r="L32" s="199">
        <f>ZR_R_350!L32+(ZR_R_390!$A$1-ZR_R_350!$A$1)/(ZR_R_420!$A$1-ZR_R_350!$A$1)*(ZR_R_420!L32-ZR_R_350!L32)</f>
        <v>11.12</v>
      </c>
      <c r="M32" s="199">
        <f>ZR_R_350!M32+(ZR_R_390!$A$1-ZR_R_350!$A$1)/(ZR_R_420!$A$1-ZR_R_350!$A$1)*(ZR_R_420!M32-ZR_R_350!M32)</f>
        <v>722.26</v>
      </c>
      <c r="N32" s="199">
        <f>ZR_R_350!N32+(ZR_R_390!$A$1-ZR_R_350!$A$1)/(ZR_R_420!$A$1-ZR_R_350!$A$1)*(ZR_R_420!N32-ZR_R_350!N32)</f>
        <v>64.290000000000006</v>
      </c>
      <c r="O32" s="199">
        <f>ZR_R_350!O32+(ZR_R_390!$A$1-ZR_R_350!$A$1)/(ZR_R_420!$A$1-ZR_R_350!$A$1)*(ZR_R_420!O32-ZR_R_350!O32)</f>
        <v>8.0500000000000007</v>
      </c>
      <c r="P32" s="199">
        <f>ZR_R_350!P32+(ZR_R_390!$A$1-ZR_R_350!$A$1)/(ZR_R_420!$A$1-ZR_R_350!$A$1)*(ZR_R_420!P32-ZR_R_350!P32)</f>
        <v>10.77</v>
      </c>
      <c r="Q32" s="199">
        <f>ZR_R_350!Q32+(ZR_R_390!$A$1-ZR_R_350!$A$1)/(ZR_R_420!$A$1-ZR_R_350!$A$1)*(ZR_R_420!Q32-ZR_R_350!Q32)</f>
        <v>11.12</v>
      </c>
      <c r="R32" s="199">
        <f>ZR_R_350!R32+(ZR_R_390!$A$1-ZR_R_350!$A$1)/(ZR_R_420!$A$1-ZR_R_350!$A$1)*(ZR_R_420!R32-ZR_R_350!R32)</f>
        <v>722.26</v>
      </c>
      <c r="S32" s="199">
        <f>ZR_R_350!S32+(ZR_R_390!$A$1-ZR_R_350!$A$1)/(ZR_R_420!$A$1-ZR_R_350!$A$1)*(ZR_R_420!S32-ZR_R_350!S32)</f>
        <v>64.290000000000006</v>
      </c>
      <c r="T32" s="199">
        <f>ZR_R_350!T32+(ZR_R_390!$A$1-ZR_R_350!$A$1)/(ZR_R_420!$A$1-ZR_R_350!$A$1)*(ZR_R_420!T32-ZR_R_350!T32)</f>
        <v>8.0500000000000007</v>
      </c>
      <c r="U32" s="199">
        <f>ZR_R_350!U32+(ZR_R_390!$A$1-ZR_R_350!$A$1)/(ZR_R_420!$A$1-ZR_R_350!$A$1)*(ZR_R_420!U32-ZR_R_350!U32)</f>
        <v>10.77</v>
      </c>
      <c r="V32" s="199">
        <f>ZR_R_350!V32+(ZR_R_390!$A$1-ZR_R_350!$A$1)/(ZR_R_420!$A$1-ZR_R_350!$A$1)*(ZR_R_420!V32-ZR_R_350!V32)</f>
        <v>11.12</v>
      </c>
      <c r="W32" s="199">
        <f>ZR_R_350!W32+(ZR_R_390!$A$1-ZR_R_350!$A$1)/(ZR_R_420!$A$1-ZR_R_350!$A$1)*(ZR_R_420!W32-ZR_R_350!W32)</f>
        <v>67.88</v>
      </c>
      <c r="X32" s="199">
        <f>ZR_R_350!X32+(ZR_R_390!$A$1-ZR_R_350!$A$1)/(ZR_R_420!$A$1-ZR_R_350!$A$1)*(ZR_R_420!X32-ZR_R_350!X32)</f>
        <v>10.77</v>
      </c>
      <c r="Y32" s="199">
        <f>ZR_R_350!Y32+(ZR_R_390!$A$1-ZR_R_350!$A$1)/(ZR_R_420!$A$1-ZR_R_350!$A$1)*(ZR_R_420!Y32-ZR_R_350!Y32)</f>
        <v>2.4700000000000002</v>
      </c>
      <c r="Z32" s="210">
        <f>ZR_R_350!Z32+(ZR_R_390!$A$1-ZR_R_350!$A$1)/(ZR_R_420!$A$1-ZR_R_350!$A$1)*(ZR_R_420!Z32-ZR_R_350!Z32)</f>
        <v>4.9000000000000004</v>
      </c>
      <c r="AB32" s="217">
        <v>8.7899999999999991</v>
      </c>
      <c r="AC32" s="218">
        <v>11.11</v>
      </c>
      <c r="AD32" s="217">
        <v>1.6</v>
      </c>
      <c r="AE32" s="218">
        <v>11.12</v>
      </c>
      <c r="AF32" s="218">
        <v>722.26</v>
      </c>
      <c r="AG32" s="218">
        <v>64.290000000000006</v>
      </c>
      <c r="AH32" s="218">
        <v>8.0500000000000007</v>
      </c>
      <c r="AI32" s="218">
        <v>10.77</v>
      </c>
      <c r="AJ32" s="218">
        <v>11.12</v>
      </c>
      <c r="AK32" s="218">
        <v>722.26</v>
      </c>
      <c r="AL32" s="218">
        <v>64.290000000000006</v>
      </c>
      <c r="AM32" s="218">
        <v>8.0500000000000007</v>
      </c>
      <c r="AN32" s="218">
        <v>10.77</v>
      </c>
      <c r="AO32" s="218">
        <v>11.12</v>
      </c>
      <c r="AP32" s="218">
        <v>67.78</v>
      </c>
      <c r="AQ32" s="218">
        <v>10.77</v>
      </c>
      <c r="AR32" s="218">
        <v>2.4700000000000002</v>
      </c>
      <c r="AS32" s="218">
        <v>4.9000000000000004</v>
      </c>
    </row>
    <row r="33" spans="1:45" ht="15" customHeight="1" thickBot="1" x14ac:dyDescent="0.3">
      <c r="A33" s="71" t="str">
        <f t="shared" si="7"/>
        <v>ZR250x1,0</v>
      </c>
      <c r="B33" s="1" t="str">
        <f t="shared" si="8"/>
        <v>250</v>
      </c>
      <c r="C33" s="1">
        <f t="shared" si="9"/>
        <v>63</v>
      </c>
      <c r="D33" s="1">
        <f t="shared" si="10"/>
        <v>73</v>
      </c>
      <c r="E33" s="1">
        <f t="shared" si="11"/>
        <v>20</v>
      </c>
      <c r="F33" s="2" t="str">
        <f t="shared" si="12"/>
        <v>ZR250</v>
      </c>
      <c r="G33" s="80" t="s">
        <v>76</v>
      </c>
      <c r="H33" s="116">
        <v>1</v>
      </c>
      <c r="I33" s="94">
        <v>3.49</v>
      </c>
      <c r="J33" s="111">
        <f>ZR_R_350!J33+(ZR_R_390!$A$1-ZR_R_350!$A$1)/(ZR_R_420!$A$1-ZR_R_350!$A$1)*(ZR_R_420!J33-ZR_R_350!J33)</f>
        <v>2.71</v>
      </c>
      <c r="K33" s="111">
        <f>ZR_R_350!K33+(ZR_R_390!$A$1-ZR_R_350!$A$1)/(ZR_R_420!$A$1-ZR_R_350!$A$1)*(ZR_R_420!K33-ZR_R_350!K33)</f>
        <v>2.0385714285714283</v>
      </c>
      <c r="L33" s="111">
        <f>ZR_R_350!L33+(ZR_R_390!$A$1-ZR_R_350!$A$1)/(ZR_R_420!$A$1-ZR_R_350!$A$1)*(ZR_R_420!L33-ZR_R_350!L33)</f>
        <v>3.68</v>
      </c>
      <c r="M33" s="111">
        <f>ZR_R_350!M33+(ZR_R_390!$A$1-ZR_R_350!$A$1)/(ZR_R_420!$A$1-ZR_R_350!$A$1)*(ZR_R_420!M33-ZR_R_350!M33)</f>
        <v>299.64</v>
      </c>
      <c r="N33" s="111">
        <f>ZR_R_350!N33+(ZR_R_390!$A$1-ZR_R_350!$A$1)/(ZR_R_420!$A$1-ZR_R_350!$A$1)*(ZR_R_420!N33-ZR_R_350!N33)</f>
        <v>20.705714285714286</v>
      </c>
      <c r="O33" s="111">
        <f>ZR_R_350!O33+(ZR_R_390!$A$1-ZR_R_350!$A$1)/(ZR_R_420!$A$1-ZR_R_350!$A$1)*(ZR_R_420!O33-ZR_R_350!O33)</f>
        <v>9.0157142857142869</v>
      </c>
      <c r="P33" s="111">
        <f>ZR_R_350!P33+(ZR_R_390!$A$1-ZR_R_350!$A$1)/(ZR_R_420!$A$1-ZR_R_350!$A$1)*(ZR_R_420!P33-ZR_R_350!P33)</f>
        <v>10.53</v>
      </c>
      <c r="Q33" s="111">
        <f>ZR_R_350!Q33+(ZR_R_390!$A$1-ZR_R_350!$A$1)/(ZR_R_420!$A$1-ZR_R_350!$A$1)*(ZR_R_420!Q33-ZR_R_350!Q33)</f>
        <v>3.59</v>
      </c>
      <c r="R33" s="111">
        <f>ZR_R_350!R33+(ZR_R_390!$A$1-ZR_R_350!$A$1)/(ZR_R_420!$A$1-ZR_R_350!$A$1)*(ZR_R_420!R33-ZR_R_350!R33)</f>
        <v>297.59571428571428</v>
      </c>
      <c r="S33" s="111">
        <f>ZR_R_350!S33+(ZR_R_390!$A$1-ZR_R_350!$A$1)/(ZR_R_420!$A$1-ZR_R_350!$A$1)*(ZR_R_420!S33-ZR_R_350!S33)</f>
        <v>21.198571428571427</v>
      </c>
      <c r="T33" s="111">
        <f>ZR_R_350!T33+(ZR_R_390!$A$1-ZR_R_350!$A$1)/(ZR_R_420!$A$1-ZR_R_350!$A$1)*(ZR_R_420!T33-ZR_R_350!T33)</f>
        <v>9.0914285714285707</v>
      </c>
      <c r="U33" s="111">
        <f>ZR_R_350!U33+(ZR_R_390!$A$1-ZR_R_350!$A$1)/(ZR_R_420!$A$1-ZR_R_350!$A$1)*(ZR_R_420!U33-ZR_R_350!U33)</f>
        <v>14.035714285714286</v>
      </c>
      <c r="V33" s="111">
        <f>ZR_R_350!V33+(ZR_R_390!$A$1-ZR_R_350!$A$1)/(ZR_R_420!$A$1-ZR_R_350!$A$1)*(ZR_R_420!V33-ZR_R_350!V33)</f>
        <v>3.9171428571428573</v>
      </c>
      <c r="W33" s="111">
        <f>ZR_R_350!W33+(ZR_R_390!$A$1-ZR_R_350!$A$1)/(ZR_R_420!$A$1-ZR_R_350!$A$1)*(ZR_R_420!W33-ZR_R_350!W33)</f>
        <v>30.008571428571429</v>
      </c>
      <c r="X33" s="111">
        <f>ZR_R_350!X33+(ZR_R_390!$A$1-ZR_R_350!$A$1)/(ZR_R_420!$A$1-ZR_R_350!$A$1)*(ZR_R_420!X33-ZR_R_350!X33)</f>
        <v>3.8928571428571428</v>
      </c>
      <c r="Y33" s="111">
        <f>ZR_R_350!Y33+(ZR_R_390!$A$1-ZR_R_350!$A$1)/(ZR_R_420!$A$1-ZR_R_350!$A$1)*(ZR_R_420!Y33-ZR_R_350!Y33)</f>
        <v>2.7628571428571429</v>
      </c>
      <c r="Z33" s="76">
        <f>ZR_R_350!Z33+(ZR_R_390!$A$1-ZR_R_350!$A$1)/(ZR_R_420!$A$1-ZR_R_350!$A$1)*(ZR_R_420!Z33-ZR_R_350!Z33)</f>
        <v>5.8014285714285716</v>
      </c>
      <c r="AB33" s="220">
        <v>3.49</v>
      </c>
      <c r="AC33" s="219">
        <v>2.61</v>
      </c>
      <c r="AD33" s="220">
        <v>2.04</v>
      </c>
      <c r="AE33" s="219">
        <v>3.68</v>
      </c>
      <c r="AF33" s="219">
        <v>299.45</v>
      </c>
      <c r="AG33" s="219">
        <v>20.69</v>
      </c>
      <c r="AH33" s="219">
        <v>9.01</v>
      </c>
      <c r="AI33" s="219">
        <v>10.53</v>
      </c>
      <c r="AJ33" s="219">
        <v>3.59</v>
      </c>
      <c r="AK33" s="219">
        <v>297.39999999999998</v>
      </c>
      <c r="AL33" s="219">
        <v>21.18</v>
      </c>
      <c r="AM33" s="219">
        <v>9.09</v>
      </c>
      <c r="AN33" s="219">
        <v>14.04</v>
      </c>
      <c r="AO33" s="219">
        <v>3.91</v>
      </c>
      <c r="AP33" s="219">
        <v>29.98</v>
      </c>
      <c r="AQ33" s="219">
        <v>3.89</v>
      </c>
      <c r="AR33" s="219">
        <v>2.76</v>
      </c>
      <c r="AS33" s="219">
        <v>5.8</v>
      </c>
    </row>
    <row r="34" spans="1:45" ht="15" customHeight="1" thickBot="1" x14ac:dyDescent="0.3">
      <c r="A34" s="72" t="str">
        <f t="shared" si="7"/>
        <v>ZR250x1,2</v>
      </c>
      <c r="B34" s="3" t="str">
        <f t="shared" si="8"/>
        <v>250</v>
      </c>
      <c r="C34" s="3">
        <f t="shared" si="9"/>
        <v>63</v>
      </c>
      <c r="D34" s="3">
        <f t="shared" si="10"/>
        <v>73</v>
      </c>
      <c r="E34" s="3">
        <f t="shared" si="11"/>
        <v>20</v>
      </c>
      <c r="F34" s="4" t="str">
        <f t="shared" si="12"/>
        <v>ZR250</v>
      </c>
      <c r="G34" s="81" t="s">
        <v>76</v>
      </c>
      <c r="H34" s="117">
        <v>1.2</v>
      </c>
      <c r="I34" s="96">
        <v>4.18</v>
      </c>
      <c r="J34" s="112">
        <f>ZR_R_350!J34+(ZR_R_390!$A$1-ZR_R_350!$A$1)/(ZR_R_420!$A$1-ZR_R_350!$A$1)*(ZR_R_420!J34-ZR_R_350!J34)</f>
        <v>3.6014285714285714</v>
      </c>
      <c r="K34" s="112">
        <f>ZR_R_350!K34+(ZR_R_390!$A$1-ZR_R_350!$A$1)/(ZR_R_420!$A$1-ZR_R_350!$A$1)*(ZR_R_420!K34-ZR_R_350!K34)</f>
        <v>2.0542857142857143</v>
      </c>
      <c r="L34" s="112">
        <f>ZR_R_350!L34+(ZR_R_390!$A$1-ZR_R_350!$A$1)/(ZR_R_420!$A$1-ZR_R_350!$A$1)*(ZR_R_420!L34-ZR_R_350!L34)</f>
        <v>4.5785714285714283</v>
      </c>
      <c r="M34" s="112">
        <f>ZR_R_350!M34+(ZR_R_390!$A$1-ZR_R_350!$A$1)/(ZR_R_420!$A$1-ZR_R_350!$A$1)*(ZR_R_420!M34-ZR_R_350!M34)</f>
        <v>381.96142857142854</v>
      </c>
      <c r="N34" s="112">
        <f>ZR_R_350!N34+(ZR_R_390!$A$1-ZR_R_350!$A$1)/(ZR_R_420!$A$1-ZR_R_350!$A$1)*(ZR_R_420!N34-ZR_R_350!N34)</f>
        <v>27.232857142857142</v>
      </c>
      <c r="O34" s="112">
        <f>ZR_R_350!O34+(ZR_R_390!$A$1-ZR_R_350!$A$1)/(ZR_R_420!$A$1-ZR_R_350!$A$1)*(ZR_R_420!O34-ZR_R_350!O34)</f>
        <v>9.1257142857142863</v>
      </c>
      <c r="P34" s="112">
        <f>ZR_R_350!P34+(ZR_R_390!$A$1-ZR_R_350!$A$1)/(ZR_R_420!$A$1-ZR_R_350!$A$1)*(ZR_R_420!P34-ZR_R_350!P34)</f>
        <v>10.974285714285715</v>
      </c>
      <c r="Q34" s="112">
        <f>ZR_R_350!Q34+(ZR_R_390!$A$1-ZR_R_350!$A$1)/(ZR_R_420!$A$1-ZR_R_350!$A$1)*(ZR_R_420!Q34-ZR_R_350!Q34)</f>
        <v>4.4785714285714286</v>
      </c>
      <c r="R34" s="112">
        <f>ZR_R_350!R34+(ZR_R_390!$A$1-ZR_R_350!$A$1)/(ZR_R_420!$A$1-ZR_R_350!$A$1)*(ZR_R_420!R34-ZR_R_350!R34)</f>
        <v>378.3</v>
      </c>
      <c r="S34" s="112">
        <f>ZR_R_350!S34+(ZR_R_390!$A$1-ZR_R_350!$A$1)/(ZR_R_420!$A$1-ZR_R_350!$A$1)*(ZR_R_420!S34-ZR_R_350!S34)</f>
        <v>27.848571428571429</v>
      </c>
      <c r="T34" s="112">
        <f>ZR_R_350!T34+(ZR_R_390!$A$1-ZR_R_350!$A$1)/(ZR_R_420!$A$1-ZR_R_350!$A$1)*(ZR_R_420!T34-ZR_R_350!T34)</f>
        <v>9.1814285714285724</v>
      </c>
      <c r="U34" s="112">
        <f>ZR_R_350!U34+(ZR_R_390!$A$1-ZR_R_350!$A$1)/(ZR_R_420!$A$1-ZR_R_350!$A$1)*(ZR_R_420!U34-ZR_R_350!U34)</f>
        <v>13.585714285714285</v>
      </c>
      <c r="V34" s="112">
        <f>ZR_R_350!V34+(ZR_R_390!$A$1-ZR_R_350!$A$1)/(ZR_R_420!$A$1-ZR_R_350!$A$1)*(ZR_R_420!V34-ZR_R_350!V34)</f>
        <v>4.7814285714285711</v>
      </c>
      <c r="W34" s="112">
        <f>ZR_R_350!W34+(ZR_R_390!$A$1-ZR_R_350!$A$1)/(ZR_R_420!$A$1-ZR_R_350!$A$1)*(ZR_R_420!W34-ZR_R_350!W34)</f>
        <v>38.33</v>
      </c>
      <c r="X34" s="112">
        <f>ZR_R_350!X34+(ZR_R_390!$A$1-ZR_R_350!$A$1)/(ZR_R_420!$A$1-ZR_R_350!$A$1)*(ZR_R_420!X34-ZR_R_350!X34)</f>
        <v>5.05</v>
      </c>
      <c r="Y34" s="112">
        <f>ZR_R_350!Y34+(ZR_R_390!$A$1-ZR_R_350!$A$1)/(ZR_R_420!$A$1-ZR_R_350!$A$1)*(ZR_R_420!Y34-ZR_R_350!Y34)</f>
        <v>2.822857142857143</v>
      </c>
      <c r="Z34" s="77">
        <f>ZR_R_350!Z34+(ZR_R_390!$A$1-ZR_R_350!$A$1)/(ZR_R_420!$A$1-ZR_R_350!$A$1)*(ZR_R_420!Z34-ZR_R_350!Z34)</f>
        <v>5.8914285714285715</v>
      </c>
      <c r="AB34" s="220">
        <v>4.18</v>
      </c>
      <c r="AC34" s="219">
        <v>3.42</v>
      </c>
      <c r="AD34" s="220">
        <v>2.06</v>
      </c>
      <c r="AE34" s="219">
        <v>4.57</v>
      </c>
      <c r="AF34" s="219">
        <v>381.68</v>
      </c>
      <c r="AG34" s="219">
        <v>27.2</v>
      </c>
      <c r="AH34" s="219">
        <v>9.1300000000000008</v>
      </c>
      <c r="AI34" s="219">
        <v>10.97</v>
      </c>
      <c r="AJ34" s="219">
        <v>4.4800000000000004</v>
      </c>
      <c r="AK34" s="219">
        <v>377.99</v>
      </c>
      <c r="AL34" s="219">
        <v>27.81</v>
      </c>
      <c r="AM34" s="219">
        <v>9.18</v>
      </c>
      <c r="AN34" s="219">
        <v>13.59</v>
      </c>
      <c r="AO34" s="219">
        <v>4.78</v>
      </c>
      <c r="AP34" s="219">
        <v>38.299999999999997</v>
      </c>
      <c r="AQ34" s="219">
        <v>5.04</v>
      </c>
      <c r="AR34" s="219">
        <v>2.82</v>
      </c>
      <c r="AS34" s="219">
        <v>5.89</v>
      </c>
    </row>
    <row r="35" spans="1:45" ht="15" customHeight="1" thickBot="1" x14ac:dyDescent="0.3">
      <c r="A35" s="72" t="str">
        <f t="shared" si="7"/>
        <v>ZR250x2,0</v>
      </c>
      <c r="B35" s="3" t="str">
        <f t="shared" si="8"/>
        <v>250</v>
      </c>
      <c r="C35" s="3">
        <f t="shared" si="9"/>
        <v>63</v>
      </c>
      <c r="D35" s="3">
        <f t="shared" si="10"/>
        <v>73</v>
      </c>
      <c r="E35" s="3">
        <f t="shared" si="11"/>
        <v>20</v>
      </c>
      <c r="F35" s="4" t="str">
        <f t="shared" si="12"/>
        <v>ZR250</v>
      </c>
      <c r="G35" s="81" t="s">
        <v>76</v>
      </c>
      <c r="H35" s="117">
        <v>2</v>
      </c>
      <c r="I35" s="96">
        <v>6.68</v>
      </c>
      <c r="J35" s="112">
        <f>ZR_R_350!J35+(ZR_R_390!$A$1-ZR_R_350!$A$1)/(ZR_R_420!$A$1-ZR_R_350!$A$1)*(ZR_R_420!J35-ZR_R_350!J35)</f>
        <v>7.6257142857142854</v>
      </c>
      <c r="K35" s="112">
        <f>ZR_R_350!K35+(ZR_R_390!$A$1-ZR_R_350!$A$1)/(ZR_R_420!$A$1-ZR_R_350!$A$1)*(ZR_R_420!K35-ZR_R_350!K35)</f>
        <v>1.9971428571428571</v>
      </c>
      <c r="L35" s="112">
        <f>ZR_R_350!L35+(ZR_R_390!$A$1-ZR_R_350!$A$1)/(ZR_R_420!$A$1-ZR_R_350!$A$1)*(ZR_R_420!L35-ZR_R_350!L35)</f>
        <v>7.902857142857143</v>
      </c>
      <c r="M35" s="112">
        <f>ZR_R_350!M35+(ZR_R_390!$A$1-ZR_R_350!$A$1)/(ZR_R_420!$A$1-ZR_R_350!$A$1)*(ZR_R_420!M35-ZR_R_350!M35)</f>
        <v>701.82142857142856</v>
      </c>
      <c r="N35" s="112">
        <f>ZR_R_350!N35+(ZR_R_390!$A$1-ZR_R_350!$A$1)/(ZR_R_420!$A$1-ZR_R_350!$A$1)*(ZR_R_420!N35-ZR_R_350!N35)</f>
        <v>52.71</v>
      </c>
      <c r="O35" s="112">
        <f>ZR_R_350!O35+(ZR_R_390!$A$1-ZR_R_350!$A$1)/(ZR_R_420!$A$1-ZR_R_350!$A$1)*(ZR_R_420!O35-ZR_R_350!O35)</f>
        <v>9.4171428571428564</v>
      </c>
      <c r="P35" s="112">
        <f>ZR_R_350!P35+(ZR_R_390!$A$1-ZR_R_350!$A$1)/(ZR_R_420!$A$1-ZR_R_350!$A$1)*(ZR_R_420!P35-ZR_R_350!P35)</f>
        <v>11.682857142857141</v>
      </c>
      <c r="Q35" s="112">
        <f>ZR_R_350!Q35+(ZR_R_390!$A$1-ZR_R_350!$A$1)/(ZR_R_420!$A$1-ZR_R_350!$A$1)*(ZR_R_420!Q35-ZR_R_350!Q35)</f>
        <v>7.8457142857142852</v>
      </c>
      <c r="R35" s="112">
        <f>ZR_R_350!R35+(ZR_R_390!$A$1-ZR_R_350!$A$1)/(ZR_R_420!$A$1-ZR_R_350!$A$1)*(ZR_R_420!R35-ZR_R_350!R35)</f>
        <v>691.84428571428577</v>
      </c>
      <c r="S35" s="112">
        <f>ZR_R_350!S35+(ZR_R_390!$A$1-ZR_R_350!$A$1)/(ZR_R_420!$A$1-ZR_R_350!$A$1)*(ZR_R_420!S35-ZR_R_350!S35)</f>
        <v>53.972857142857144</v>
      </c>
      <c r="T35" s="112">
        <f>ZR_R_350!T35+(ZR_R_390!$A$1-ZR_R_350!$A$1)/(ZR_R_420!$A$1-ZR_R_350!$A$1)*(ZR_R_420!T35-ZR_R_350!T35)</f>
        <v>9.3800000000000008</v>
      </c>
      <c r="U35" s="112">
        <f>ZR_R_350!U35+(ZR_R_390!$A$1-ZR_R_350!$A$1)/(ZR_R_420!$A$1-ZR_R_350!$A$1)*(ZR_R_420!U35-ZR_R_350!U35)</f>
        <v>12.821428571428571</v>
      </c>
      <c r="V35" s="112">
        <f>ZR_R_350!V35+(ZR_R_390!$A$1-ZR_R_350!$A$1)/(ZR_R_420!$A$1-ZR_R_350!$A$1)*(ZR_R_420!V35-ZR_R_350!V35)</f>
        <v>8.4700000000000006</v>
      </c>
      <c r="W35" s="112">
        <f>ZR_R_350!W35+(ZR_R_390!$A$1-ZR_R_350!$A$1)/(ZR_R_420!$A$1-ZR_R_350!$A$1)*(ZR_R_420!W35-ZR_R_350!W35)</f>
        <v>72.02</v>
      </c>
      <c r="X35" s="112">
        <f>ZR_R_350!X35+(ZR_R_390!$A$1-ZR_R_350!$A$1)/(ZR_R_420!$A$1-ZR_R_350!$A$1)*(ZR_R_420!X35-ZR_R_350!X35)</f>
        <v>9.64</v>
      </c>
      <c r="Y35" s="112">
        <f>ZR_R_350!Y35+(ZR_R_390!$A$1-ZR_R_350!$A$1)/(ZR_R_420!$A$1-ZR_R_350!$A$1)*(ZR_R_420!Y35-ZR_R_350!Y35)</f>
        <v>2.91</v>
      </c>
      <c r="Z35" s="77">
        <f>ZR_R_350!Z35+(ZR_R_390!$A$1-ZR_R_350!$A$1)/(ZR_R_420!$A$1-ZR_R_350!$A$1)*(ZR_R_420!Z35-ZR_R_350!Z35)</f>
        <v>6.13</v>
      </c>
      <c r="AB35" s="217">
        <v>6.68</v>
      </c>
      <c r="AC35" s="217">
        <v>7.73</v>
      </c>
      <c r="AD35" s="217">
        <v>1.87</v>
      </c>
      <c r="AE35" s="218">
        <v>7.98</v>
      </c>
      <c r="AF35" s="218">
        <v>701.8</v>
      </c>
      <c r="AG35" s="218">
        <v>52.71</v>
      </c>
      <c r="AH35" s="218">
        <v>9.4499999999999993</v>
      </c>
      <c r="AI35" s="218">
        <v>11.89</v>
      </c>
      <c r="AJ35" s="218">
        <v>7.96</v>
      </c>
      <c r="AK35" s="218">
        <v>691.84</v>
      </c>
      <c r="AL35" s="218">
        <v>55.1</v>
      </c>
      <c r="AM35" s="218">
        <v>9.41</v>
      </c>
      <c r="AN35" s="218">
        <v>12.79</v>
      </c>
      <c r="AO35" s="218">
        <v>8.4700000000000006</v>
      </c>
      <c r="AP35" s="218">
        <v>72.02</v>
      </c>
      <c r="AQ35" s="218">
        <v>9.64</v>
      </c>
      <c r="AR35" s="218">
        <v>2.91</v>
      </c>
      <c r="AS35" s="218">
        <v>6.18</v>
      </c>
    </row>
    <row r="36" spans="1:45" ht="15" customHeight="1" thickBot="1" x14ac:dyDescent="0.3">
      <c r="A36" s="72" t="str">
        <f t="shared" si="7"/>
        <v>ZR250x2,5</v>
      </c>
      <c r="B36" s="3" t="str">
        <f t="shared" si="8"/>
        <v>250</v>
      </c>
      <c r="C36" s="3">
        <f t="shared" si="9"/>
        <v>64</v>
      </c>
      <c r="D36" s="3">
        <f t="shared" si="10"/>
        <v>74</v>
      </c>
      <c r="E36" s="3">
        <f t="shared" si="11"/>
        <v>21</v>
      </c>
      <c r="F36" s="4" t="str">
        <f t="shared" si="12"/>
        <v>ZR250</v>
      </c>
      <c r="G36" s="81" t="s">
        <v>77</v>
      </c>
      <c r="H36" s="117">
        <v>2.5</v>
      </c>
      <c r="I36" s="96">
        <v>8.39</v>
      </c>
      <c r="J36" s="112">
        <f>ZR_R_350!J36+(ZR_R_390!$A$1-ZR_R_350!$A$1)/(ZR_R_420!$A$1-ZR_R_350!$A$1)*(ZR_R_420!J36-ZR_R_350!J36)</f>
        <v>10.258571428571429</v>
      </c>
      <c r="K36" s="112">
        <f>ZR_R_350!K36+(ZR_R_390!$A$1-ZR_R_350!$A$1)/(ZR_R_420!$A$1-ZR_R_350!$A$1)*(ZR_R_420!K36-ZR_R_350!K36)</f>
        <v>2.0285714285714285</v>
      </c>
      <c r="L36" s="112">
        <f>ZR_R_350!L36+(ZR_R_390!$A$1-ZR_R_350!$A$1)/(ZR_R_420!$A$1-ZR_R_350!$A$1)*(ZR_R_420!L36-ZR_R_350!L36)</f>
        <v>10.462857142857143</v>
      </c>
      <c r="M36" s="112">
        <f>ZR_R_350!M36+(ZR_R_390!$A$1-ZR_R_350!$A$1)/(ZR_R_420!$A$1-ZR_R_350!$A$1)*(ZR_R_420!M36-ZR_R_350!M36)</f>
        <v>910.83571428571429</v>
      </c>
      <c r="N36" s="112">
        <f>ZR_R_350!N36+(ZR_R_390!$A$1-ZR_R_350!$A$1)/(ZR_R_420!$A$1-ZR_R_350!$A$1)*(ZR_R_420!N36-ZR_R_350!N36)</f>
        <v>70.561428571428578</v>
      </c>
      <c r="O36" s="112">
        <f>ZR_R_350!O36+(ZR_R_390!$A$1-ZR_R_350!$A$1)/(ZR_R_420!$A$1-ZR_R_350!$A$1)*(ZR_R_420!O36-ZR_R_350!O36)</f>
        <v>9.3228571428571438</v>
      </c>
      <c r="P36" s="112">
        <f>ZR_R_350!P36+(ZR_R_390!$A$1-ZR_R_350!$A$1)/(ZR_R_420!$A$1-ZR_R_350!$A$1)*(ZR_R_420!P36-ZR_R_350!P36)</f>
        <v>12.092857142857142</v>
      </c>
      <c r="Q36" s="112">
        <f>ZR_R_350!Q36+(ZR_R_390!$A$1-ZR_R_350!$A$1)/(ZR_R_420!$A$1-ZR_R_350!$A$1)*(ZR_R_420!Q36-ZR_R_350!Q36)</f>
        <v>10.468571428571428</v>
      </c>
      <c r="R36" s="112">
        <f>ZR_R_350!R36+(ZR_R_390!$A$1-ZR_R_350!$A$1)/(ZR_R_420!$A$1-ZR_R_350!$A$1)*(ZR_R_420!R36-ZR_R_350!R36)</f>
        <v>912.10714285714289</v>
      </c>
      <c r="S36" s="112">
        <f>ZR_R_350!S36+(ZR_R_390!$A$1-ZR_R_350!$A$1)/(ZR_R_420!$A$1-ZR_R_350!$A$1)*(ZR_R_420!S36-ZR_R_350!S36)</f>
        <v>71.907142857142858</v>
      </c>
      <c r="T36" s="112">
        <f>ZR_R_350!T36+(ZR_R_390!$A$1-ZR_R_350!$A$1)/(ZR_R_420!$A$1-ZR_R_350!$A$1)*(ZR_R_420!T36-ZR_R_350!T36)</f>
        <v>9.3228571428571438</v>
      </c>
      <c r="U36" s="112">
        <f>ZR_R_350!U36+(ZR_R_390!$A$1-ZR_R_350!$A$1)/(ZR_R_420!$A$1-ZR_R_350!$A$1)*(ZR_R_420!U36-ZR_R_350!U36)</f>
        <v>12.315714285714286</v>
      </c>
      <c r="V36" s="112">
        <f>ZR_R_350!V36+(ZR_R_390!$A$1-ZR_R_350!$A$1)/(ZR_R_420!$A$1-ZR_R_350!$A$1)*(ZR_R_420!V36-ZR_R_350!V36)</f>
        <v>10.63</v>
      </c>
      <c r="W36" s="112">
        <f>ZR_R_350!W36+(ZR_R_390!$A$1-ZR_R_350!$A$1)/(ZR_R_420!$A$1-ZR_R_350!$A$1)*(ZR_R_420!W36-ZR_R_350!W36)</f>
        <v>93.15</v>
      </c>
      <c r="X36" s="112">
        <f>ZR_R_350!X36+(ZR_R_390!$A$1-ZR_R_350!$A$1)/(ZR_R_420!$A$1-ZR_R_350!$A$1)*(ZR_R_420!X36-ZR_R_350!X36)</f>
        <v>12.26</v>
      </c>
      <c r="Y36" s="112">
        <f>ZR_R_350!Y36+(ZR_R_390!$A$1-ZR_R_350!$A$1)/(ZR_R_420!$A$1-ZR_R_350!$A$1)*(ZR_R_420!Y36-ZR_R_350!Y36)</f>
        <v>2.96</v>
      </c>
      <c r="Z36" s="77">
        <f>ZR_R_350!Z36+(ZR_R_390!$A$1-ZR_R_350!$A$1)/(ZR_R_420!$A$1-ZR_R_350!$A$1)*(ZR_R_420!Z36-ZR_R_350!Z36)</f>
        <v>6.21</v>
      </c>
      <c r="AB36" s="217">
        <v>8.39</v>
      </c>
      <c r="AC36" s="217">
        <v>10.26</v>
      </c>
      <c r="AD36" s="217">
        <v>1.94</v>
      </c>
      <c r="AE36" s="218">
        <v>10.55</v>
      </c>
      <c r="AF36" s="218">
        <v>910.8</v>
      </c>
      <c r="AG36" s="218">
        <v>70.56</v>
      </c>
      <c r="AH36" s="218">
        <v>9.3699999999999992</v>
      </c>
      <c r="AI36" s="218">
        <v>12.3</v>
      </c>
      <c r="AJ36" s="218">
        <v>10.47</v>
      </c>
      <c r="AK36" s="218">
        <v>912.14</v>
      </c>
      <c r="AL36" s="218">
        <v>71.91</v>
      </c>
      <c r="AM36" s="218">
        <v>9.35</v>
      </c>
      <c r="AN36" s="218">
        <v>12.21</v>
      </c>
      <c r="AO36" s="218">
        <v>10.63</v>
      </c>
      <c r="AP36" s="218">
        <v>93.15</v>
      </c>
      <c r="AQ36" s="218">
        <v>12.26</v>
      </c>
      <c r="AR36" s="218">
        <v>2.96</v>
      </c>
      <c r="AS36" s="218">
        <v>6.21</v>
      </c>
    </row>
    <row r="37" spans="1:45" ht="15" customHeight="1" thickBot="1" x14ac:dyDescent="0.3">
      <c r="A37" s="72" t="str">
        <f t="shared" si="7"/>
        <v>ZR250x3,0</v>
      </c>
      <c r="B37" s="3" t="str">
        <f t="shared" si="8"/>
        <v>250</v>
      </c>
      <c r="C37" s="3">
        <f t="shared" si="9"/>
        <v>65</v>
      </c>
      <c r="D37" s="3">
        <f t="shared" si="10"/>
        <v>75</v>
      </c>
      <c r="E37" s="3">
        <f t="shared" si="11"/>
        <v>22</v>
      </c>
      <c r="F37" s="4" t="str">
        <f t="shared" si="12"/>
        <v>ZR250</v>
      </c>
      <c r="G37" s="81" t="s">
        <v>78</v>
      </c>
      <c r="H37" s="117">
        <v>3</v>
      </c>
      <c r="I37" s="96">
        <v>10.11</v>
      </c>
      <c r="J37" s="112">
        <f>ZR_R_350!J37+(ZR_R_390!$A$1-ZR_R_350!$A$1)/(ZR_R_420!$A$1-ZR_R_350!$A$1)*(ZR_R_420!J37-ZR_R_350!J37)</f>
        <v>12.8</v>
      </c>
      <c r="K37" s="112">
        <f>ZR_R_350!K37+(ZR_R_390!$A$1-ZR_R_350!$A$1)/(ZR_R_420!$A$1-ZR_R_350!$A$1)*(ZR_R_420!K37-ZR_R_350!K37)</f>
        <v>2.04</v>
      </c>
      <c r="L37" s="112">
        <f>ZR_R_350!L37+(ZR_R_390!$A$1-ZR_R_350!$A$1)/(ZR_R_420!$A$1-ZR_R_350!$A$1)*(ZR_R_420!L37-ZR_R_350!L37)</f>
        <v>12.8</v>
      </c>
      <c r="M37" s="112">
        <f>ZR_R_350!M37+(ZR_R_390!$A$1-ZR_R_350!$A$1)/(ZR_R_420!$A$1-ZR_R_350!$A$1)*(ZR_R_420!M37-ZR_R_350!M37)</f>
        <v>1106.3800000000001</v>
      </c>
      <c r="N37" s="112">
        <f>ZR_R_350!N37+(ZR_R_390!$A$1-ZR_R_350!$A$1)/(ZR_R_420!$A$1-ZR_R_350!$A$1)*(ZR_R_420!N37-ZR_R_350!N37)</f>
        <v>86.5</v>
      </c>
      <c r="O37" s="112">
        <f>ZR_R_350!O37+(ZR_R_390!$A$1-ZR_R_350!$A$1)/(ZR_R_420!$A$1-ZR_R_350!$A$1)*(ZR_R_420!O37-ZR_R_350!O37)</f>
        <v>9.2899999999999991</v>
      </c>
      <c r="P37" s="112">
        <f>ZR_R_350!P37+(ZR_R_390!$A$1-ZR_R_350!$A$1)/(ZR_R_420!$A$1-ZR_R_350!$A$1)*(ZR_R_420!P37-ZR_R_350!P37)</f>
        <v>12.21</v>
      </c>
      <c r="Q37" s="112">
        <f>ZR_R_350!Q37+(ZR_R_390!$A$1-ZR_R_350!$A$1)/(ZR_R_420!$A$1-ZR_R_350!$A$1)*(ZR_R_420!Q37-ZR_R_350!Q37)</f>
        <v>12.8</v>
      </c>
      <c r="R37" s="112">
        <f>ZR_R_350!R37+(ZR_R_390!$A$1-ZR_R_350!$A$1)/(ZR_R_420!$A$1-ZR_R_350!$A$1)*(ZR_R_420!R37-ZR_R_350!R37)</f>
        <v>1106.3800000000001</v>
      </c>
      <c r="S37" s="112">
        <f>ZR_R_350!S37+(ZR_R_390!$A$1-ZR_R_350!$A$1)/(ZR_R_420!$A$1-ZR_R_350!$A$1)*(ZR_R_420!S37-ZR_R_350!S37)</f>
        <v>86.5</v>
      </c>
      <c r="T37" s="112">
        <f>ZR_R_350!T37+(ZR_R_390!$A$1-ZR_R_350!$A$1)/(ZR_R_420!$A$1-ZR_R_350!$A$1)*(ZR_R_420!T37-ZR_R_350!T37)</f>
        <v>9.2899999999999991</v>
      </c>
      <c r="U37" s="112">
        <f>ZR_R_350!U37+(ZR_R_390!$A$1-ZR_R_350!$A$1)/(ZR_R_420!$A$1-ZR_R_350!$A$1)*(ZR_R_420!U37-ZR_R_350!U37)</f>
        <v>12.21</v>
      </c>
      <c r="V37" s="112">
        <f>ZR_R_350!V37+(ZR_R_390!$A$1-ZR_R_350!$A$1)/(ZR_R_420!$A$1-ZR_R_350!$A$1)*(ZR_R_420!V37-ZR_R_350!V37)</f>
        <v>12.8</v>
      </c>
      <c r="W37" s="112">
        <f>ZR_R_350!W37+(ZR_R_390!$A$1-ZR_R_350!$A$1)/(ZR_R_420!$A$1-ZR_R_350!$A$1)*(ZR_R_420!W37-ZR_R_350!W37)</f>
        <v>115.62</v>
      </c>
      <c r="X37" s="112">
        <f>ZR_R_350!X37+(ZR_R_390!$A$1-ZR_R_350!$A$1)/(ZR_R_420!$A$1-ZR_R_350!$A$1)*(ZR_R_420!X37-ZR_R_350!X37)</f>
        <v>14.98</v>
      </c>
      <c r="Y37" s="112">
        <f>ZR_R_350!Y37+(ZR_R_390!$A$1-ZR_R_350!$A$1)/(ZR_R_420!$A$1-ZR_R_350!$A$1)*(ZR_R_420!Y37-ZR_R_350!Y37)</f>
        <v>3</v>
      </c>
      <c r="Z37" s="77">
        <f>ZR_R_350!Z37+(ZR_R_390!$A$1-ZR_R_350!$A$1)/(ZR_R_420!$A$1-ZR_R_350!$A$1)*(ZR_R_420!Z37-ZR_R_350!Z37)</f>
        <v>6.28</v>
      </c>
      <c r="AB37" s="217">
        <v>10.11</v>
      </c>
      <c r="AC37" s="217">
        <v>12.8</v>
      </c>
      <c r="AD37" s="217">
        <v>2.04</v>
      </c>
      <c r="AE37" s="218">
        <v>12.8</v>
      </c>
      <c r="AF37" s="218">
        <v>1106.3800000000001</v>
      </c>
      <c r="AG37" s="218">
        <v>86.5</v>
      </c>
      <c r="AH37" s="218">
        <v>9.2899999999999991</v>
      </c>
      <c r="AI37" s="218">
        <v>12.21</v>
      </c>
      <c r="AJ37" s="218">
        <v>12.8</v>
      </c>
      <c r="AK37" s="218">
        <v>1106.3800000000001</v>
      </c>
      <c r="AL37" s="218">
        <v>86.5</v>
      </c>
      <c r="AM37" s="218">
        <v>9.2899999999999991</v>
      </c>
      <c r="AN37" s="218">
        <v>12.21</v>
      </c>
      <c r="AO37" s="218">
        <v>12.8</v>
      </c>
      <c r="AP37" s="218">
        <v>115.62</v>
      </c>
      <c r="AQ37" s="218">
        <v>14.98</v>
      </c>
      <c r="AR37" s="218">
        <v>3</v>
      </c>
      <c r="AS37" s="218">
        <v>6.28</v>
      </c>
    </row>
    <row r="38" spans="1:45" ht="15" customHeight="1" thickBot="1" x14ac:dyDescent="0.3">
      <c r="A38" s="73" t="str">
        <f t="shared" si="7"/>
        <v>ZR250x3,5</v>
      </c>
      <c r="B38" s="5" t="str">
        <f t="shared" si="8"/>
        <v>250</v>
      </c>
      <c r="C38" s="5">
        <f t="shared" si="9"/>
        <v>66</v>
      </c>
      <c r="D38" s="5">
        <f t="shared" si="10"/>
        <v>76</v>
      </c>
      <c r="E38" s="5">
        <f t="shared" si="11"/>
        <v>23</v>
      </c>
      <c r="F38" s="6" t="str">
        <f t="shared" si="12"/>
        <v>ZR250</v>
      </c>
      <c r="G38" s="82" t="s">
        <v>79</v>
      </c>
      <c r="H38" s="118">
        <v>3.5</v>
      </c>
      <c r="I38" s="98">
        <v>11.85</v>
      </c>
      <c r="J38" s="113">
        <f>ZR_R_350!J38+(ZR_R_390!$A$1-ZR_R_350!$A$1)/(ZR_R_420!$A$1-ZR_R_350!$A$1)*(ZR_R_420!J38-ZR_R_350!J38)</f>
        <v>14.99</v>
      </c>
      <c r="K38" s="113">
        <f>ZR_R_350!K38+(ZR_R_390!$A$1-ZR_R_350!$A$1)/(ZR_R_420!$A$1-ZR_R_350!$A$1)*(ZR_R_420!K38-ZR_R_350!K38)</f>
        <v>2.09</v>
      </c>
      <c r="L38" s="113">
        <f>ZR_R_350!L38+(ZR_R_390!$A$1-ZR_R_350!$A$1)/(ZR_R_420!$A$1-ZR_R_350!$A$1)*(ZR_R_420!L38-ZR_R_350!L38)</f>
        <v>14.99</v>
      </c>
      <c r="M38" s="113">
        <f>ZR_R_350!M38+(ZR_R_390!$A$1-ZR_R_350!$A$1)/(ZR_R_420!$A$1-ZR_R_350!$A$1)*(ZR_R_420!M38-ZR_R_350!M38)</f>
        <v>1293.21</v>
      </c>
      <c r="N38" s="113">
        <f>ZR_R_350!N38+(ZR_R_390!$A$1-ZR_R_350!$A$1)/(ZR_R_420!$A$1-ZR_R_350!$A$1)*(ZR_R_420!N38-ZR_R_350!N38)</f>
        <v>101.12</v>
      </c>
      <c r="O38" s="113">
        <f>ZR_R_350!O38+(ZR_R_390!$A$1-ZR_R_350!$A$1)/(ZR_R_420!$A$1-ZR_R_350!$A$1)*(ZR_R_420!O38-ZR_R_350!O38)</f>
        <v>9.2799999999999994</v>
      </c>
      <c r="P38" s="113">
        <f>ZR_R_350!P38+(ZR_R_390!$A$1-ZR_R_350!$A$1)/(ZR_R_420!$A$1-ZR_R_350!$A$1)*(ZR_R_420!P38-ZR_R_350!P38)</f>
        <v>12.21</v>
      </c>
      <c r="Q38" s="113">
        <f>ZR_R_350!Q38+(ZR_R_390!$A$1-ZR_R_350!$A$1)/(ZR_R_420!$A$1-ZR_R_350!$A$1)*(ZR_R_420!Q38-ZR_R_350!Q38)</f>
        <v>14.99</v>
      </c>
      <c r="R38" s="113">
        <f>ZR_R_350!R38+(ZR_R_390!$A$1-ZR_R_350!$A$1)/(ZR_R_420!$A$1-ZR_R_350!$A$1)*(ZR_R_420!R38-ZR_R_350!R38)</f>
        <v>1293.21</v>
      </c>
      <c r="S38" s="113">
        <f>ZR_R_350!S38+(ZR_R_390!$A$1-ZR_R_350!$A$1)/(ZR_R_420!$A$1-ZR_R_350!$A$1)*(ZR_R_420!S38-ZR_R_350!S38)</f>
        <v>101.12</v>
      </c>
      <c r="T38" s="113">
        <f>ZR_R_350!T38+(ZR_R_390!$A$1-ZR_R_350!$A$1)/(ZR_R_420!$A$1-ZR_R_350!$A$1)*(ZR_R_420!T38-ZR_R_350!T38)</f>
        <v>9.2799999999999994</v>
      </c>
      <c r="U38" s="113">
        <f>ZR_R_350!U38+(ZR_R_390!$A$1-ZR_R_350!$A$1)/(ZR_R_420!$A$1-ZR_R_350!$A$1)*(ZR_R_420!U38-ZR_R_350!U38)</f>
        <v>12.21</v>
      </c>
      <c r="V38" s="113">
        <f>ZR_R_350!V38+(ZR_R_390!$A$1-ZR_R_350!$A$1)/(ZR_R_420!$A$1-ZR_R_350!$A$1)*(ZR_R_420!V38-ZR_R_350!V38)</f>
        <v>14.99</v>
      </c>
      <c r="W38" s="113">
        <f>ZR_R_350!W38+(ZR_R_390!$A$1-ZR_R_350!$A$1)/(ZR_R_420!$A$1-ZR_R_350!$A$1)*(ZR_R_420!W38-ZR_R_350!W38)</f>
        <v>139.46</v>
      </c>
      <c r="X38" s="113">
        <f>ZR_R_350!X38+(ZR_R_390!$A$1-ZR_R_350!$A$1)/(ZR_R_420!$A$1-ZR_R_350!$A$1)*(ZR_R_420!X38-ZR_R_350!X38)</f>
        <v>17.79</v>
      </c>
      <c r="Y38" s="113">
        <f>ZR_R_350!Y38+(ZR_R_390!$A$1-ZR_R_350!$A$1)/(ZR_R_420!$A$1-ZR_R_350!$A$1)*(ZR_R_420!Y38-ZR_R_350!Y38)</f>
        <v>3.04</v>
      </c>
      <c r="Z38" s="78">
        <f>ZR_R_350!Z38+(ZR_R_390!$A$1-ZR_R_350!$A$1)/(ZR_R_420!$A$1-ZR_R_350!$A$1)*(ZR_R_420!Z38-ZR_R_350!Z38)</f>
        <v>6.36</v>
      </c>
      <c r="AB38" s="217">
        <v>11.85</v>
      </c>
      <c r="AC38" s="217">
        <v>14.99</v>
      </c>
      <c r="AD38" s="217">
        <v>2.09</v>
      </c>
      <c r="AE38" s="218">
        <v>14.99</v>
      </c>
      <c r="AF38" s="218">
        <v>1293.21</v>
      </c>
      <c r="AG38" s="218">
        <v>101.12</v>
      </c>
      <c r="AH38" s="218">
        <v>9.2799999999999994</v>
      </c>
      <c r="AI38" s="218">
        <v>12.21</v>
      </c>
      <c r="AJ38" s="218">
        <v>14.99</v>
      </c>
      <c r="AK38" s="218">
        <v>1293.21</v>
      </c>
      <c r="AL38" s="218">
        <v>101.12</v>
      </c>
      <c r="AM38" s="218">
        <v>9.2799999999999994</v>
      </c>
      <c r="AN38" s="218">
        <v>12.21</v>
      </c>
      <c r="AO38" s="218">
        <v>14.99</v>
      </c>
      <c r="AP38" s="218">
        <v>139.46</v>
      </c>
      <c r="AQ38" s="218">
        <v>17.79</v>
      </c>
      <c r="AR38" s="218">
        <v>3.04</v>
      </c>
      <c r="AS38" s="218">
        <v>6.36</v>
      </c>
    </row>
    <row r="39" spans="1:45" ht="15" customHeight="1" thickBot="1" x14ac:dyDescent="0.3">
      <c r="A39" s="71" t="str">
        <f t="shared" ref="A39:A51" si="13">CONCATENATE(F39,"x",(IF(H39=INT(H39),CONCATENATE(H39,",",0),H39)))</f>
        <v>ZR300x2,0</v>
      </c>
      <c r="B39" s="10" t="str">
        <f t="shared" ref="B39:B51" si="14">LEFT(G39,3)</f>
        <v>300</v>
      </c>
      <c r="C39" s="88">
        <f t="shared" ref="C39:C51" si="15">VALUE(MID(G39,(SEARCH("/",G39,1)+1),(SEARCH("/",G39,(SEARCH("/",G39,1)+1))-SEARCH("/",G39,1)-1)))</f>
        <v>85</v>
      </c>
      <c r="D39" s="88">
        <f t="shared" ref="D39:D51" si="16">VALUE(MID(G39,(SEARCH("/",G39,(SEARCH("/",G39,1)+1))+1),(SEARCH("/",G39,SEARCH("/",G39,(SEARCH("/",G39,1)+1))+1))-(SEARCH("/",G39,(SEARCH("/",G39,1)+1))+1)))</f>
        <v>93</v>
      </c>
      <c r="E39" s="89">
        <f t="shared" ref="E39:E51" si="17">VALUE(MID(G39,(SEARCH("/",G39,SEARCH("/",G39,(SEARCH("/",G39,1)+1))+1)+1),4))</f>
        <v>20.5</v>
      </c>
      <c r="F39" s="133" t="str">
        <f t="shared" ref="F39:F51" si="18">CONCATENATE("ZR",LEFT(G39,3))</f>
        <v>ZR300</v>
      </c>
      <c r="G39" s="80" t="s">
        <v>80</v>
      </c>
      <c r="H39" s="116">
        <v>2</v>
      </c>
      <c r="I39" s="94">
        <v>8.14</v>
      </c>
      <c r="J39" s="111">
        <f>ZR_R_350!J39+(ZR_R_390!$A$1-ZR_R_350!$A$1)/(ZR_R_420!$A$1-ZR_R_350!$A$1)*(ZR_R_420!J39-ZR_R_350!J39)</f>
        <v>8.112857142857143</v>
      </c>
      <c r="K39" s="111">
        <f>ZR_R_350!K39+(ZR_R_390!$A$1-ZR_R_350!$A$1)/(ZR_R_420!$A$1-ZR_R_350!$A$1)*(ZR_R_420!K39-ZR_R_350!K39)</f>
        <v>2.8071428571428569</v>
      </c>
      <c r="L39" s="111">
        <f>ZR_R_350!L39+(ZR_R_390!$A$1-ZR_R_350!$A$1)/(ZR_R_420!$A$1-ZR_R_350!$A$1)*(ZR_R_420!L39-ZR_R_350!L39)</f>
        <v>8.9714285714285715</v>
      </c>
      <c r="M39" s="111">
        <f>ZR_R_350!M39+(ZR_R_390!$A$1-ZR_R_350!$A$1)/(ZR_R_420!$A$1-ZR_R_350!$A$1)*(ZR_R_420!M39-ZR_R_350!M39)</f>
        <v>1169.8785714285714</v>
      </c>
      <c r="N39" s="111">
        <f>ZR_R_350!N39+(ZR_R_390!$A$1-ZR_R_350!$A$1)/(ZR_R_420!$A$1-ZR_R_350!$A$1)*(ZR_R_420!N39-ZR_R_350!N39)</f>
        <v>70.098571428571432</v>
      </c>
      <c r="O39" s="111">
        <f>ZR_R_350!O39+(ZR_R_390!$A$1-ZR_R_350!$A$1)/(ZR_R_420!$A$1-ZR_R_350!$A$1)*(ZR_R_420!O39-ZR_R_350!O39)</f>
        <v>11.414285714285715</v>
      </c>
      <c r="P39" s="111">
        <f>ZR_R_350!P39+(ZR_R_390!$A$1-ZR_R_350!$A$1)/(ZR_R_420!$A$1-ZR_R_350!$A$1)*(ZR_R_420!P39-ZR_R_350!P39)</f>
        <v>13.307142857142857</v>
      </c>
      <c r="Q39" s="111">
        <f>ZR_R_350!Q39+(ZR_R_390!$A$1-ZR_R_350!$A$1)/(ZR_R_420!$A$1-ZR_R_350!$A$1)*(ZR_R_420!Q39-ZR_R_350!Q39)</f>
        <v>8.9528571428571428</v>
      </c>
      <c r="R39" s="111">
        <f>ZR_R_350!R39+(ZR_R_390!$A$1-ZR_R_350!$A$1)/(ZR_R_420!$A$1-ZR_R_350!$A$1)*(ZR_R_420!R39-ZR_R_350!R39)</f>
        <v>1153.5800000000002</v>
      </c>
      <c r="S39" s="111">
        <f>ZR_R_350!S39+(ZR_R_390!$A$1-ZR_R_350!$A$1)/(ZR_R_420!$A$1-ZR_R_350!$A$1)*(ZR_R_420!S39-ZR_R_350!S39)</f>
        <v>70.71142857142857</v>
      </c>
      <c r="T39" s="111">
        <f>ZR_R_350!T39+(ZR_R_390!$A$1-ZR_R_350!$A$1)/(ZR_R_420!$A$1-ZR_R_350!$A$1)*(ZR_R_420!T39-ZR_R_350!T39)</f>
        <v>11.342857142857143</v>
      </c>
      <c r="U39" s="111">
        <f>ZR_R_350!U39+(ZR_R_390!$A$1-ZR_R_350!$A$1)/(ZR_R_420!$A$1-ZR_R_350!$A$1)*(ZR_R_420!U39-ZR_R_350!U39)</f>
        <v>16.317142857142859</v>
      </c>
      <c r="V39" s="111">
        <f>ZR_R_350!V39+(ZR_R_390!$A$1-ZR_R_350!$A$1)/(ZR_R_420!$A$1-ZR_R_350!$A$1)*(ZR_R_420!V39-ZR_R_350!V39)</f>
        <v>10.231428571428571</v>
      </c>
      <c r="W39" s="111">
        <f>ZR_R_350!W39+(ZR_R_390!$A$1-ZR_R_350!$A$1)/(ZR_R_420!$A$1-ZR_R_350!$A$1)*(ZR_R_420!W39-ZR_R_350!W39)</f>
        <v>142.38857142857142</v>
      </c>
      <c r="X39" s="111">
        <f>ZR_R_350!X39+(ZR_R_390!$A$1-ZR_R_350!$A$1)/(ZR_R_420!$A$1-ZR_R_350!$A$1)*(ZR_R_420!X39-ZR_R_350!X39)</f>
        <v>14.98</v>
      </c>
      <c r="Y39" s="111">
        <f>ZR_R_350!Y39+(ZR_R_390!$A$1-ZR_R_350!$A$1)/(ZR_R_420!$A$1-ZR_R_350!$A$1)*(ZR_R_420!Y39-ZR_R_350!Y39)</f>
        <v>3.7242857142857142</v>
      </c>
      <c r="Z39" s="76">
        <f>ZR_R_350!Z39+(ZR_R_390!$A$1-ZR_R_350!$A$1)/(ZR_R_420!$A$1-ZR_R_350!$A$1)*(ZR_R_420!Z39-ZR_R_350!Z39)</f>
        <v>8.3014285714285716</v>
      </c>
      <c r="AB39" s="217">
        <v>8.14</v>
      </c>
      <c r="AC39" s="218">
        <v>8.14</v>
      </c>
      <c r="AD39" s="217">
        <v>2.81</v>
      </c>
      <c r="AE39" s="218">
        <v>8.9600000000000009</v>
      </c>
      <c r="AF39" s="218">
        <v>1168.4000000000001</v>
      </c>
      <c r="AG39" s="218">
        <v>70.09</v>
      </c>
      <c r="AH39" s="218">
        <v>11.42</v>
      </c>
      <c r="AI39" s="218">
        <v>13.3</v>
      </c>
      <c r="AJ39" s="218">
        <v>8.89</v>
      </c>
      <c r="AK39" s="218">
        <v>1153.5999999999999</v>
      </c>
      <c r="AL39" s="218">
        <v>70.63</v>
      </c>
      <c r="AM39" s="218">
        <v>11.4</v>
      </c>
      <c r="AN39" s="218">
        <v>16.350000000000001</v>
      </c>
      <c r="AO39" s="218">
        <v>10.23</v>
      </c>
      <c r="AP39" s="218">
        <v>142.38</v>
      </c>
      <c r="AQ39" s="218">
        <v>14.98</v>
      </c>
      <c r="AR39" s="218">
        <v>3.73</v>
      </c>
      <c r="AS39" s="218">
        <v>8.33</v>
      </c>
    </row>
    <row r="40" spans="1:45" ht="15" customHeight="1" thickBot="1" x14ac:dyDescent="0.3">
      <c r="A40" s="72" t="str">
        <f t="shared" si="13"/>
        <v>ZR300x2,5</v>
      </c>
      <c r="B40" s="11" t="str">
        <f t="shared" si="14"/>
        <v>300</v>
      </c>
      <c r="C40" s="90">
        <f t="shared" si="15"/>
        <v>86</v>
      </c>
      <c r="D40" s="90">
        <f t="shared" si="16"/>
        <v>94</v>
      </c>
      <c r="E40" s="90">
        <f t="shared" si="17"/>
        <v>21.5</v>
      </c>
      <c r="F40" s="134" t="str">
        <f t="shared" si="18"/>
        <v>ZR300</v>
      </c>
      <c r="G40" s="81" t="s">
        <v>81</v>
      </c>
      <c r="H40" s="117">
        <v>2.5</v>
      </c>
      <c r="I40" s="96">
        <v>10.210000000000001</v>
      </c>
      <c r="J40" s="112">
        <f>ZR_R_350!J40+(ZR_R_390!$A$1-ZR_R_350!$A$1)/(ZR_R_420!$A$1-ZR_R_350!$A$1)*(ZR_R_420!J40-ZR_R_350!J40)</f>
        <v>11.367142857142857</v>
      </c>
      <c r="K40" s="112">
        <f>ZR_R_350!K40+(ZR_R_390!$A$1-ZR_R_350!$A$1)/(ZR_R_420!$A$1-ZR_R_350!$A$1)*(ZR_R_420!K40-ZR_R_350!K40)</f>
        <v>2.7914285714285714</v>
      </c>
      <c r="L40" s="112">
        <f>ZR_R_350!L40+(ZR_R_390!$A$1-ZR_R_350!$A$1)/(ZR_R_420!$A$1-ZR_R_350!$A$1)*(ZR_R_420!L40-ZR_R_350!L40)</f>
        <v>12.13</v>
      </c>
      <c r="M40" s="112">
        <f>ZR_R_350!M40+(ZR_R_390!$A$1-ZR_R_350!$A$1)/(ZR_R_420!$A$1-ZR_R_350!$A$1)*(ZR_R_420!M40-ZR_R_350!M40)</f>
        <v>1581.8557142857144</v>
      </c>
      <c r="N40" s="112">
        <f>ZR_R_350!N40+(ZR_R_390!$A$1-ZR_R_350!$A$1)/(ZR_R_420!$A$1-ZR_R_350!$A$1)*(ZR_R_420!N40-ZR_R_350!N40)</f>
        <v>99.718571428571437</v>
      </c>
      <c r="O40" s="112">
        <f>ZR_R_350!O40+(ZR_R_390!$A$1-ZR_R_350!$A$1)/(ZR_R_420!$A$1-ZR_R_350!$A$1)*(ZR_R_420!O40-ZR_R_350!O40)</f>
        <v>11.411428571428571</v>
      </c>
      <c r="P40" s="112">
        <f>ZR_R_350!P40+(ZR_R_390!$A$1-ZR_R_350!$A$1)/(ZR_R_420!$A$1-ZR_R_350!$A$1)*(ZR_R_420!P40-ZR_R_350!P40)</f>
        <v>14.132857142857143</v>
      </c>
      <c r="Q40" s="112">
        <f>ZR_R_350!Q40+(ZR_R_390!$A$1-ZR_R_350!$A$1)/(ZR_R_420!$A$1-ZR_R_350!$A$1)*(ZR_R_420!Q40-ZR_R_350!Q40)</f>
        <v>12.081428571428571</v>
      </c>
      <c r="R40" s="112">
        <f>ZR_R_350!R40+(ZR_R_390!$A$1-ZR_R_350!$A$1)/(ZR_R_420!$A$1-ZR_R_350!$A$1)*(ZR_R_420!R40-ZR_R_350!R40)</f>
        <v>1563.57</v>
      </c>
      <c r="S40" s="112">
        <f>ZR_R_350!S40+(ZR_R_390!$A$1-ZR_R_350!$A$1)/(ZR_R_420!$A$1-ZR_R_350!$A$1)*(ZR_R_420!S40-ZR_R_350!S40)</f>
        <v>100.95571428571429</v>
      </c>
      <c r="T40" s="112">
        <f>ZR_R_350!T40+(ZR_R_390!$A$1-ZR_R_350!$A$1)/(ZR_R_420!$A$1-ZR_R_350!$A$1)*(ZR_R_420!T40-ZR_R_350!T40)</f>
        <v>11.365714285714285</v>
      </c>
      <c r="U40" s="112">
        <f>ZR_R_350!U40+(ZR_R_390!$A$1-ZR_R_350!$A$1)/(ZR_R_420!$A$1-ZR_R_350!$A$1)*(ZR_R_420!U40-ZR_R_350!U40)</f>
        <v>15.491428571428571</v>
      </c>
      <c r="V40" s="112">
        <f>ZR_R_350!V40+(ZR_R_390!$A$1-ZR_R_350!$A$1)/(ZR_R_420!$A$1-ZR_R_350!$A$1)*(ZR_R_420!V40-ZR_R_350!V40)</f>
        <v>12.95</v>
      </c>
      <c r="W40" s="112">
        <f>ZR_R_350!W40+(ZR_R_390!$A$1-ZR_R_350!$A$1)/(ZR_R_420!$A$1-ZR_R_350!$A$1)*(ZR_R_420!W40-ZR_R_350!W40)</f>
        <v>185.78</v>
      </c>
      <c r="X40" s="112">
        <f>ZR_R_350!X40+(ZR_R_390!$A$1-ZR_R_350!$A$1)/(ZR_R_420!$A$1-ZR_R_350!$A$1)*(ZR_R_420!X40-ZR_R_350!X40)</f>
        <v>19.39</v>
      </c>
      <c r="Y40" s="112">
        <f>ZR_R_350!Y40+(ZR_R_390!$A$1-ZR_R_350!$A$1)/(ZR_R_420!$A$1-ZR_R_350!$A$1)*(ZR_R_420!Y40-ZR_R_350!Y40)</f>
        <v>3.78</v>
      </c>
      <c r="Z40" s="77">
        <f>ZR_R_350!Z40+(ZR_R_390!$A$1-ZR_R_350!$A$1)/(ZR_R_420!$A$1-ZR_R_350!$A$1)*(ZR_R_420!Z40-ZR_R_350!Z40)</f>
        <v>8.42</v>
      </c>
      <c r="AB40" s="217">
        <v>10.210000000000001</v>
      </c>
      <c r="AC40" s="218">
        <v>11.4</v>
      </c>
      <c r="AD40" s="217">
        <v>2.79</v>
      </c>
      <c r="AE40" s="218">
        <v>12.11</v>
      </c>
      <c r="AF40" s="218">
        <v>1582.5</v>
      </c>
      <c r="AG40" s="218">
        <v>99.71</v>
      </c>
      <c r="AH40" s="218">
        <v>11.41</v>
      </c>
      <c r="AI40" s="218">
        <v>14.13</v>
      </c>
      <c r="AJ40" s="218">
        <v>12.07</v>
      </c>
      <c r="AK40" s="218">
        <v>1563.4</v>
      </c>
      <c r="AL40" s="218">
        <v>101</v>
      </c>
      <c r="AM40" s="218">
        <v>11.37</v>
      </c>
      <c r="AN40" s="218">
        <v>15.48</v>
      </c>
      <c r="AO40" s="218">
        <v>12.9</v>
      </c>
      <c r="AP40" s="218">
        <v>184.11</v>
      </c>
      <c r="AQ40" s="218">
        <v>19.39</v>
      </c>
      <c r="AR40" s="218">
        <v>3.78</v>
      </c>
      <c r="AS40" s="218">
        <v>8.42</v>
      </c>
    </row>
    <row r="41" spans="1:45" ht="15" customHeight="1" thickBot="1" x14ac:dyDescent="0.3">
      <c r="A41" s="72" t="str">
        <f t="shared" si="13"/>
        <v>ZR300x3,0</v>
      </c>
      <c r="B41" s="11" t="str">
        <f t="shared" si="14"/>
        <v>300</v>
      </c>
      <c r="C41" s="90">
        <f t="shared" si="15"/>
        <v>87</v>
      </c>
      <c r="D41" s="90">
        <f t="shared" si="16"/>
        <v>95</v>
      </c>
      <c r="E41" s="90">
        <f t="shared" si="17"/>
        <v>22.5</v>
      </c>
      <c r="F41" s="134" t="str">
        <f t="shared" si="18"/>
        <v>ZR300</v>
      </c>
      <c r="G41" s="81" t="s">
        <v>82</v>
      </c>
      <c r="H41" s="117">
        <v>3</v>
      </c>
      <c r="I41" s="96">
        <v>12.3</v>
      </c>
      <c r="J41" s="112">
        <f>ZR_R_350!J41+(ZR_R_390!$A$1-ZR_R_350!$A$1)/(ZR_R_420!$A$1-ZR_R_350!$A$1)*(ZR_R_420!J41-ZR_R_350!J41)</f>
        <v>14.732857142857142</v>
      </c>
      <c r="K41" s="112">
        <f>ZR_R_350!K41+(ZR_R_390!$A$1-ZR_R_350!$A$1)/(ZR_R_420!$A$1-ZR_R_350!$A$1)*(ZR_R_420!K41-ZR_R_350!K41)</f>
        <v>2.7871428571428569</v>
      </c>
      <c r="L41" s="112">
        <f>ZR_R_350!L41+(ZR_R_390!$A$1-ZR_R_350!$A$1)/(ZR_R_420!$A$1-ZR_R_350!$A$1)*(ZR_R_420!L41-ZR_R_350!L41)</f>
        <v>15.385714285714286</v>
      </c>
      <c r="M41" s="112">
        <f>ZR_R_350!M41+(ZR_R_390!$A$1-ZR_R_350!$A$1)/(ZR_R_420!$A$1-ZR_R_350!$A$1)*(ZR_R_420!M41-ZR_R_350!M41)</f>
        <v>1982.4428571428571</v>
      </c>
      <c r="N41" s="112">
        <f>ZR_R_350!N41+(ZR_R_390!$A$1-ZR_R_350!$A$1)/(ZR_R_420!$A$1-ZR_R_350!$A$1)*(ZR_R_420!N41-ZR_R_350!N41)</f>
        <v>129.16714285714286</v>
      </c>
      <c r="O41" s="112">
        <f>ZR_R_350!O41+(ZR_R_390!$A$1-ZR_R_350!$A$1)/(ZR_R_420!$A$1-ZR_R_350!$A$1)*(ZR_R_420!O41-ZR_R_350!O41)</f>
        <v>11.348571428571429</v>
      </c>
      <c r="P41" s="112">
        <f>ZR_R_350!P41+(ZR_R_390!$A$1-ZR_R_350!$A$1)/(ZR_R_420!$A$1-ZR_R_350!$A$1)*(ZR_R_420!P41-ZR_R_350!P41)</f>
        <v>14.651428571428571</v>
      </c>
      <c r="Q41" s="112">
        <f>ZR_R_350!Q41+(ZR_R_390!$A$1-ZR_R_350!$A$1)/(ZR_R_420!$A$1-ZR_R_350!$A$1)*(ZR_R_420!Q41-ZR_R_350!Q41)</f>
        <v>15.374285714285715</v>
      </c>
      <c r="R41" s="112">
        <f>ZR_R_350!R41+(ZR_R_390!$A$1-ZR_R_350!$A$1)/(ZR_R_420!$A$1-ZR_R_350!$A$1)*(ZR_R_420!R41-ZR_R_350!R41)</f>
        <v>1978.7471428571428</v>
      </c>
      <c r="S41" s="112">
        <f>ZR_R_350!S41+(ZR_R_390!$A$1-ZR_R_350!$A$1)/(ZR_R_420!$A$1-ZR_R_350!$A$1)*(ZR_R_420!S41-ZR_R_350!S41)</f>
        <v>131.08285714285714</v>
      </c>
      <c r="T41" s="112">
        <f>ZR_R_350!T41+(ZR_R_390!$A$1-ZR_R_350!$A$1)/(ZR_R_420!$A$1-ZR_R_350!$A$1)*(ZR_R_420!T41-ZR_R_350!T41)</f>
        <v>11.342857142857143</v>
      </c>
      <c r="U41" s="112">
        <f>ZR_R_350!U41+(ZR_R_390!$A$1-ZR_R_350!$A$1)/(ZR_R_420!$A$1-ZR_R_350!$A$1)*(ZR_R_420!U41-ZR_R_350!U41)</f>
        <v>14.905714285714286</v>
      </c>
      <c r="V41" s="112">
        <f>ZR_R_350!V41+(ZR_R_390!$A$1-ZR_R_350!$A$1)/(ZR_R_420!$A$1-ZR_R_350!$A$1)*(ZR_R_420!V41-ZR_R_350!V41)</f>
        <v>15.59</v>
      </c>
      <c r="W41" s="112">
        <f>ZR_R_350!W41+(ZR_R_390!$A$1-ZR_R_350!$A$1)/(ZR_R_420!$A$1-ZR_R_350!$A$1)*(ZR_R_420!W41-ZR_R_350!W41)</f>
        <v>229.24</v>
      </c>
      <c r="X41" s="112">
        <f>ZR_R_350!X41+(ZR_R_390!$A$1-ZR_R_350!$A$1)/(ZR_R_420!$A$1-ZR_R_350!$A$1)*(ZR_R_420!X41-ZR_R_350!X41)</f>
        <v>23.62</v>
      </c>
      <c r="Y41" s="112">
        <f>ZR_R_350!Y41+(ZR_R_390!$A$1-ZR_R_350!$A$1)/(ZR_R_420!$A$1-ZR_R_350!$A$1)*(ZR_R_420!Y41-ZR_R_350!Y41)</f>
        <v>3.83</v>
      </c>
      <c r="Z41" s="77">
        <f>ZR_R_350!Z41+(ZR_R_390!$A$1-ZR_R_350!$A$1)/(ZR_R_420!$A$1-ZR_R_350!$A$1)*(ZR_R_420!Z41-ZR_R_350!Z41)</f>
        <v>8.5</v>
      </c>
      <c r="AB41" s="217">
        <v>12.3</v>
      </c>
      <c r="AC41" s="218">
        <v>14.73</v>
      </c>
      <c r="AD41" s="217">
        <v>2.79</v>
      </c>
      <c r="AE41" s="218">
        <v>15.36</v>
      </c>
      <c r="AF41" s="218">
        <v>1985.8</v>
      </c>
      <c r="AG41" s="218">
        <v>129.16</v>
      </c>
      <c r="AH41" s="218">
        <v>11.35</v>
      </c>
      <c r="AI41" s="218">
        <v>14.65</v>
      </c>
      <c r="AJ41" s="218">
        <v>15.37</v>
      </c>
      <c r="AK41" s="218">
        <v>1978.7</v>
      </c>
      <c r="AL41" s="218">
        <v>131.08000000000001</v>
      </c>
      <c r="AM41" s="218">
        <v>11.34</v>
      </c>
      <c r="AN41" s="218">
        <v>14.8</v>
      </c>
      <c r="AO41" s="218">
        <v>15.59</v>
      </c>
      <c r="AP41" s="218">
        <v>229.24</v>
      </c>
      <c r="AQ41" s="218">
        <v>23.62</v>
      </c>
      <c r="AR41" s="218">
        <v>3.83</v>
      </c>
      <c r="AS41" s="218">
        <v>8.5</v>
      </c>
    </row>
    <row r="42" spans="1:45" ht="15" customHeight="1" thickBot="1" x14ac:dyDescent="0.3">
      <c r="A42" s="73" t="str">
        <f t="shared" si="13"/>
        <v>ZR300x3,5</v>
      </c>
      <c r="B42" s="12" t="str">
        <f t="shared" si="14"/>
        <v>300</v>
      </c>
      <c r="C42" s="92">
        <f t="shared" si="15"/>
        <v>88</v>
      </c>
      <c r="D42" s="92">
        <f t="shared" si="16"/>
        <v>96</v>
      </c>
      <c r="E42" s="91">
        <f t="shared" si="17"/>
        <v>23.5</v>
      </c>
      <c r="F42" s="136" t="str">
        <f t="shared" si="18"/>
        <v>ZR300</v>
      </c>
      <c r="G42" s="82" t="s">
        <v>83</v>
      </c>
      <c r="H42" s="118">
        <v>3.5</v>
      </c>
      <c r="I42" s="98">
        <v>14.41</v>
      </c>
      <c r="J42" s="113">
        <f>ZR_R_350!J42+(ZR_R_390!$A$1-ZR_R_350!$A$1)/(ZR_R_420!$A$1-ZR_R_350!$A$1)*(ZR_R_420!J42-ZR_R_350!J42)</f>
        <v>17.95</v>
      </c>
      <c r="K42" s="113">
        <f>ZR_R_350!K42+(ZR_R_390!$A$1-ZR_R_350!$A$1)/(ZR_R_420!$A$1-ZR_R_350!$A$1)*(ZR_R_420!K42-ZR_R_350!K42)</f>
        <v>2.7771428571428571</v>
      </c>
      <c r="L42" s="113">
        <f>ZR_R_350!L42+(ZR_R_390!$A$1-ZR_R_350!$A$1)/(ZR_R_420!$A$1-ZR_R_350!$A$1)*(ZR_R_420!L42-ZR_R_350!L42)</f>
        <v>18.239999999999998</v>
      </c>
      <c r="M42" s="113">
        <f>ZR_R_350!M42+(ZR_R_390!$A$1-ZR_R_350!$A$1)/(ZR_R_420!$A$1-ZR_R_350!$A$1)*(ZR_R_420!M42-ZR_R_350!M42)</f>
        <v>2335.85</v>
      </c>
      <c r="N42" s="113">
        <f>ZR_R_350!N42+(ZR_R_390!$A$1-ZR_R_350!$A$1)/(ZR_R_420!$A$1-ZR_R_350!$A$1)*(ZR_R_420!N42-ZR_R_350!N42)</f>
        <v>153.38999999999999</v>
      </c>
      <c r="O42" s="113">
        <f>ZR_R_350!O42+(ZR_R_390!$A$1-ZR_R_350!$A$1)/(ZR_R_420!$A$1-ZR_R_350!$A$1)*(ZR_R_420!O42-ZR_R_350!O42)</f>
        <v>11.31</v>
      </c>
      <c r="P42" s="113">
        <f>ZR_R_350!P42+(ZR_R_390!$A$1-ZR_R_350!$A$1)/(ZR_R_420!$A$1-ZR_R_350!$A$1)*(ZR_R_420!P42-ZR_R_350!P42)</f>
        <v>14.77</v>
      </c>
      <c r="Q42" s="113">
        <f>ZR_R_350!Q42+(ZR_R_390!$A$1-ZR_R_350!$A$1)/(ZR_R_420!$A$1-ZR_R_350!$A$1)*(ZR_R_420!Q42-ZR_R_350!Q42)</f>
        <v>18.239999999999998</v>
      </c>
      <c r="R42" s="113">
        <f>ZR_R_350!R42+(ZR_R_390!$A$1-ZR_R_350!$A$1)/(ZR_R_420!$A$1-ZR_R_350!$A$1)*(ZR_R_420!R42-ZR_R_350!R42)</f>
        <v>2335.85</v>
      </c>
      <c r="S42" s="113">
        <f>ZR_R_350!S42+(ZR_R_390!$A$1-ZR_R_350!$A$1)/(ZR_R_420!$A$1-ZR_R_350!$A$1)*(ZR_R_420!S42-ZR_R_350!S42)</f>
        <v>153.38999999999999</v>
      </c>
      <c r="T42" s="113">
        <f>ZR_R_350!T42+(ZR_R_390!$A$1-ZR_R_350!$A$1)/(ZR_R_420!$A$1-ZR_R_350!$A$1)*(ZR_R_420!T42-ZR_R_350!T42)</f>
        <v>11.31</v>
      </c>
      <c r="U42" s="113">
        <f>ZR_R_350!U42+(ZR_R_390!$A$1-ZR_R_350!$A$1)/(ZR_R_420!$A$1-ZR_R_350!$A$1)*(ZR_R_420!U42-ZR_R_350!U42)</f>
        <v>14.77</v>
      </c>
      <c r="V42" s="113">
        <f>ZR_R_350!V42+(ZR_R_390!$A$1-ZR_R_350!$A$1)/(ZR_R_420!$A$1-ZR_R_350!$A$1)*(ZR_R_420!V42-ZR_R_350!V42)</f>
        <v>18.239999999999998</v>
      </c>
      <c r="W42" s="113">
        <f>ZR_R_350!W42+(ZR_R_390!$A$1-ZR_R_350!$A$1)/(ZR_R_420!$A$1-ZR_R_350!$A$1)*(ZR_R_420!W42-ZR_R_350!W42)</f>
        <v>274.94</v>
      </c>
      <c r="X42" s="113">
        <f>ZR_R_350!X42+(ZR_R_390!$A$1-ZR_R_350!$A$1)/(ZR_R_420!$A$1-ZR_R_350!$A$1)*(ZR_R_420!X42-ZR_R_350!X42)</f>
        <v>27.97</v>
      </c>
      <c r="Y42" s="113">
        <f>ZR_R_350!Y42+(ZR_R_390!$A$1-ZR_R_350!$A$1)/(ZR_R_420!$A$1-ZR_R_350!$A$1)*(ZR_R_420!Y42-ZR_R_350!Y42)</f>
        <v>3.88</v>
      </c>
      <c r="Z42" s="78">
        <f>ZR_R_350!Z42+(ZR_R_390!$A$1-ZR_R_350!$A$1)/(ZR_R_420!$A$1-ZR_R_350!$A$1)*(ZR_R_420!Z42-ZR_R_350!Z42)</f>
        <v>8.57</v>
      </c>
      <c r="AB42" s="217">
        <v>14.41</v>
      </c>
      <c r="AC42" s="218">
        <v>17.95</v>
      </c>
      <c r="AD42" s="217">
        <v>2.78</v>
      </c>
      <c r="AE42" s="218">
        <v>18.239999999999998</v>
      </c>
      <c r="AF42" s="218">
        <v>2335.85</v>
      </c>
      <c r="AG42" s="218">
        <v>153.38999999999999</v>
      </c>
      <c r="AH42" s="218">
        <v>11.31</v>
      </c>
      <c r="AI42" s="218">
        <v>14.77</v>
      </c>
      <c r="AJ42" s="218">
        <v>18.239999999999998</v>
      </c>
      <c r="AK42" s="218">
        <v>2335.85</v>
      </c>
      <c r="AL42" s="218">
        <v>153.38999999999999</v>
      </c>
      <c r="AM42" s="218">
        <v>11.31</v>
      </c>
      <c r="AN42" s="218">
        <v>14.77</v>
      </c>
      <c r="AO42" s="218">
        <v>18.239999999999998</v>
      </c>
      <c r="AP42" s="218">
        <v>274.94</v>
      </c>
      <c r="AQ42" s="218">
        <v>27.97</v>
      </c>
      <c r="AR42" s="218">
        <v>3.88</v>
      </c>
      <c r="AS42" s="218">
        <v>8.57</v>
      </c>
    </row>
    <row r="43" spans="1:45" ht="15" customHeight="1" thickBot="1" x14ac:dyDescent="0.3">
      <c r="A43" s="74" t="str">
        <f t="shared" si="13"/>
        <v>ZR350x2,0</v>
      </c>
      <c r="B43" s="10" t="str">
        <f t="shared" si="14"/>
        <v>350</v>
      </c>
      <c r="C43" s="88">
        <f t="shared" si="15"/>
        <v>94</v>
      </c>
      <c r="D43" s="88">
        <f t="shared" si="16"/>
        <v>100</v>
      </c>
      <c r="E43" s="89">
        <f t="shared" si="17"/>
        <v>23</v>
      </c>
      <c r="F43" s="133" t="str">
        <f t="shared" si="18"/>
        <v>ZR350</v>
      </c>
      <c r="G43" s="80" t="s">
        <v>84</v>
      </c>
      <c r="H43" s="116">
        <v>2</v>
      </c>
      <c r="I43" s="94">
        <v>9.25</v>
      </c>
      <c r="J43" s="111">
        <f>ZR_R_350!J43+(ZR_R_390!$A$1-ZR_R_350!$A$1)/(ZR_R_420!$A$1-ZR_R_350!$A$1)*(ZR_R_420!J43-ZR_R_350!J43)</f>
        <v>8.4</v>
      </c>
      <c r="K43" s="111">
        <f>ZR_R_350!K43+(ZR_R_390!$A$1-ZR_R_350!$A$1)/(ZR_R_420!$A$1-ZR_R_350!$A$1)*(ZR_R_420!K43-ZR_R_350!K43)</f>
        <v>3.0628571428571427</v>
      </c>
      <c r="L43" s="111">
        <f>ZR_R_350!L43+(ZR_R_390!$A$1-ZR_R_350!$A$1)/(ZR_R_420!$A$1-ZR_R_350!$A$1)*(ZR_R_420!L43-ZR_R_350!L43)</f>
        <v>9.74</v>
      </c>
      <c r="M43" s="111">
        <f>ZR_R_350!M43+(ZR_R_390!$A$1-ZR_R_350!$A$1)/(ZR_R_420!$A$1-ZR_R_350!$A$1)*(ZR_R_420!M43-ZR_R_350!M43)</f>
        <v>1710.0428571428572</v>
      </c>
      <c r="N43" s="111">
        <f>ZR_R_350!N43+(ZR_R_390!$A$1-ZR_R_350!$A$1)/(ZR_R_420!$A$1-ZR_R_350!$A$1)*(ZR_R_420!N43-ZR_R_350!N43)</f>
        <v>85.705714285714279</v>
      </c>
      <c r="O43" s="111">
        <f>ZR_R_350!O43+(ZR_R_390!$A$1-ZR_R_350!$A$1)/(ZR_R_420!$A$1-ZR_R_350!$A$1)*(ZR_R_420!O43-ZR_R_350!O43)</f>
        <v>13.238571428571429</v>
      </c>
      <c r="P43" s="111">
        <f>ZR_R_350!P43+(ZR_R_390!$A$1-ZR_R_350!$A$1)/(ZR_R_420!$A$1-ZR_R_350!$A$1)*(ZR_R_420!P43-ZR_R_350!P43)</f>
        <v>15.042857142857143</v>
      </c>
      <c r="Q43" s="111">
        <f>ZR_R_350!Q43+(ZR_R_390!$A$1-ZR_R_350!$A$1)/(ZR_R_420!$A$1-ZR_R_350!$A$1)*(ZR_R_420!Q43-ZR_R_350!Q43)</f>
        <v>9.7928571428571427</v>
      </c>
      <c r="R43" s="111">
        <f>ZR_R_350!R43+(ZR_R_390!$A$1-ZR_R_350!$A$1)/(ZR_R_420!$A$1-ZR_R_350!$A$1)*(ZR_R_420!R43-ZR_R_350!R43)</f>
        <v>1692.4842857142858</v>
      </c>
      <c r="S43" s="111">
        <f>ZR_R_350!S43+(ZR_R_390!$A$1-ZR_R_350!$A$1)/(ZR_R_420!$A$1-ZR_R_350!$A$1)*(ZR_R_420!S43-ZR_R_350!S43)</f>
        <v>86.188571428571436</v>
      </c>
      <c r="T43" s="111">
        <f>ZR_R_350!T43+(ZR_R_390!$A$1-ZR_R_350!$A$1)/(ZR_R_420!$A$1-ZR_R_350!$A$1)*(ZR_R_420!T43-ZR_R_350!T43)</f>
        <v>13.135714285714286</v>
      </c>
      <c r="U43" s="111">
        <f>ZR_R_350!U43+(ZR_R_390!$A$1-ZR_R_350!$A$1)/(ZR_R_420!$A$1-ZR_R_350!$A$1)*(ZR_R_420!U43-ZR_R_350!U43)</f>
        <v>19.64</v>
      </c>
      <c r="V43" s="111">
        <f>ZR_R_350!V43+(ZR_R_390!$A$1-ZR_R_350!$A$1)/(ZR_R_420!$A$1-ZR_R_350!$A$1)*(ZR_R_420!V43-ZR_R_350!V43)</f>
        <v>11.541428571428572</v>
      </c>
      <c r="W43" s="111">
        <f>ZR_R_350!W43+(ZR_R_390!$A$1-ZR_R_350!$A$1)/(ZR_R_420!$A$1-ZR_R_350!$A$1)*(ZR_R_420!W43-ZR_R_350!W43)</f>
        <v>184.59857142857143</v>
      </c>
      <c r="X43" s="111">
        <f>ZR_R_350!X43+(ZR_R_390!$A$1-ZR_R_350!$A$1)/(ZR_R_420!$A$1-ZR_R_350!$A$1)*(ZR_R_420!X43-ZR_R_350!X43)</f>
        <v>17.98142857142857</v>
      </c>
      <c r="Y43" s="111">
        <f>ZR_R_350!Y43+(ZR_R_390!$A$1-ZR_R_350!$A$1)/(ZR_R_420!$A$1-ZR_R_350!$A$1)*(ZR_R_420!Y43-ZR_R_350!Y43)</f>
        <v>3.9942857142857142</v>
      </c>
      <c r="Z43" s="76">
        <f>ZR_R_350!Z43+(ZR_R_390!$A$1-ZR_R_350!$A$1)/(ZR_R_420!$A$1-ZR_R_350!$A$1)*(ZR_R_420!Z43-ZR_R_350!Z43)</f>
        <v>9.1357142857142861</v>
      </c>
      <c r="AB43" s="217">
        <v>9.25</v>
      </c>
      <c r="AC43" s="218">
        <v>8.43</v>
      </c>
      <c r="AD43" s="217">
        <v>3.06</v>
      </c>
      <c r="AE43" s="218">
        <v>9.73</v>
      </c>
      <c r="AF43" s="218">
        <v>1705.6</v>
      </c>
      <c r="AG43" s="218">
        <v>85.7</v>
      </c>
      <c r="AH43" s="218">
        <v>13.24</v>
      </c>
      <c r="AI43" s="218">
        <v>15.04</v>
      </c>
      <c r="AJ43" s="218">
        <v>9.68</v>
      </c>
      <c r="AK43" s="218">
        <v>1692.5</v>
      </c>
      <c r="AL43" s="218">
        <v>85.87</v>
      </c>
      <c r="AM43" s="218">
        <v>13.23</v>
      </c>
      <c r="AN43" s="218">
        <v>19.71</v>
      </c>
      <c r="AO43" s="218">
        <v>11.54</v>
      </c>
      <c r="AP43" s="218">
        <v>184.59</v>
      </c>
      <c r="AQ43" s="218">
        <v>17.98</v>
      </c>
      <c r="AR43" s="218">
        <v>4</v>
      </c>
      <c r="AS43" s="218">
        <v>9.17</v>
      </c>
    </row>
    <row r="44" spans="1:45" ht="15" customHeight="1" thickBot="1" x14ac:dyDescent="0.3">
      <c r="A44" s="72" t="str">
        <f t="shared" si="13"/>
        <v>ZR350x2,5</v>
      </c>
      <c r="B44" s="11" t="str">
        <f t="shared" si="14"/>
        <v>350</v>
      </c>
      <c r="C44" s="90">
        <f t="shared" si="15"/>
        <v>93</v>
      </c>
      <c r="D44" s="90">
        <f t="shared" si="16"/>
        <v>100</v>
      </c>
      <c r="E44" s="90">
        <f t="shared" si="17"/>
        <v>25.5</v>
      </c>
      <c r="F44" s="134" t="str">
        <f t="shared" si="18"/>
        <v>ZR350</v>
      </c>
      <c r="G44" s="81" t="s">
        <v>85</v>
      </c>
      <c r="H44" s="117">
        <v>2.5</v>
      </c>
      <c r="I44" s="96">
        <v>11.61</v>
      </c>
      <c r="J44" s="112">
        <f>ZR_R_350!J44+(ZR_R_390!$A$1-ZR_R_350!$A$1)/(ZR_R_420!$A$1-ZR_R_350!$A$1)*(ZR_R_420!J44-ZR_R_350!J44)</f>
        <v>11.908571428571429</v>
      </c>
      <c r="K44" s="112">
        <f>ZR_R_350!K44+(ZR_R_390!$A$1-ZR_R_350!$A$1)/(ZR_R_420!$A$1-ZR_R_350!$A$1)*(ZR_R_420!K44-ZR_R_350!K44)</f>
        <v>2.9828571428571427</v>
      </c>
      <c r="L44" s="112">
        <f>ZR_R_350!L44+(ZR_R_390!$A$1-ZR_R_350!$A$1)/(ZR_R_420!$A$1-ZR_R_350!$A$1)*(ZR_R_420!L44-ZR_R_350!L44)</f>
        <v>13.192857142857143</v>
      </c>
      <c r="M44" s="112">
        <f>ZR_R_350!M44+(ZR_R_390!$A$1-ZR_R_350!$A$1)/(ZR_R_420!$A$1-ZR_R_350!$A$1)*(ZR_R_420!M44-ZR_R_350!M44)</f>
        <v>2328.75</v>
      </c>
      <c r="N44" s="112">
        <f>ZR_R_350!N44+(ZR_R_390!$A$1-ZR_R_350!$A$1)/(ZR_R_420!$A$1-ZR_R_350!$A$1)*(ZR_R_420!N44-ZR_R_350!N44)</f>
        <v>122.79857142857142</v>
      </c>
      <c r="O44" s="112">
        <f>ZR_R_350!O44+(ZR_R_390!$A$1-ZR_R_350!$A$1)/(ZR_R_420!$A$1-ZR_R_350!$A$1)*(ZR_R_420!O44-ZR_R_350!O44)</f>
        <v>13.275714285714285</v>
      </c>
      <c r="P44" s="112">
        <f>ZR_R_350!P44+(ZR_R_390!$A$1-ZR_R_350!$A$1)/(ZR_R_420!$A$1-ZR_R_350!$A$1)*(ZR_R_420!P44-ZR_R_350!P44)</f>
        <v>16.03</v>
      </c>
      <c r="Q44" s="112">
        <f>ZR_R_350!Q44+(ZR_R_390!$A$1-ZR_R_350!$A$1)/(ZR_R_420!$A$1-ZR_R_350!$A$1)*(ZR_R_420!Q44-ZR_R_350!Q44)</f>
        <v>13.168571428571429</v>
      </c>
      <c r="R44" s="112">
        <f>ZR_R_350!R44+(ZR_R_390!$A$1-ZR_R_350!$A$1)/(ZR_R_420!$A$1-ZR_R_350!$A$1)*(ZR_R_420!R44-ZR_R_350!R44)</f>
        <v>2307.1471428571431</v>
      </c>
      <c r="S44" s="112">
        <f>ZR_R_350!S44+(ZR_R_390!$A$1-ZR_R_350!$A$1)/(ZR_R_420!$A$1-ZR_R_350!$A$1)*(ZR_R_420!S44-ZR_R_350!S44)</f>
        <v>123.91142857142857</v>
      </c>
      <c r="T44" s="112">
        <f>ZR_R_350!T44+(ZR_R_390!$A$1-ZR_R_350!$A$1)/(ZR_R_420!$A$1-ZR_R_350!$A$1)*(ZR_R_420!T44-ZR_R_350!T44)</f>
        <v>13.23</v>
      </c>
      <c r="U44" s="112">
        <f>ZR_R_350!U44+(ZR_R_390!$A$1-ZR_R_350!$A$1)/(ZR_R_420!$A$1-ZR_R_350!$A$1)*(ZR_R_420!U44-ZR_R_350!U44)</f>
        <v>18.625714285714288</v>
      </c>
      <c r="V44" s="112">
        <f>ZR_R_350!V44+(ZR_R_390!$A$1-ZR_R_350!$A$1)/(ZR_R_420!$A$1-ZR_R_350!$A$1)*(ZR_R_420!V44-ZR_R_350!V44)</f>
        <v>14.73</v>
      </c>
      <c r="W44" s="112">
        <f>ZR_R_350!W44+(ZR_R_390!$A$1-ZR_R_350!$A$1)/(ZR_R_420!$A$1-ZR_R_350!$A$1)*(ZR_R_420!W44-ZR_R_350!W44)</f>
        <v>240.71</v>
      </c>
      <c r="X44" s="112">
        <f>ZR_R_350!X44+(ZR_R_390!$A$1-ZR_R_350!$A$1)/(ZR_R_420!$A$1-ZR_R_350!$A$1)*(ZR_R_420!X44-ZR_R_350!X44)</f>
        <v>23.64</v>
      </c>
      <c r="Y44" s="112">
        <f>ZR_R_350!Y44+(ZR_R_390!$A$1-ZR_R_350!$A$1)/(ZR_R_420!$A$1-ZR_R_350!$A$1)*(ZR_R_420!Y44-ZR_R_350!Y44)</f>
        <v>4.04</v>
      </c>
      <c r="Z44" s="77">
        <f>ZR_R_350!Z44+(ZR_R_390!$A$1-ZR_R_350!$A$1)/(ZR_R_420!$A$1-ZR_R_350!$A$1)*(ZR_R_420!Z44-ZR_R_350!Z44)</f>
        <v>9.1199999999999992</v>
      </c>
      <c r="AB44" s="217">
        <v>11.61</v>
      </c>
      <c r="AC44" s="218">
        <v>11.94</v>
      </c>
      <c r="AD44" s="217">
        <v>2.98</v>
      </c>
      <c r="AE44" s="218">
        <v>13.16</v>
      </c>
      <c r="AF44" s="218">
        <v>2323.9</v>
      </c>
      <c r="AG44" s="218">
        <v>122.79</v>
      </c>
      <c r="AH44" s="218">
        <v>13.29</v>
      </c>
      <c r="AI44" s="218">
        <v>16.03</v>
      </c>
      <c r="AJ44" s="218">
        <v>13.12</v>
      </c>
      <c r="AK44" s="218">
        <v>2307.1</v>
      </c>
      <c r="AL44" s="218">
        <v>123.77</v>
      </c>
      <c r="AM44" s="218">
        <v>13.26</v>
      </c>
      <c r="AN44" s="218">
        <v>18.649999999999999</v>
      </c>
      <c r="AO44" s="218">
        <v>14.57</v>
      </c>
      <c r="AP44" s="218">
        <v>234.69</v>
      </c>
      <c r="AQ44" s="218">
        <v>23.64</v>
      </c>
      <c r="AR44" s="218">
        <v>4.04</v>
      </c>
      <c r="AS44" s="218">
        <v>9.1199999999999992</v>
      </c>
    </row>
    <row r="45" spans="1:45" ht="15" customHeight="1" thickBot="1" x14ac:dyDescent="0.3">
      <c r="A45" s="72" t="str">
        <f t="shared" si="13"/>
        <v>ZR350x3,0</v>
      </c>
      <c r="B45" s="11" t="str">
        <f t="shared" si="14"/>
        <v>350</v>
      </c>
      <c r="C45" s="90">
        <f t="shared" si="15"/>
        <v>92</v>
      </c>
      <c r="D45" s="90">
        <f t="shared" si="16"/>
        <v>100</v>
      </c>
      <c r="E45" s="90">
        <f t="shared" si="17"/>
        <v>28</v>
      </c>
      <c r="F45" s="134" t="str">
        <f t="shared" si="18"/>
        <v>ZR350</v>
      </c>
      <c r="G45" s="81" t="s">
        <v>86</v>
      </c>
      <c r="H45" s="117">
        <v>3</v>
      </c>
      <c r="I45" s="96">
        <v>13.98</v>
      </c>
      <c r="J45" s="112">
        <f>ZR_R_350!J45+(ZR_R_390!$A$1-ZR_R_350!$A$1)/(ZR_R_420!$A$1-ZR_R_350!$A$1)*(ZR_R_420!J45-ZR_R_350!J45)</f>
        <v>15.684285714285714</v>
      </c>
      <c r="K45" s="112">
        <f>ZR_R_350!K45+(ZR_R_390!$A$1-ZR_R_350!$A$1)/(ZR_R_420!$A$1-ZR_R_350!$A$1)*(ZR_R_420!K45-ZR_R_350!K45)</f>
        <v>2.927142857142857</v>
      </c>
      <c r="L45" s="112">
        <f>ZR_R_350!L45+(ZR_R_390!$A$1-ZR_R_350!$A$1)/(ZR_R_420!$A$1-ZR_R_350!$A$1)*(ZR_R_420!L45-ZR_R_350!L45)</f>
        <v>16.850000000000001</v>
      </c>
      <c r="M45" s="112">
        <f>ZR_R_350!M45+(ZR_R_390!$A$1-ZR_R_350!$A$1)/(ZR_R_420!$A$1-ZR_R_350!$A$1)*(ZR_R_420!M45-ZR_R_350!M45)</f>
        <v>2954.232857142857</v>
      </c>
      <c r="N45" s="112">
        <f>ZR_R_350!N45+(ZR_R_390!$A$1-ZR_R_350!$A$1)/(ZR_R_420!$A$1-ZR_R_350!$A$1)*(ZR_R_420!N45-ZR_R_350!N45)</f>
        <v>161.78</v>
      </c>
      <c r="O45" s="112">
        <f>ZR_R_350!O45+(ZR_R_390!$A$1-ZR_R_350!$A$1)/(ZR_R_420!$A$1-ZR_R_350!$A$1)*(ZR_R_420!O45-ZR_R_350!O45)</f>
        <v>13.238571428571429</v>
      </c>
      <c r="P45" s="112">
        <f>ZR_R_350!P45+(ZR_R_390!$A$1-ZR_R_350!$A$1)/(ZR_R_420!$A$1-ZR_R_350!$A$1)*(ZR_R_420!P45-ZR_R_350!P45)</f>
        <v>16.739999999999998</v>
      </c>
      <c r="Q45" s="112">
        <f>ZR_R_350!Q45+(ZR_R_390!$A$1-ZR_R_350!$A$1)/(ZR_R_420!$A$1-ZR_R_350!$A$1)*(ZR_R_420!Q45-ZR_R_350!Q45)</f>
        <v>16.8</v>
      </c>
      <c r="R45" s="112">
        <f>ZR_R_350!R45+(ZR_R_390!$A$1-ZR_R_350!$A$1)/(ZR_R_420!$A$1-ZR_R_350!$A$1)*(ZR_R_420!R45-ZR_R_350!R45)</f>
        <v>2936.3185714285714</v>
      </c>
      <c r="S45" s="112">
        <f>ZR_R_350!S45+(ZR_R_390!$A$1-ZR_R_350!$A$1)/(ZR_R_420!$A$1-ZR_R_350!$A$1)*(ZR_R_420!S45-ZR_R_350!S45)</f>
        <v>164.55714285714285</v>
      </c>
      <c r="T45" s="112">
        <f>ZR_R_350!T45+(ZR_R_390!$A$1-ZR_R_350!$A$1)/(ZR_R_420!$A$1-ZR_R_350!$A$1)*(ZR_R_420!T45-ZR_R_350!T45)</f>
        <v>13.211428571428572</v>
      </c>
      <c r="U45" s="112">
        <f>ZR_R_350!U45+(ZR_R_390!$A$1-ZR_R_350!$A$1)/(ZR_R_420!$A$1-ZR_R_350!$A$1)*(ZR_R_420!U45-ZR_R_350!U45)</f>
        <v>17.845714285714283</v>
      </c>
      <c r="V45" s="112">
        <f>ZR_R_350!V45+(ZR_R_390!$A$1-ZR_R_350!$A$1)/(ZR_R_420!$A$1-ZR_R_350!$A$1)*(ZR_R_420!V45-ZR_R_350!V45)</f>
        <v>17.72</v>
      </c>
      <c r="W45" s="112">
        <f>ZR_R_350!W45+(ZR_R_390!$A$1-ZR_R_350!$A$1)/(ZR_R_420!$A$1-ZR_R_350!$A$1)*(ZR_R_420!W45-ZR_R_350!W45)</f>
        <v>292.62</v>
      </c>
      <c r="X45" s="112">
        <f>ZR_R_350!X45+(ZR_R_390!$A$1-ZR_R_350!$A$1)/(ZR_R_420!$A$1-ZR_R_350!$A$1)*(ZR_R_420!X45-ZR_R_350!X45)</f>
        <v>28.73</v>
      </c>
      <c r="Y45" s="112">
        <f>ZR_R_350!Y45+(ZR_R_390!$A$1-ZR_R_350!$A$1)/(ZR_R_420!$A$1-ZR_R_350!$A$1)*(ZR_R_420!Y45-ZR_R_350!Y45)</f>
        <v>4.0599999999999996</v>
      </c>
      <c r="Z45" s="77">
        <f>ZR_R_350!Z45+(ZR_R_390!$A$1-ZR_R_350!$A$1)/(ZR_R_420!$A$1-ZR_R_350!$A$1)*(ZR_R_420!Z45-ZR_R_350!Z45)</f>
        <v>9.02</v>
      </c>
      <c r="AB45" s="217">
        <v>13.98</v>
      </c>
      <c r="AC45" s="218">
        <v>15.71</v>
      </c>
      <c r="AD45" s="217">
        <v>2.93</v>
      </c>
      <c r="AE45" s="218">
        <v>16.809999999999999</v>
      </c>
      <c r="AF45" s="218">
        <v>2951.5</v>
      </c>
      <c r="AG45" s="218">
        <v>161.78</v>
      </c>
      <c r="AH45" s="218">
        <v>13.25</v>
      </c>
      <c r="AI45" s="218">
        <v>16.739999999999998</v>
      </c>
      <c r="AJ45" s="218">
        <v>16.8</v>
      </c>
      <c r="AK45" s="218">
        <v>2936.3</v>
      </c>
      <c r="AL45" s="218">
        <v>164.55</v>
      </c>
      <c r="AM45" s="218">
        <v>13.23</v>
      </c>
      <c r="AN45" s="218">
        <v>17.8</v>
      </c>
      <c r="AO45" s="218">
        <v>17.72</v>
      </c>
      <c r="AP45" s="218">
        <v>292.62</v>
      </c>
      <c r="AQ45" s="218">
        <v>28.73</v>
      </c>
      <c r="AR45" s="218">
        <v>4.0599999999999996</v>
      </c>
      <c r="AS45" s="218">
        <v>9.02</v>
      </c>
    </row>
    <row r="46" spans="1:45" ht="15" customHeight="1" thickBot="1" x14ac:dyDescent="0.3">
      <c r="A46" s="126" t="str">
        <f t="shared" si="13"/>
        <v>ZR350x3,5</v>
      </c>
      <c r="B46" s="12" t="str">
        <f t="shared" si="14"/>
        <v>350</v>
      </c>
      <c r="C46" s="91">
        <f t="shared" si="15"/>
        <v>91</v>
      </c>
      <c r="D46" s="91">
        <f t="shared" si="16"/>
        <v>100</v>
      </c>
      <c r="E46" s="92">
        <f t="shared" si="17"/>
        <v>30.5</v>
      </c>
      <c r="F46" s="135" t="str">
        <f t="shared" si="18"/>
        <v>ZR350</v>
      </c>
      <c r="G46" s="82" t="s">
        <v>87</v>
      </c>
      <c r="H46" s="118">
        <v>3.5</v>
      </c>
      <c r="I46" s="98">
        <v>16.36</v>
      </c>
      <c r="J46" s="113">
        <f>ZR_R_350!J46+(ZR_R_390!$A$1-ZR_R_350!$A$1)/(ZR_R_420!$A$1-ZR_R_350!$A$1)*(ZR_R_420!J46-ZR_R_350!J46)</f>
        <v>19.298571428571428</v>
      </c>
      <c r="K46" s="113">
        <f>ZR_R_350!K46+(ZR_R_390!$A$1-ZR_R_350!$A$1)/(ZR_R_420!$A$1-ZR_R_350!$A$1)*(ZR_R_420!K46-ZR_R_350!K46)</f>
        <v>2.8728571428571428</v>
      </c>
      <c r="L46" s="113">
        <f>ZR_R_350!L46+(ZR_R_390!$A$1-ZR_R_350!$A$1)/(ZR_R_420!$A$1-ZR_R_350!$A$1)*(ZR_R_420!L46-ZR_R_350!L46)</f>
        <v>20.442857142857143</v>
      </c>
      <c r="M46" s="113">
        <f>ZR_R_350!M46+(ZR_R_390!$A$1-ZR_R_350!$A$1)/(ZR_R_420!$A$1-ZR_R_350!$A$1)*(ZR_R_420!M46-ZR_R_350!M46)</f>
        <v>3522.272857142857</v>
      </c>
      <c r="N46" s="113">
        <f>ZR_R_350!N46+(ZR_R_390!$A$1-ZR_R_350!$A$1)/(ZR_R_420!$A$1-ZR_R_350!$A$1)*(ZR_R_420!N46-ZR_R_350!N46)</f>
        <v>196.69142857142856</v>
      </c>
      <c r="O46" s="113">
        <f>ZR_R_350!O46+(ZR_R_390!$A$1-ZR_R_350!$A$1)/(ZR_R_420!$A$1-ZR_R_350!$A$1)*(ZR_R_420!O46-ZR_R_350!O46)</f>
        <v>13.118571428571428</v>
      </c>
      <c r="P46" s="113">
        <f>ZR_R_350!P46+(ZR_R_390!$A$1-ZR_R_350!$A$1)/(ZR_R_420!$A$1-ZR_R_350!$A$1)*(ZR_R_420!P46-ZR_R_350!P46)</f>
        <v>17.088571428571427</v>
      </c>
      <c r="Q46" s="113">
        <f>ZR_R_350!Q46+(ZR_R_390!$A$1-ZR_R_350!$A$1)/(ZR_R_420!$A$1-ZR_R_350!$A$1)*(ZR_R_420!Q46-ZR_R_350!Q46)</f>
        <v>20.44857142857143</v>
      </c>
      <c r="R46" s="113">
        <f>ZR_R_350!R46+(ZR_R_390!$A$1-ZR_R_350!$A$1)/(ZR_R_420!$A$1-ZR_R_350!$A$1)*(ZR_R_420!R46-ZR_R_350!R46)</f>
        <v>3525.0414285714287</v>
      </c>
      <c r="S46" s="113">
        <f>ZR_R_350!S46+(ZR_R_390!$A$1-ZR_R_350!$A$1)/(ZR_R_420!$A$1-ZR_R_350!$A$1)*(ZR_R_420!S46-ZR_R_350!S46)</f>
        <v>199.98285714285714</v>
      </c>
      <c r="T46" s="113">
        <f>ZR_R_350!T46+(ZR_R_390!$A$1-ZR_R_350!$A$1)/(ZR_R_420!$A$1-ZR_R_350!$A$1)*(ZR_R_420!T46-ZR_R_350!T46)</f>
        <v>13.124285714285714</v>
      </c>
      <c r="U46" s="113">
        <f>ZR_R_350!U46+(ZR_R_390!$A$1-ZR_R_350!$A$1)/(ZR_R_420!$A$1-ZR_R_350!$A$1)*(ZR_R_420!U46-ZR_R_350!U46)</f>
        <v>17.375714285714285</v>
      </c>
      <c r="V46" s="113">
        <f>ZR_R_350!V46+(ZR_R_390!$A$1-ZR_R_350!$A$1)/(ZR_R_420!$A$1-ZR_R_350!$A$1)*(ZR_R_420!V46-ZR_R_350!V46)</f>
        <v>20.73</v>
      </c>
      <c r="W46" s="113">
        <f>ZR_R_350!W46+(ZR_R_390!$A$1-ZR_R_350!$A$1)/(ZR_R_420!$A$1-ZR_R_350!$A$1)*(ZR_R_420!W46-ZR_R_350!W46)</f>
        <v>345.43</v>
      </c>
      <c r="X46" s="113">
        <f>ZR_R_350!X46+(ZR_R_390!$A$1-ZR_R_350!$A$1)/(ZR_R_420!$A$1-ZR_R_350!$A$1)*(ZR_R_420!X46-ZR_R_350!X46)</f>
        <v>33.909999999999997</v>
      </c>
      <c r="Y46" s="113">
        <f>ZR_R_350!Y46+(ZR_R_390!$A$1-ZR_R_350!$A$1)/(ZR_R_420!$A$1-ZR_R_350!$A$1)*(ZR_R_420!Y46-ZR_R_350!Y46)</f>
        <v>4.08</v>
      </c>
      <c r="Z46" s="78">
        <f>ZR_R_350!Z46+(ZR_R_390!$A$1-ZR_R_350!$A$1)/(ZR_R_420!$A$1-ZR_R_350!$A$1)*(ZR_R_420!Z46-ZR_R_350!Z46)</f>
        <v>8.91</v>
      </c>
      <c r="AB46" s="217">
        <v>16.36</v>
      </c>
      <c r="AC46" s="218">
        <v>19.29</v>
      </c>
      <c r="AD46" s="217">
        <v>2.88</v>
      </c>
      <c r="AE46" s="218">
        <v>20.399999999999999</v>
      </c>
      <c r="AF46" s="218">
        <v>3522.8</v>
      </c>
      <c r="AG46" s="218">
        <v>196.69</v>
      </c>
      <c r="AH46" s="218">
        <v>13.14</v>
      </c>
      <c r="AI46" s="218">
        <v>17.079999999999998</v>
      </c>
      <c r="AJ46" s="218">
        <v>20.440000000000001</v>
      </c>
      <c r="AK46" s="218">
        <v>3525</v>
      </c>
      <c r="AL46" s="218">
        <v>199.98</v>
      </c>
      <c r="AM46" s="218">
        <v>13.13</v>
      </c>
      <c r="AN46" s="218">
        <v>17.27</v>
      </c>
      <c r="AO46" s="218">
        <v>20.73</v>
      </c>
      <c r="AP46" s="218">
        <v>345.43</v>
      </c>
      <c r="AQ46" s="218">
        <v>33.909999999999997</v>
      </c>
      <c r="AR46" s="218">
        <v>4.08</v>
      </c>
      <c r="AS46" s="218">
        <v>8.91</v>
      </c>
    </row>
    <row r="47" spans="1:45" ht="15" customHeight="1" thickBot="1" x14ac:dyDescent="0.3">
      <c r="A47" s="71" t="str">
        <f t="shared" si="13"/>
        <v>ZR400x2,0</v>
      </c>
      <c r="B47" s="10" t="str">
        <f t="shared" si="14"/>
        <v>400</v>
      </c>
      <c r="C47" s="89">
        <f t="shared" si="15"/>
        <v>94</v>
      </c>
      <c r="D47" s="89">
        <f t="shared" si="16"/>
        <v>100</v>
      </c>
      <c r="E47" s="88">
        <f t="shared" si="17"/>
        <v>23</v>
      </c>
      <c r="F47" s="133" t="str">
        <f t="shared" si="18"/>
        <v>ZR400</v>
      </c>
      <c r="G47" s="80" t="s">
        <v>88</v>
      </c>
      <c r="H47" s="116">
        <v>2</v>
      </c>
      <c r="I47" s="100">
        <v>10.039999999999999</v>
      </c>
      <c r="J47" s="114">
        <f>ZR_R_350!J47+(ZR_R_390!$A$1-ZR_R_350!$A$1)/(ZR_R_420!$A$1-ZR_R_350!$A$1)*(ZR_R_420!J47-ZR_R_350!J47)</f>
        <v>8.4785714285714278</v>
      </c>
      <c r="K47" s="114">
        <f>ZR_R_350!K47+(ZR_R_390!$A$1-ZR_R_350!$A$1)/(ZR_R_420!$A$1-ZR_R_350!$A$1)*(ZR_R_420!K47-ZR_R_350!K47)</f>
        <v>2.887142857142857</v>
      </c>
      <c r="L47" s="114">
        <f>ZR_R_350!L47+(ZR_R_390!$A$1-ZR_R_350!$A$1)/(ZR_R_420!$A$1-ZR_R_350!$A$1)*(ZR_R_420!L47-ZR_R_350!L47)</f>
        <v>10.254285714285714</v>
      </c>
      <c r="M47" s="114">
        <f>ZR_R_350!M47+(ZR_R_390!$A$1-ZR_R_350!$A$1)/(ZR_R_420!$A$1-ZR_R_350!$A$1)*(ZR_R_420!M47-ZR_R_350!M47)</f>
        <v>2289.565714285714</v>
      </c>
      <c r="N47" s="114">
        <f>ZR_R_350!N47+(ZR_R_390!$A$1-ZR_R_350!$A$1)/(ZR_R_420!$A$1-ZR_R_350!$A$1)*(ZR_R_420!N47-ZR_R_350!N47)</f>
        <v>98.902857142857144</v>
      </c>
      <c r="O47" s="114">
        <f>ZR_R_350!O47+(ZR_R_390!$A$1-ZR_R_350!$A$1)/(ZR_R_420!$A$1-ZR_R_350!$A$1)*(ZR_R_420!O47-ZR_R_350!O47)</f>
        <v>14.937142857142858</v>
      </c>
      <c r="P47" s="114">
        <f>ZR_R_350!P47+(ZR_R_390!$A$1-ZR_R_350!$A$1)/(ZR_R_420!$A$1-ZR_R_350!$A$1)*(ZR_R_420!P47-ZR_R_350!P47)</f>
        <v>16.845714285714287</v>
      </c>
      <c r="Q47" s="114">
        <f>ZR_R_350!Q47+(ZR_R_390!$A$1-ZR_R_350!$A$1)/(ZR_R_420!$A$1-ZR_R_350!$A$1)*(ZR_R_420!Q47-ZR_R_350!Q47)</f>
        <v>10.327142857142858</v>
      </c>
      <c r="R47" s="114">
        <f>ZR_R_350!R47+(ZR_R_390!$A$1-ZR_R_350!$A$1)/(ZR_R_420!$A$1-ZR_R_350!$A$1)*(ZR_R_420!R47-ZR_R_350!R47)</f>
        <v>2268.1442857142856</v>
      </c>
      <c r="S47" s="114">
        <f>ZR_R_350!S47+(ZR_R_390!$A$1-ZR_R_350!$A$1)/(ZR_R_420!$A$1-ZR_R_350!$A$1)*(ZR_R_420!S47-ZR_R_350!S47)</f>
        <v>99.481428571428566</v>
      </c>
      <c r="T47" s="114">
        <f>ZR_R_350!T47+(ZR_R_390!$A$1-ZR_R_350!$A$1)/(ZR_R_420!$A$1-ZR_R_350!$A$1)*(ZR_R_420!T47-ZR_R_350!T47)</f>
        <v>14.809999999999999</v>
      </c>
      <c r="U47" s="114">
        <f>ZR_R_350!U47+(ZR_R_390!$A$1-ZR_R_350!$A$1)/(ZR_R_420!$A$1-ZR_R_350!$A$1)*(ZR_R_420!U47-ZR_R_350!U47)</f>
        <v>22.802857142857142</v>
      </c>
      <c r="V47" s="114">
        <f>ZR_R_350!V47+(ZR_R_390!$A$1-ZR_R_350!$A$1)/(ZR_R_420!$A$1-ZR_R_350!$A$1)*(ZR_R_420!V47-ZR_R_350!V47)</f>
        <v>12.541428571428572</v>
      </c>
      <c r="W47" s="114">
        <f>ZR_R_350!W47+(ZR_R_390!$A$1-ZR_R_350!$A$1)/(ZR_R_420!$A$1-ZR_R_350!$A$1)*(ZR_R_420!W47-ZR_R_350!W47)</f>
        <v>184.65</v>
      </c>
      <c r="X47" s="114">
        <f>ZR_R_350!X47+(ZR_R_390!$A$1-ZR_R_350!$A$1)/(ZR_R_420!$A$1-ZR_R_350!$A$1)*(ZR_R_420!X47-ZR_R_350!X47)</f>
        <v>18.011428571428571</v>
      </c>
      <c r="Y47" s="114">
        <f>ZR_R_350!Y47+(ZR_R_390!$A$1-ZR_R_350!$A$1)/(ZR_R_420!$A$1-ZR_R_350!$A$1)*(ZR_R_420!Y47-ZR_R_350!Y47)</f>
        <v>3.8285714285714283</v>
      </c>
      <c r="Z47" s="115">
        <f>ZR_R_350!Z47+(ZR_R_390!$A$1-ZR_R_350!$A$1)/(ZR_R_420!$A$1-ZR_R_350!$A$1)*(ZR_R_420!Z47-ZR_R_350!Z47)</f>
        <v>9.1514285714285712</v>
      </c>
      <c r="AB47" s="217">
        <v>10.039999999999999</v>
      </c>
      <c r="AC47" s="218">
        <v>8.51</v>
      </c>
      <c r="AD47" s="217">
        <v>2.89</v>
      </c>
      <c r="AE47" s="218">
        <v>10.23</v>
      </c>
      <c r="AF47" s="218">
        <v>2281.3000000000002</v>
      </c>
      <c r="AG47" s="218">
        <v>98.9</v>
      </c>
      <c r="AH47" s="218">
        <v>14.93</v>
      </c>
      <c r="AI47" s="218">
        <v>16.84</v>
      </c>
      <c r="AJ47" s="218">
        <v>10.32</v>
      </c>
      <c r="AK47" s="218">
        <v>2265.9</v>
      </c>
      <c r="AL47" s="218">
        <v>98.93</v>
      </c>
      <c r="AM47" s="218">
        <v>14.92</v>
      </c>
      <c r="AN47" s="218">
        <v>22.9</v>
      </c>
      <c r="AO47" s="218">
        <v>12.54</v>
      </c>
      <c r="AP47" s="218">
        <v>184.64500000000001</v>
      </c>
      <c r="AQ47" s="218">
        <v>18.010000000000002</v>
      </c>
      <c r="AR47" s="218">
        <v>3.84</v>
      </c>
      <c r="AS47" s="218">
        <v>9.18</v>
      </c>
    </row>
    <row r="48" spans="1:45" ht="15" customHeight="1" thickBot="1" x14ac:dyDescent="0.3">
      <c r="A48" s="72" t="str">
        <f t="shared" si="13"/>
        <v>ZR400x2,5</v>
      </c>
      <c r="B48" s="11" t="str">
        <f t="shared" si="14"/>
        <v>400</v>
      </c>
      <c r="C48" s="90">
        <f t="shared" si="15"/>
        <v>93</v>
      </c>
      <c r="D48" s="90">
        <f t="shared" si="16"/>
        <v>100</v>
      </c>
      <c r="E48" s="90">
        <f t="shared" si="17"/>
        <v>25.5</v>
      </c>
      <c r="F48" s="134" t="str">
        <f t="shared" si="18"/>
        <v>ZR400</v>
      </c>
      <c r="G48" s="81" t="s">
        <v>89</v>
      </c>
      <c r="H48" s="117">
        <v>2.5</v>
      </c>
      <c r="I48" s="96">
        <v>12.59</v>
      </c>
      <c r="J48" s="112">
        <f>ZR_R_350!J48+(ZR_R_390!$A$1-ZR_R_350!$A$1)/(ZR_R_420!$A$1-ZR_R_350!$A$1)*(ZR_R_420!J48-ZR_R_350!J48)</f>
        <v>12.065714285714286</v>
      </c>
      <c r="K48" s="112">
        <f>ZR_R_350!K48+(ZR_R_390!$A$1-ZR_R_350!$A$1)/(ZR_R_420!$A$1-ZR_R_350!$A$1)*(ZR_R_420!K48-ZR_R_350!K48)</f>
        <v>2.8071428571428569</v>
      </c>
      <c r="L48" s="112">
        <f>ZR_R_350!L48+(ZR_R_390!$A$1-ZR_R_350!$A$1)/(ZR_R_420!$A$1-ZR_R_350!$A$1)*(ZR_R_420!L48-ZR_R_350!L48)</f>
        <v>13.847142857142858</v>
      </c>
      <c r="M48" s="112">
        <f>ZR_R_350!M48+(ZR_R_390!$A$1-ZR_R_350!$A$1)/(ZR_R_420!$A$1-ZR_R_350!$A$1)*(ZR_R_420!M48-ZR_R_350!M48)</f>
        <v>3125.6414285714286</v>
      </c>
      <c r="N48" s="112">
        <f>ZR_R_350!N48+(ZR_R_390!$A$1-ZR_R_350!$A$1)/(ZR_R_420!$A$1-ZR_R_350!$A$1)*(ZR_R_420!N48-ZR_R_350!N48)</f>
        <v>141.76142857142855</v>
      </c>
      <c r="O48" s="112">
        <f>ZR_R_350!O48+(ZR_R_390!$A$1-ZR_R_350!$A$1)/(ZR_R_420!$A$1-ZR_R_350!$A$1)*(ZR_R_420!O48-ZR_R_350!O48)</f>
        <v>15.014285714285714</v>
      </c>
      <c r="P48" s="112">
        <f>ZR_R_350!P48+(ZR_R_390!$A$1-ZR_R_350!$A$1)/(ZR_R_420!$A$1-ZR_R_350!$A$1)*(ZR_R_420!P48-ZR_R_350!P48)</f>
        <v>17.947142857142858</v>
      </c>
      <c r="Q48" s="112">
        <f>ZR_R_350!Q48+(ZR_R_390!$A$1-ZR_R_350!$A$1)/(ZR_R_420!$A$1-ZR_R_350!$A$1)*(ZR_R_420!Q48-ZR_R_350!Q48)</f>
        <v>13.838571428571429</v>
      </c>
      <c r="R48" s="112">
        <f>ZR_R_350!R48+(ZR_R_390!$A$1-ZR_R_350!$A$1)/(ZR_R_420!$A$1-ZR_R_350!$A$1)*(ZR_R_420!R48-ZR_R_350!R48)</f>
        <v>3100.0657142857144</v>
      </c>
      <c r="S48" s="112">
        <f>ZR_R_350!S48+(ZR_R_390!$A$1-ZR_R_350!$A$1)/(ZR_R_420!$A$1-ZR_R_350!$A$1)*(ZR_R_420!S48-ZR_R_350!S48)</f>
        <v>143.02857142857144</v>
      </c>
      <c r="T48" s="112">
        <f>ZR_R_350!T48+(ZR_R_390!$A$1-ZR_R_350!$A$1)/(ZR_R_420!$A$1-ZR_R_350!$A$1)*(ZR_R_420!T48-ZR_R_350!T48)</f>
        <v>14.958571428571428</v>
      </c>
      <c r="U48" s="112">
        <f>ZR_R_350!U48+(ZR_R_390!$A$1-ZR_R_350!$A$1)/(ZR_R_420!$A$1-ZR_R_350!$A$1)*(ZR_R_420!U48-ZR_R_350!U48)</f>
        <v>21.678571428571431</v>
      </c>
      <c r="V48" s="112">
        <f>ZR_R_350!V48+(ZR_R_390!$A$1-ZR_R_350!$A$1)/(ZR_R_420!$A$1-ZR_R_350!$A$1)*(ZR_R_420!V48-ZR_R_350!V48)</f>
        <v>15.98</v>
      </c>
      <c r="W48" s="112">
        <f>ZR_R_350!W48+(ZR_R_390!$A$1-ZR_R_350!$A$1)/(ZR_R_420!$A$1-ZR_R_350!$A$1)*(ZR_R_420!W48-ZR_R_350!W48)</f>
        <v>240.72</v>
      </c>
      <c r="X48" s="112">
        <f>ZR_R_350!X48+(ZR_R_390!$A$1-ZR_R_350!$A$1)/(ZR_R_420!$A$1-ZR_R_350!$A$1)*(ZR_R_420!X48-ZR_R_350!X48)</f>
        <v>23.65</v>
      </c>
      <c r="Y48" s="112">
        <f>ZR_R_350!Y48+(ZR_R_390!$A$1-ZR_R_350!$A$1)/(ZR_R_420!$A$1-ZR_R_350!$A$1)*(ZR_R_420!Y48-ZR_R_350!Y48)</f>
        <v>3.88</v>
      </c>
      <c r="Z48" s="77">
        <f>ZR_R_350!Z48+(ZR_R_390!$A$1-ZR_R_350!$A$1)/(ZR_R_420!$A$1-ZR_R_350!$A$1)*(ZR_R_420!Z48-ZR_R_350!Z48)</f>
        <v>9.1300000000000008</v>
      </c>
      <c r="AB48" s="217">
        <v>12.59</v>
      </c>
      <c r="AC48" s="218">
        <v>12.09</v>
      </c>
      <c r="AD48" s="217">
        <v>2.81</v>
      </c>
      <c r="AE48" s="218">
        <v>13.82</v>
      </c>
      <c r="AF48" s="218">
        <v>3116.3</v>
      </c>
      <c r="AG48" s="218">
        <v>141.76</v>
      </c>
      <c r="AH48" s="218">
        <v>15.02</v>
      </c>
      <c r="AI48" s="218">
        <v>17.940000000000001</v>
      </c>
      <c r="AJ48" s="218">
        <v>13.83</v>
      </c>
      <c r="AK48" s="218">
        <v>3097.6</v>
      </c>
      <c r="AL48" s="218">
        <v>142.61000000000001</v>
      </c>
      <c r="AM48" s="218">
        <v>15</v>
      </c>
      <c r="AN48" s="218">
        <v>21.72</v>
      </c>
      <c r="AO48" s="218">
        <v>15.82</v>
      </c>
      <c r="AP48" s="218">
        <v>234.7</v>
      </c>
      <c r="AQ48" s="218">
        <v>23.65</v>
      </c>
      <c r="AR48" s="218">
        <v>3.88</v>
      </c>
      <c r="AS48" s="218">
        <v>9.1300000000000008</v>
      </c>
    </row>
    <row r="49" spans="1:45" ht="15" customHeight="1" thickBot="1" x14ac:dyDescent="0.3">
      <c r="A49" s="72" t="str">
        <f t="shared" si="13"/>
        <v>ZR400x3,0</v>
      </c>
      <c r="B49" s="11" t="str">
        <f t="shared" si="14"/>
        <v>400</v>
      </c>
      <c r="C49" s="90">
        <f t="shared" si="15"/>
        <v>92</v>
      </c>
      <c r="D49" s="90">
        <f t="shared" si="16"/>
        <v>100</v>
      </c>
      <c r="E49" s="90">
        <f t="shared" si="17"/>
        <v>28</v>
      </c>
      <c r="F49" s="134" t="str">
        <f t="shared" si="18"/>
        <v>ZR400</v>
      </c>
      <c r="G49" s="81" t="s">
        <v>90</v>
      </c>
      <c r="H49" s="117">
        <v>3</v>
      </c>
      <c r="I49" s="96">
        <v>15.15</v>
      </c>
      <c r="J49" s="112">
        <f>ZR_R_350!J49+(ZR_R_390!$A$1-ZR_R_350!$A$1)/(ZR_R_420!$A$1-ZR_R_350!$A$1)*(ZR_R_420!J49-ZR_R_350!J49)</f>
        <v>15.955714285714286</v>
      </c>
      <c r="K49" s="112">
        <f>ZR_R_350!K49+(ZR_R_390!$A$1-ZR_R_350!$A$1)/(ZR_R_420!$A$1-ZR_R_350!$A$1)*(ZR_R_420!K49-ZR_R_350!K49)</f>
        <v>2.7514285714285713</v>
      </c>
      <c r="L49" s="112">
        <f>ZR_R_350!L49+(ZR_R_390!$A$1-ZR_R_350!$A$1)/(ZR_R_420!$A$1-ZR_R_350!$A$1)*(ZR_R_420!L49-ZR_R_350!L49)</f>
        <v>17.658571428571427</v>
      </c>
      <c r="M49" s="112">
        <f>ZR_R_350!M49+(ZR_R_390!$A$1-ZR_R_350!$A$1)/(ZR_R_420!$A$1-ZR_R_350!$A$1)*(ZR_R_420!M49-ZR_R_350!M49)</f>
        <v>3972.7985714285714</v>
      </c>
      <c r="N49" s="112">
        <f>ZR_R_350!N49+(ZR_R_390!$A$1-ZR_R_350!$A$1)/(ZR_R_420!$A$1-ZR_R_350!$A$1)*(ZR_R_420!N49-ZR_R_350!N49)</f>
        <v>186.87285714285713</v>
      </c>
      <c r="O49" s="112">
        <f>ZR_R_350!O49+(ZR_R_390!$A$1-ZR_R_350!$A$1)/(ZR_R_420!$A$1-ZR_R_350!$A$1)*(ZR_R_420!O49-ZR_R_350!O49)</f>
        <v>14.994285714285715</v>
      </c>
      <c r="P49" s="112">
        <f>ZR_R_350!P49+(ZR_R_390!$A$1-ZR_R_350!$A$1)/(ZR_R_420!$A$1-ZR_R_350!$A$1)*(ZR_R_420!P49-ZR_R_350!P49)</f>
        <v>18.737142857142857</v>
      </c>
      <c r="Q49" s="112">
        <f>ZR_R_350!Q49+(ZR_R_390!$A$1-ZR_R_350!$A$1)/(ZR_R_420!$A$1-ZR_R_350!$A$1)*(ZR_R_420!Q49-ZR_R_350!Q49)</f>
        <v>17.618571428571428</v>
      </c>
      <c r="R49" s="112">
        <f>ZR_R_350!R49+(ZR_R_390!$A$1-ZR_R_350!$A$1)/(ZR_R_420!$A$1-ZR_R_350!$A$1)*(ZR_R_420!R49-ZR_R_350!R49)</f>
        <v>3954.8057142857142</v>
      </c>
      <c r="S49" s="112">
        <f>ZR_R_350!S49+(ZR_R_390!$A$1-ZR_R_350!$A$1)/(ZR_R_420!$A$1-ZR_R_350!$A$1)*(ZR_R_420!S49-ZR_R_350!S49)</f>
        <v>190.09857142857143</v>
      </c>
      <c r="T49" s="112">
        <f>ZR_R_350!T49+(ZR_R_390!$A$1-ZR_R_350!$A$1)/(ZR_R_420!$A$1-ZR_R_350!$A$1)*(ZR_R_420!T49-ZR_R_350!T49)</f>
        <v>14.975714285714286</v>
      </c>
      <c r="U49" s="112">
        <f>ZR_R_350!U49+(ZR_R_390!$A$1-ZR_R_350!$A$1)/(ZR_R_420!$A$1-ZR_R_350!$A$1)*(ZR_R_420!U49-ZR_R_350!U49)</f>
        <v>20.804285714285715</v>
      </c>
      <c r="V49" s="112">
        <f>ZR_R_350!V49+(ZR_R_390!$A$1-ZR_R_350!$A$1)/(ZR_R_420!$A$1-ZR_R_350!$A$1)*(ZR_R_420!V49-ZR_R_350!V49)</f>
        <v>19.22</v>
      </c>
      <c r="W49" s="112">
        <f>ZR_R_350!W49+(ZR_R_390!$A$1-ZR_R_350!$A$1)/(ZR_R_420!$A$1-ZR_R_350!$A$1)*(ZR_R_420!W49-ZR_R_350!W49)</f>
        <v>292.63</v>
      </c>
      <c r="X49" s="112">
        <f>ZR_R_350!X49+(ZR_R_390!$A$1-ZR_R_350!$A$1)/(ZR_R_420!$A$1-ZR_R_350!$A$1)*(ZR_R_420!X49-ZR_R_350!X49)</f>
        <v>28.74</v>
      </c>
      <c r="Y49" s="112">
        <f>ZR_R_350!Y49+(ZR_R_390!$A$1-ZR_R_350!$A$1)/(ZR_R_420!$A$1-ZR_R_350!$A$1)*(ZR_R_420!Y49-ZR_R_350!Y49)</f>
        <v>3.9</v>
      </c>
      <c r="Z49" s="77">
        <f>ZR_R_350!Z49+(ZR_R_390!$A$1-ZR_R_350!$A$1)/(ZR_R_420!$A$1-ZR_R_350!$A$1)*(ZR_R_420!Z49-ZR_R_350!Z49)</f>
        <v>9.02</v>
      </c>
      <c r="AB49" s="217">
        <v>15.15</v>
      </c>
      <c r="AC49" s="218">
        <v>15.95</v>
      </c>
      <c r="AD49" s="217">
        <v>2.75</v>
      </c>
      <c r="AE49" s="218">
        <v>17.62</v>
      </c>
      <c r="AF49" s="218">
        <v>3965.5</v>
      </c>
      <c r="AG49" s="218">
        <v>186.87</v>
      </c>
      <c r="AH49" s="218">
        <v>15.88</v>
      </c>
      <c r="AI49" s="218">
        <v>18.73</v>
      </c>
      <c r="AJ49" s="218">
        <v>17.61</v>
      </c>
      <c r="AK49" s="218">
        <v>3954.8</v>
      </c>
      <c r="AL49" s="218">
        <v>190.1</v>
      </c>
      <c r="AM49" s="218">
        <v>14.99</v>
      </c>
      <c r="AN49" s="218">
        <v>20.78</v>
      </c>
      <c r="AO49" s="218">
        <v>19.190000000000001</v>
      </c>
      <c r="AP49" s="218">
        <v>289.01</v>
      </c>
      <c r="AQ49" s="218">
        <v>28.74</v>
      </c>
      <c r="AR49" s="218">
        <v>3.9</v>
      </c>
      <c r="AS49" s="218">
        <v>9.02</v>
      </c>
    </row>
    <row r="50" spans="1:45" ht="15" customHeight="1" thickBot="1" x14ac:dyDescent="0.3">
      <c r="A50" s="72" t="str">
        <f t="shared" si="13"/>
        <v>ZR400x3,5</v>
      </c>
      <c r="B50" s="11" t="str">
        <f t="shared" si="14"/>
        <v>400</v>
      </c>
      <c r="C50" s="90">
        <f t="shared" si="15"/>
        <v>91</v>
      </c>
      <c r="D50" s="90">
        <f t="shared" si="16"/>
        <v>100</v>
      </c>
      <c r="E50" s="90">
        <f t="shared" si="17"/>
        <v>30.5</v>
      </c>
      <c r="F50" s="134" t="str">
        <f t="shared" si="18"/>
        <v>ZR400</v>
      </c>
      <c r="G50" s="81" t="s">
        <v>91</v>
      </c>
      <c r="H50" s="117">
        <v>3.5</v>
      </c>
      <c r="I50" s="96">
        <v>17.73</v>
      </c>
      <c r="J50" s="112">
        <f>ZR_R_350!J50+(ZR_R_390!$A$1-ZR_R_350!$A$1)/(ZR_R_420!$A$1-ZR_R_350!$A$1)*(ZR_R_420!J50-ZR_R_350!J50)</f>
        <v>19.722857142857144</v>
      </c>
      <c r="K50" s="112">
        <f>ZR_R_350!K50+(ZR_R_390!$A$1-ZR_R_350!$A$1)/(ZR_R_420!$A$1-ZR_R_350!$A$1)*(ZR_R_420!K50-ZR_R_350!K50)</f>
        <v>2.6928571428571426</v>
      </c>
      <c r="L50" s="112">
        <f>ZR_R_350!L50+(ZR_R_390!$A$1-ZR_R_350!$A$1)/(ZR_R_420!$A$1-ZR_R_350!$A$1)*(ZR_R_420!L50-ZR_R_350!L50)</f>
        <v>21.415714285714287</v>
      </c>
      <c r="M50" s="112">
        <f>ZR_R_350!M50+(ZR_R_390!$A$1-ZR_R_350!$A$1)/(ZR_R_420!$A$1-ZR_R_350!$A$1)*(ZR_R_420!M50-ZR_R_350!M50)</f>
        <v>4743.6271428571436</v>
      </c>
      <c r="N50" s="112">
        <f>ZR_R_350!N50+(ZR_R_390!$A$1-ZR_R_350!$A$1)/(ZR_R_420!$A$1-ZR_R_350!$A$1)*(ZR_R_420!N50-ZR_R_350!N50)</f>
        <v>227.44571428571427</v>
      </c>
      <c r="O50" s="112">
        <f>ZR_R_350!O50+(ZR_R_390!$A$1-ZR_R_350!$A$1)/(ZR_R_420!$A$1-ZR_R_350!$A$1)*(ZR_R_420!O50-ZR_R_350!O50)</f>
        <v>14.874285714285714</v>
      </c>
      <c r="P50" s="112">
        <f>ZR_R_350!P50+(ZR_R_390!$A$1-ZR_R_350!$A$1)/(ZR_R_420!$A$1-ZR_R_350!$A$1)*(ZR_R_420!P50-ZR_R_350!P50)</f>
        <v>19.141428571428573</v>
      </c>
      <c r="Q50" s="112">
        <f>ZR_R_350!Q50+(ZR_R_390!$A$1-ZR_R_350!$A$1)/(ZR_R_420!$A$1-ZR_R_350!$A$1)*(ZR_R_420!Q50-ZR_R_350!Q50)</f>
        <v>21.44142857142857</v>
      </c>
      <c r="R50" s="112">
        <f>ZR_R_350!R50+(ZR_R_390!$A$1-ZR_R_350!$A$1)/(ZR_R_420!$A$1-ZR_R_350!$A$1)*(ZR_R_420!R50-ZR_R_350!R50)</f>
        <v>4756.2142857142853</v>
      </c>
      <c r="S50" s="112">
        <f>ZR_R_350!S50+(ZR_R_390!$A$1-ZR_R_350!$A$1)/(ZR_R_420!$A$1-ZR_R_350!$A$1)*(ZR_R_420!S50-ZR_R_350!S50)</f>
        <v>234.66</v>
      </c>
      <c r="T50" s="112">
        <f>ZR_R_350!T50+(ZR_R_390!$A$1-ZR_R_350!$A$1)/(ZR_R_420!$A$1-ZR_R_350!$A$1)*(ZR_R_420!T50-ZR_R_350!T50)</f>
        <v>14.884285714285713</v>
      </c>
      <c r="U50" s="112">
        <f>ZR_R_350!U50+(ZR_R_390!$A$1-ZR_R_350!$A$1)/(ZR_R_420!$A$1-ZR_R_350!$A$1)*(ZR_R_420!U50-ZR_R_350!U50)</f>
        <v>20.272857142857141</v>
      </c>
      <c r="V50" s="112">
        <f>ZR_R_350!V50+(ZR_R_390!$A$1-ZR_R_350!$A$1)/(ZR_R_420!$A$1-ZR_R_350!$A$1)*(ZR_R_420!V50-ZR_R_350!V50)</f>
        <v>22.48</v>
      </c>
      <c r="W50" s="112">
        <f>ZR_R_350!W50+(ZR_R_390!$A$1-ZR_R_350!$A$1)/(ZR_R_420!$A$1-ZR_R_350!$A$1)*(ZR_R_420!W50-ZR_R_350!W50)</f>
        <v>345.45</v>
      </c>
      <c r="X50" s="112">
        <f>ZR_R_350!X50+(ZR_R_390!$A$1-ZR_R_350!$A$1)/(ZR_R_420!$A$1-ZR_R_350!$A$1)*(ZR_R_420!X50-ZR_R_350!X50)</f>
        <v>33.909999999999997</v>
      </c>
      <c r="Y50" s="112">
        <f>ZR_R_350!Y50+(ZR_R_390!$A$1-ZR_R_350!$A$1)/(ZR_R_420!$A$1-ZR_R_350!$A$1)*(ZR_R_420!Y50-ZR_R_350!Y50)</f>
        <v>3.91</v>
      </c>
      <c r="Z50" s="77">
        <f>ZR_R_350!Z50+(ZR_R_390!$A$1-ZR_R_350!$A$1)/(ZR_R_420!$A$1-ZR_R_350!$A$1)*(ZR_R_420!Z50-ZR_R_350!Z50)</f>
        <v>8.91</v>
      </c>
      <c r="AB50" s="217">
        <v>17.73</v>
      </c>
      <c r="AC50" s="218">
        <v>19.72</v>
      </c>
      <c r="AD50" s="217">
        <v>2.7</v>
      </c>
      <c r="AE50" s="218">
        <v>21.36</v>
      </c>
      <c r="AF50" s="218">
        <v>4739.5</v>
      </c>
      <c r="AG50" s="218">
        <v>227.44</v>
      </c>
      <c r="AH50" s="218">
        <v>14.76</v>
      </c>
      <c r="AI50" s="218">
        <v>19.14</v>
      </c>
      <c r="AJ50" s="218">
        <v>21.44</v>
      </c>
      <c r="AK50" s="218">
        <v>4756.2</v>
      </c>
      <c r="AL50" s="218">
        <v>234.66</v>
      </c>
      <c r="AM50" s="218">
        <v>14.9</v>
      </c>
      <c r="AN50" s="218">
        <v>20.18</v>
      </c>
      <c r="AO50" s="218">
        <v>22.48</v>
      </c>
      <c r="AP50" s="218">
        <v>345.45</v>
      </c>
      <c r="AQ50" s="218">
        <v>33.909999999999997</v>
      </c>
      <c r="AR50" s="218">
        <v>3.91</v>
      </c>
      <c r="AS50" s="218">
        <v>8.91</v>
      </c>
    </row>
    <row r="51" spans="1:45" ht="15" customHeight="1" thickBot="1" x14ac:dyDescent="0.3">
      <c r="A51" s="73" t="str">
        <f t="shared" si="13"/>
        <v>ZR400x4,0</v>
      </c>
      <c r="B51" s="12" t="str">
        <f t="shared" si="14"/>
        <v>400</v>
      </c>
      <c r="C51" s="91">
        <f t="shared" si="15"/>
        <v>90</v>
      </c>
      <c r="D51" s="91">
        <f t="shared" si="16"/>
        <v>100</v>
      </c>
      <c r="E51" s="91">
        <f t="shared" si="17"/>
        <v>31</v>
      </c>
      <c r="F51" s="135" t="str">
        <f t="shared" si="18"/>
        <v>ZR400</v>
      </c>
      <c r="G51" s="82" t="s">
        <v>92</v>
      </c>
      <c r="H51" s="118">
        <v>4</v>
      </c>
      <c r="I51" s="98">
        <v>20.21</v>
      </c>
      <c r="J51" s="113">
        <f>ZR_R_350!J51+(ZR_R_390!$A$1-ZR_R_350!$A$1)/(ZR_R_420!$A$1-ZR_R_350!$A$1)*(ZR_R_420!J51-ZR_R_350!J51)</f>
        <v>23.422857142857143</v>
      </c>
      <c r="K51" s="113">
        <f>ZR_R_350!K51+(ZR_R_390!$A$1-ZR_R_350!$A$1)/(ZR_R_420!$A$1-ZR_R_350!$A$1)*(ZR_R_420!K51-ZR_R_350!K51)</f>
        <v>2.6028571428571428</v>
      </c>
      <c r="L51" s="113">
        <f>ZR_R_350!L51+(ZR_R_390!$A$1-ZR_R_350!$A$1)/(ZR_R_420!$A$1-ZR_R_350!$A$1)*(ZR_R_420!L51-ZR_R_350!L51)</f>
        <v>25.207142857142856</v>
      </c>
      <c r="M51" s="113">
        <f>ZR_R_350!M51+(ZR_R_390!$A$1-ZR_R_350!$A$1)/(ZR_R_420!$A$1-ZR_R_350!$A$1)*(ZR_R_420!M51-ZR_R_350!M51)</f>
        <v>5491.5385714285721</v>
      </c>
      <c r="N51" s="113">
        <f>ZR_R_350!N51+(ZR_R_390!$A$1-ZR_R_350!$A$1)/(ZR_R_420!$A$1-ZR_R_350!$A$1)*(ZR_R_420!N51-ZR_R_350!N51)</f>
        <v>268.02571428571429</v>
      </c>
      <c r="O51" s="113">
        <f>ZR_R_350!O51+(ZR_R_390!$A$1-ZR_R_350!$A$1)/(ZR_R_420!$A$1-ZR_R_350!$A$1)*(ZR_R_420!O51-ZR_R_350!O51)</f>
        <v>14.754285714285714</v>
      </c>
      <c r="P51" s="113">
        <f>ZR_R_350!P51+(ZR_R_390!$A$1-ZR_R_350!$A$1)/(ZR_R_420!$A$1-ZR_R_350!$A$1)*(ZR_R_420!P51-ZR_R_350!P51)</f>
        <v>19.510000000000002</v>
      </c>
      <c r="Q51" s="113">
        <f>ZR_R_350!Q51+(ZR_R_390!$A$1-ZR_R_350!$A$1)/(ZR_R_420!$A$1-ZR_R_350!$A$1)*(ZR_R_420!Q51-ZR_R_350!Q51)</f>
        <v>25.21857142857143</v>
      </c>
      <c r="R51" s="113">
        <f>ZR_R_350!R51+(ZR_R_390!$A$1-ZR_R_350!$A$1)/(ZR_R_420!$A$1-ZR_R_350!$A$1)*(ZR_R_420!R51-ZR_R_350!R51)</f>
        <v>5496.4514285714286</v>
      </c>
      <c r="S51" s="113">
        <f>ZR_R_350!S51+(ZR_R_390!$A$1-ZR_R_350!$A$1)/(ZR_R_420!$A$1-ZR_R_350!$A$1)*(ZR_R_420!S51-ZR_R_350!S51)</f>
        <v>272.91571428571427</v>
      </c>
      <c r="T51" s="113">
        <f>ZR_R_350!T51+(ZR_R_390!$A$1-ZR_R_350!$A$1)/(ZR_R_420!$A$1-ZR_R_350!$A$1)*(ZR_R_420!T51-ZR_R_350!T51)</f>
        <v>14.754285714285714</v>
      </c>
      <c r="U51" s="113">
        <f>ZR_R_350!U51+(ZR_R_390!$A$1-ZR_R_350!$A$1)/(ZR_R_420!$A$1-ZR_R_350!$A$1)*(ZR_R_420!U51-ZR_R_350!U51)</f>
        <v>19.858571428571427</v>
      </c>
      <c r="V51" s="113">
        <f>ZR_R_350!V51+(ZR_R_390!$A$1-ZR_R_350!$A$1)/(ZR_R_420!$A$1-ZR_R_350!$A$1)*(ZR_R_420!V51-ZR_R_350!V51)</f>
        <v>25.59</v>
      </c>
      <c r="W51" s="113">
        <f>ZR_R_350!W51+(ZR_R_390!$A$1-ZR_R_350!$A$1)/(ZR_R_420!$A$1-ZR_R_350!$A$1)*(ZR_R_420!W51-ZR_R_350!W51)</f>
        <v>385.62</v>
      </c>
      <c r="X51" s="113">
        <f>ZR_R_350!X51+(ZR_R_390!$A$1-ZR_R_350!$A$1)/(ZR_R_420!$A$1-ZR_R_350!$A$1)*(ZR_R_420!X51-ZR_R_350!X51)</f>
        <v>37.82</v>
      </c>
      <c r="Y51" s="113">
        <f>ZR_R_350!Y51+(ZR_R_390!$A$1-ZR_R_350!$A$1)/(ZR_R_420!$A$1-ZR_R_350!$A$1)*(ZR_R_420!Y51-ZR_R_350!Y51)</f>
        <v>3.88</v>
      </c>
      <c r="Z51" s="78">
        <f>ZR_R_350!Z51+(ZR_R_390!$A$1-ZR_R_350!$A$1)/(ZR_R_420!$A$1-ZR_R_350!$A$1)*(ZR_R_420!Z51-ZR_R_350!Z51)</f>
        <v>8.81</v>
      </c>
      <c r="AB51" s="217">
        <v>20.21</v>
      </c>
      <c r="AC51" s="218">
        <v>23.42</v>
      </c>
      <c r="AD51" s="217">
        <v>2.6</v>
      </c>
      <c r="AE51" s="218">
        <v>25.15</v>
      </c>
      <c r="AF51" s="218">
        <v>5493.9</v>
      </c>
      <c r="AG51" s="218">
        <v>268.02</v>
      </c>
      <c r="AH51" s="218">
        <v>14.78</v>
      </c>
      <c r="AI51" s="218">
        <v>19.510000000000002</v>
      </c>
      <c r="AJ51" s="218">
        <v>25.21</v>
      </c>
      <c r="AK51" s="218">
        <v>5496.4</v>
      </c>
      <c r="AL51" s="218">
        <v>272.91000000000003</v>
      </c>
      <c r="AM51" s="218">
        <v>14.77</v>
      </c>
      <c r="AN51" s="218">
        <v>19.739999999999998</v>
      </c>
      <c r="AO51" s="218">
        <v>25.59</v>
      </c>
      <c r="AP51" s="218">
        <v>385.62</v>
      </c>
      <c r="AQ51" s="218">
        <v>37.82</v>
      </c>
      <c r="AR51" s="218">
        <v>3.88</v>
      </c>
      <c r="AS51" s="218">
        <v>8.81</v>
      </c>
    </row>
    <row r="53" spans="1:45" ht="15" customHeight="1" x14ac:dyDescent="0.25">
      <c r="I53" s="242">
        <f>I11-AB11</f>
        <v>0</v>
      </c>
      <c r="J53" s="242">
        <f t="shared" ref="J53:Z53" si="19">J11-AC11</f>
        <v>5.428571428571427E-2</v>
      </c>
      <c r="K53" s="242">
        <f t="shared" si="19"/>
        <v>2.8571428571428914E-3</v>
      </c>
      <c r="L53" s="242">
        <f t="shared" si="19"/>
        <v>-1.4285714285713347E-3</v>
      </c>
      <c r="M53" s="242">
        <f t="shared" si="19"/>
        <v>2.4285714285710469E-2</v>
      </c>
      <c r="N53" s="242">
        <f t="shared" si="19"/>
        <v>-2.8571428571435575E-3</v>
      </c>
      <c r="O53" s="242">
        <f t="shared" si="19"/>
        <v>8.5714285714280081E-3</v>
      </c>
      <c r="P53" s="242">
        <f t="shared" si="19"/>
        <v>-4.2857142857144481E-3</v>
      </c>
      <c r="Q53" s="242">
        <f t="shared" si="19"/>
        <v>-1.4285714285713347E-3</v>
      </c>
      <c r="R53" s="242">
        <f t="shared" si="19"/>
        <v>1.5714285714295784E-2</v>
      </c>
      <c r="S53" s="242">
        <f t="shared" si="19"/>
        <v>4.2857142857144481E-3</v>
      </c>
      <c r="T53" s="242">
        <f t="shared" si="19"/>
        <v>2.8571428571435575E-3</v>
      </c>
      <c r="U53" s="242">
        <f t="shared" si="19"/>
        <v>0</v>
      </c>
      <c r="V53" s="242">
        <f t="shared" si="19"/>
        <v>7.1428571428575616E-3</v>
      </c>
      <c r="W53" s="242">
        <f t="shared" si="19"/>
        <v>1.7142857142857792E-2</v>
      </c>
      <c r="X53" s="242">
        <f t="shared" si="19"/>
        <v>0</v>
      </c>
      <c r="Y53" s="242">
        <f t="shared" si="19"/>
        <v>-2.8571428571426694E-3</v>
      </c>
      <c r="Z53" s="242">
        <f t="shared" si="19"/>
        <v>-4.2857142857135599E-3</v>
      </c>
    </row>
    <row r="54" spans="1:45" ht="15" customHeight="1" x14ac:dyDescent="0.25">
      <c r="I54" s="242">
        <f t="shared" ref="I54:Z54" si="20">I12-AB12</f>
        <v>0</v>
      </c>
      <c r="J54" s="242">
        <f t="shared" si="20"/>
        <v>4.2857142857144481E-3</v>
      </c>
      <c r="K54" s="242">
        <f t="shared" si="20"/>
        <v>2.8571428571428914E-3</v>
      </c>
      <c r="L54" s="242">
        <f t="shared" si="20"/>
        <v>-1.4285714285713347E-3</v>
      </c>
      <c r="M54" s="242">
        <f t="shared" si="20"/>
        <v>2.5714285714286689E-2</v>
      </c>
      <c r="N54" s="242">
        <f t="shared" si="20"/>
        <v>1.2857142857143344E-2</v>
      </c>
      <c r="O54" s="242">
        <f t="shared" si="20"/>
        <v>-1.4285714285717788E-3</v>
      </c>
      <c r="P54" s="242">
        <f t="shared" si="20"/>
        <v>5.7142857142853387E-3</v>
      </c>
      <c r="Q54" s="242">
        <f t="shared" si="20"/>
        <v>-2.8571428571426694E-3</v>
      </c>
      <c r="R54" s="242">
        <f t="shared" si="20"/>
        <v>4.571428571428271E-2</v>
      </c>
      <c r="S54" s="242">
        <f t="shared" si="20"/>
        <v>4.2857142857144481E-3</v>
      </c>
      <c r="T54" s="242">
        <f t="shared" si="20"/>
        <v>-1.4285714285717788E-3</v>
      </c>
      <c r="U54" s="242">
        <f t="shared" si="20"/>
        <v>0</v>
      </c>
      <c r="V54" s="242">
        <f t="shared" si="20"/>
        <v>7.1428571428575616E-3</v>
      </c>
      <c r="W54" s="242">
        <f t="shared" si="20"/>
        <v>1.9999999999999574E-2</v>
      </c>
      <c r="X54" s="242">
        <f t="shared" si="20"/>
        <v>-1.4285714285713347E-3</v>
      </c>
      <c r="Y54" s="242">
        <f t="shared" si="20"/>
        <v>-7.1428571428571175E-3</v>
      </c>
      <c r="Z54" s="242">
        <f t="shared" si="20"/>
        <v>-4.2857142857144481E-3</v>
      </c>
    </row>
    <row r="55" spans="1:45" ht="15" customHeight="1" x14ac:dyDescent="0.25">
      <c r="I55" s="242">
        <f t="shared" ref="I55:Z55" si="21">I13-AB13</f>
        <v>0</v>
      </c>
      <c r="J55" s="242">
        <f t="shared" si="21"/>
        <v>6.7142857142856727E-2</v>
      </c>
      <c r="K55" s="242">
        <f t="shared" si="21"/>
        <v>-1.4285714285713347E-3</v>
      </c>
      <c r="L55" s="242">
        <f t="shared" si="21"/>
        <v>1.4285714285713347E-3</v>
      </c>
      <c r="M55" s="242">
        <f t="shared" si="21"/>
        <v>5.2857142857149597E-2</v>
      </c>
      <c r="N55" s="242">
        <f t="shared" si="21"/>
        <v>1.4285714285714235E-2</v>
      </c>
      <c r="O55" s="242">
        <f t="shared" si="21"/>
        <v>2.8571428571426694E-3</v>
      </c>
      <c r="P55" s="242">
        <f t="shared" si="21"/>
        <v>1.4285714285717788E-3</v>
      </c>
      <c r="Q55" s="242">
        <f t="shared" si="21"/>
        <v>1.4285714285713347E-3</v>
      </c>
      <c r="R55" s="242">
        <f t="shared" si="21"/>
        <v>2.4285714285710469E-2</v>
      </c>
      <c r="S55" s="242">
        <f t="shared" si="21"/>
        <v>9.9999999999997868E-3</v>
      </c>
      <c r="T55" s="242">
        <f t="shared" si="21"/>
        <v>-1.4285714285717788E-3</v>
      </c>
      <c r="U55" s="242">
        <f t="shared" si="21"/>
        <v>-1.4285714285708906E-3</v>
      </c>
      <c r="V55" s="242">
        <f t="shared" si="21"/>
        <v>7.1428571428571175E-3</v>
      </c>
      <c r="W55" s="242">
        <f t="shared" si="21"/>
        <v>1.2857142857143344E-2</v>
      </c>
      <c r="X55" s="242">
        <f t="shared" si="21"/>
        <v>5.7142857142857828E-3</v>
      </c>
      <c r="Y55" s="242">
        <f t="shared" si="21"/>
        <v>2.8571428571431134E-3</v>
      </c>
      <c r="Z55" s="242">
        <f t="shared" si="21"/>
        <v>1.4285714285717788E-3</v>
      </c>
    </row>
    <row r="56" spans="1:45" ht="15" customHeight="1" x14ac:dyDescent="0.25">
      <c r="I56" s="242">
        <f t="shared" ref="I56:Z56" si="22">I14-AB14</f>
        <v>0</v>
      </c>
      <c r="J56" s="242">
        <f t="shared" si="22"/>
        <v>6.5714285714285836E-2</v>
      </c>
      <c r="K56" s="242">
        <f t="shared" si="22"/>
        <v>4.2857142857142261E-3</v>
      </c>
      <c r="L56" s="242">
        <f t="shared" si="22"/>
        <v>-1.4285714285717788E-3</v>
      </c>
      <c r="M56" s="242">
        <f t="shared" si="22"/>
        <v>3.4285714285715585E-2</v>
      </c>
      <c r="N56" s="242">
        <f t="shared" si="22"/>
        <v>1.5714285714285126E-2</v>
      </c>
      <c r="O56" s="242">
        <f t="shared" si="22"/>
        <v>-1.4285714285708906E-3</v>
      </c>
      <c r="P56" s="242">
        <f t="shared" si="22"/>
        <v>5.7142857142862269E-3</v>
      </c>
      <c r="Q56" s="242">
        <f t="shared" si="22"/>
        <v>-2.8571428571426694E-3</v>
      </c>
      <c r="R56" s="242">
        <f t="shared" si="22"/>
        <v>6.5714285714292942E-2</v>
      </c>
      <c r="S56" s="242">
        <f t="shared" si="22"/>
        <v>1.5714285714285126E-2</v>
      </c>
      <c r="T56" s="242">
        <f t="shared" si="22"/>
        <v>2.8571428571426694E-3</v>
      </c>
      <c r="U56" s="242">
        <f t="shared" si="22"/>
        <v>-4.2857142857126718E-3</v>
      </c>
      <c r="V56" s="242">
        <f t="shared" si="22"/>
        <v>7.1428571428571175E-3</v>
      </c>
      <c r="W56" s="242">
        <f t="shared" si="22"/>
        <v>2.5714285714286689E-2</v>
      </c>
      <c r="X56" s="242">
        <f t="shared" si="22"/>
        <v>8.5714285714284522E-3</v>
      </c>
      <c r="Y56" s="242">
        <f t="shared" si="22"/>
        <v>-1.4285714285717788E-3</v>
      </c>
      <c r="Z56" s="242">
        <f t="shared" si="22"/>
        <v>1.4285714285717788E-3</v>
      </c>
    </row>
    <row r="57" spans="1:45" ht="15" customHeight="1" x14ac:dyDescent="0.25">
      <c r="I57" s="242">
        <f t="shared" ref="I57:Z57" si="23">I15-AB15</f>
        <v>0</v>
      </c>
      <c r="J57" s="242">
        <f t="shared" si="23"/>
        <v>8.571428571428541E-2</v>
      </c>
      <c r="K57" s="242">
        <f t="shared" si="23"/>
        <v>-1.28571428571429E-2</v>
      </c>
      <c r="L57" s="242">
        <f t="shared" si="23"/>
        <v>-7.1428571428571175E-3</v>
      </c>
      <c r="M57" s="242">
        <f t="shared" si="23"/>
        <v>-0.46428571428572241</v>
      </c>
      <c r="N57" s="242">
        <f t="shared" si="23"/>
        <v>-1.4285714285726669E-3</v>
      </c>
      <c r="O57" s="242">
        <f t="shared" si="23"/>
        <v>-1.4285714285714235E-2</v>
      </c>
      <c r="P57" s="242">
        <f t="shared" si="23"/>
        <v>-0.17857142857142883</v>
      </c>
      <c r="Q57" s="242">
        <f t="shared" si="23"/>
        <v>-3.8571428571428257E-2</v>
      </c>
      <c r="R57" s="242">
        <f t="shared" si="23"/>
        <v>0</v>
      </c>
      <c r="S57" s="242">
        <f t="shared" si="23"/>
        <v>5.7142857142871151E-3</v>
      </c>
      <c r="T57" s="242">
        <f t="shared" si="23"/>
        <v>-9.9999999999997868E-3</v>
      </c>
      <c r="U57" s="242">
        <f t="shared" si="23"/>
        <v>5.5714285714286937E-2</v>
      </c>
      <c r="V57" s="242">
        <f t="shared" si="23"/>
        <v>0</v>
      </c>
      <c r="W57" s="242">
        <f t="shared" si="23"/>
        <v>0.29285714285714093</v>
      </c>
      <c r="X57" s="242">
        <f t="shared" si="23"/>
        <v>-1.4285714285708906E-3</v>
      </c>
      <c r="Y57" s="242">
        <f t="shared" si="23"/>
        <v>9.9999999999997868E-3</v>
      </c>
      <c r="Z57" s="242">
        <f t="shared" si="23"/>
        <v>-4.0000000000000036E-2</v>
      </c>
    </row>
    <row r="58" spans="1:45" ht="15" customHeight="1" x14ac:dyDescent="0.25">
      <c r="I58" s="242">
        <f t="shared" ref="I58:Z58" si="24">I16-AB16</f>
        <v>0</v>
      </c>
      <c r="J58" s="242">
        <f t="shared" si="24"/>
        <v>0</v>
      </c>
      <c r="K58" s="242">
        <f t="shared" si="24"/>
        <v>0</v>
      </c>
      <c r="L58" s="242">
        <f t="shared" si="24"/>
        <v>0</v>
      </c>
      <c r="M58" s="242">
        <f t="shared" si="24"/>
        <v>0</v>
      </c>
      <c r="N58" s="242">
        <f t="shared" si="24"/>
        <v>0</v>
      </c>
      <c r="O58" s="242">
        <f t="shared" si="24"/>
        <v>0</v>
      </c>
      <c r="P58" s="242">
        <f t="shared" si="24"/>
        <v>0</v>
      </c>
      <c r="Q58" s="242">
        <f t="shared" si="24"/>
        <v>0</v>
      </c>
      <c r="R58" s="242">
        <f t="shared" si="24"/>
        <v>0</v>
      </c>
      <c r="S58" s="242">
        <f t="shared" si="24"/>
        <v>0</v>
      </c>
      <c r="T58" s="242">
        <f t="shared" si="24"/>
        <v>0</v>
      </c>
      <c r="U58" s="242">
        <f t="shared" si="24"/>
        <v>0</v>
      </c>
      <c r="V58" s="242">
        <f t="shared" si="24"/>
        <v>0</v>
      </c>
      <c r="W58" s="242">
        <f t="shared" si="24"/>
        <v>0</v>
      </c>
      <c r="X58" s="242">
        <f t="shared" si="24"/>
        <v>0</v>
      </c>
      <c r="Y58" s="242">
        <f t="shared" si="24"/>
        <v>0</v>
      </c>
      <c r="Z58" s="242">
        <f t="shared" si="24"/>
        <v>0</v>
      </c>
    </row>
    <row r="59" spans="1:45" ht="15" customHeight="1" x14ac:dyDescent="0.25">
      <c r="I59" s="242">
        <f t="shared" ref="I59:Z59" si="25">I17-AB17</f>
        <v>0</v>
      </c>
      <c r="J59" s="242">
        <f t="shared" si="25"/>
        <v>0</v>
      </c>
      <c r="K59" s="242">
        <f t="shared" si="25"/>
        <v>0</v>
      </c>
      <c r="L59" s="242">
        <f t="shared" si="25"/>
        <v>0</v>
      </c>
      <c r="M59" s="242">
        <f t="shared" si="25"/>
        <v>0</v>
      </c>
      <c r="N59" s="242">
        <f t="shared" si="25"/>
        <v>0</v>
      </c>
      <c r="O59" s="242">
        <f t="shared" si="25"/>
        <v>0</v>
      </c>
      <c r="P59" s="242">
        <f t="shared" si="25"/>
        <v>0</v>
      </c>
      <c r="Q59" s="242">
        <f t="shared" si="25"/>
        <v>0</v>
      </c>
      <c r="R59" s="242">
        <f t="shared" si="25"/>
        <v>0</v>
      </c>
      <c r="S59" s="242">
        <f t="shared" si="25"/>
        <v>0</v>
      </c>
      <c r="T59" s="242">
        <f t="shared" si="25"/>
        <v>0</v>
      </c>
      <c r="U59" s="242">
        <f t="shared" si="25"/>
        <v>0</v>
      </c>
      <c r="V59" s="242">
        <f t="shared" si="25"/>
        <v>0</v>
      </c>
      <c r="W59" s="242">
        <f t="shared" si="25"/>
        <v>0</v>
      </c>
      <c r="X59" s="242">
        <f t="shared" si="25"/>
        <v>0</v>
      </c>
      <c r="Y59" s="242">
        <f t="shared" si="25"/>
        <v>0</v>
      </c>
      <c r="Z59" s="242">
        <f t="shared" si="25"/>
        <v>0</v>
      </c>
    </row>
    <row r="60" spans="1:45" ht="15" customHeight="1" x14ac:dyDescent="0.25">
      <c r="I60" s="242">
        <f t="shared" ref="I60:Z60" si="26">I18-AB18</f>
        <v>0</v>
      </c>
      <c r="J60" s="242">
        <f t="shared" si="26"/>
        <v>0</v>
      </c>
      <c r="K60" s="242">
        <f t="shared" si="26"/>
        <v>0</v>
      </c>
      <c r="L60" s="242">
        <f t="shared" si="26"/>
        <v>0</v>
      </c>
      <c r="M60" s="242">
        <f t="shared" si="26"/>
        <v>0</v>
      </c>
      <c r="N60" s="242">
        <f t="shared" si="26"/>
        <v>0</v>
      </c>
      <c r="O60" s="242">
        <f t="shared" si="26"/>
        <v>0</v>
      </c>
      <c r="P60" s="242">
        <f t="shared" si="26"/>
        <v>0</v>
      </c>
      <c r="Q60" s="242">
        <f t="shared" si="26"/>
        <v>0</v>
      </c>
      <c r="R60" s="242">
        <f t="shared" si="26"/>
        <v>0</v>
      </c>
      <c r="S60" s="242">
        <f t="shared" si="26"/>
        <v>0</v>
      </c>
      <c r="T60" s="242">
        <f t="shared" si="26"/>
        <v>0</v>
      </c>
      <c r="U60" s="242">
        <f t="shared" si="26"/>
        <v>0</v>
      </c>
      <c r="V60" s="242">
        <f t="shared" si="26"/>
        <v>0</v>
      </c>
      <c r="W60" s="242">
        <f t="shared" si="26"/>
        <v>0</v>
      </c>
      <c r="X60" s="242">
        <f t="shared" si="26"/>
        <v>0</v>
      </c>
      <c r="Y60" s="242">
        <f t="shared" si="26"/>
        <v>0</v>
      </c>
      <c r="Z60" s="242">
        <f t="shared" si="26"/>
        <v>0</v>
      </c>
    </row>
    <row r="61" spans="1:45" ht="15" customHeight="1" x14ac:dyDescent="0.25">
      <c r="I61" s="242">
        <f t="shared" ref="I61:Z61" si="27">I19-AB19</f>
        <v>0</v>
      </c>
      <c r="J61" s="242">
        <f t="shared" si="27"/>
        <v>7.7142857142857402E-2</v>
      </c>
      <c r="K61" s="242">
        <f t="shared" si="27"/>
        <v>4.2857142857142261E-3</v>
      </c>
      <c r="L61" s="242">
        <f t="shared" si="27"/>
        <v>-1.2857142857142456E-2</v>
      </c>
      <c r="M61" s="242">
        <f t="shared" si="27"/>
        <v>-0.60285714285714675</v>
      </c>
      <c r="N61" s="242">
        <f t="shared" si="27"/>
        <v>-2.8571428571417812E-3</v>
      </c>
      <c r="O61" s="242">
        <f t="shared" si="27"/>
        <v>-1.4285714285714235E-2</v>
      </c>
      <c r="P61" s="242">
        <f t="shared" si="27"/>
        <v>-0.17999999999999972</v>
      </c>
      <c r="Q61" s="242">
        <f t="shared" si="27"/>
        <v>1.4285714285717788E-3</v>
      </c>
      <c r="R61" s="242">
        <f t="shared" si="27"/>
        <v>8.5714285714288962E-3</v>
      </c>
      <c r="S61" s="242">
        <f t="shared" si="27"/>
        <v>4.2857142857144481E-3</v>
      </c>
      <c r="T61" s="242">
        <f t="shared" si="27"/>
        <v>-1.0000000000000675E-2</v>
      </c>
      <c r="U61" s="242">
        <f t="shared" si="27"/>
        <v>4.1428571428570038E-2</v>
      </c>
      <c r="V61" s="242">
        <f t="shared" si="27"/>
        <v>0</v>
      </c>
      <c r="W61" s="242">
        <f t="shared" si="27"/>
        <v>2.2857142857144908E-2</v>
      </c>
      <c r="X61" s="242">
        <f t="shared" si="27"/>
        <v>-1.4285714285717788E-3</v>
      </c>
      <c r="Y61" s="242">
        <f t="shared" si="27"/>
        <v>1.0000000000000231E-2</v>
      </c>
      <c r="Z61" s="242">
        <f t="shared" si="27"/>
        <v>-4.0000000000000036E-2</v>
      </c>
    </row>
    <row r="62" spans="1:45" ht="15" customHeight="1" x14ac:dyDescent="0.25">
      <c r="I62" s="242">
        <f t="shared" ref="I62:Z62" si="28">I20-AB20</f>
        <v>0</v>
      </c>
      <c r="J62" s="242">
        <f t="shared" si="28"/>
        <v>0</v>
      </c>
      <c r="K62" s="242">
        <f t="shared" si="28"/>
        <v>0</v>
      </c>
      <c r="L62" s="242">
        <f t="shared" si="28"/>
        <v>0</v>
      </c>
      <c r="M62" s="242">
        <f t="shared" si="28"/>
        <v>0</v>
      </c>
      <c r="N62" s="242">
        <f t="shared" si="28"/>
        <v>0</v>
      </c>
      <c r="O62" s="242">
        <f t="shared" si="28"/>
        <v>0</v>
      </c>
      <c r="P62" s="242">
        <f t="shared" si="28"/>
        <v>0</v>
      </c>
      <c r="Q62" s="242">
        <f t="shared" si="28"/>
        <v>0</v>
      </c>
      <c r="R62" s="242">
        <f t="shared" si="28"/>
        <v>0</v>
      </c>
      <c r="S62" s="242">
        <f t="shared" si="28"/>
        <v>0</v>
      </c>
      <c r="T62" s="242">
        <f t="shared" si="28"/>
        <v>0</v>
      </c>
      <c r="U62" s="242">
        <f t="shared" si="28"/>
        <v>0</v>
      </c>
      <c r="V62" s="242">
        <f t="shared" si="28"/>
        <v>0</v>
      </c>
      <c r="W62" s="242">
        <f t="shared" si="28"/>
        <v>0</v>
      </c>
      <c r="X62" s="242">
        <f t="shared" si="28"/>
        <v>0</v>
      </c>
      <c r="Y62" s="242">
        <f t="shared" si="28"/>
        <v>0</v>
      </c>
      <c r="Z62" s="242">
        <f t="shared" si="28"/>
        <v>0</v>
      </c>
    </row>
    <row r="63" spans="1:45" ht="15" customHeight="1" x14ac:dyDescent="0.25">
      <c r="I63" s="242">
        <f t="shared" ref="I63:Z63" si="29">I21-AB21</f>
        <v>0</v>
      </c>
      <c r="J63" s="242">
        <f t="shared" si="29"/>
        <v>0</v>
      </c>
      <c r="K63" s="242">
        <f t="shared" si="29"/>
        <v>0</v>
      </c>
      <c r="L63" s="242">
        <f t="shared" si="29"/>
        <v>0</v>
      </c>
      <c r="M63" s="242">
        <f t="shared" si="29"/>
        <v>0</v>
      </c>
      <c r="N63" s="242">
        <f t="shared" si="29"/>
        <v>0</v>
      </c>
      <c r="O63" s="242">
        <f t="shared" si="29"/>
        <v>0</v>
      </c>
      <c r="P63" s="242">
        <f t="shared" si="29"/>
        <v>0</v>
      </c>
      <c r="Q63" s="242">
        <f t="shared" si="29"/>
        <v>0</v>
      </c>
      <c r="R63" s="242">
        <f t="shared" si="29"/>
        <v>0</v>
      </c>
      <c r="S63" s="242">
        <f t="shared" si="29"/>
        <v>0</v>
      </c>
      <c r="T63" s="242">
        <f t="shared" si="29"/>
        <v>0</v>
      </c>
      <c r="U63" s="242">
        <f t="shared" si="29"/>
        <v>0</v>
      </c>
      <c r="V63" s="242">
        <f t="shared" si="29"/>
        <v>0</v>
      </c>
      <c r="W63" s="242">
        <f t="shared" si="29"/>
        <v>0</v>
      </c>
      <c r="X63" s="242">
        <f t="shared" si="29"/>
        <v>0</v>
      </c>
      <c r="Y63" s="242">
        <f t="shared" si="29"/>
        <v>0</v>
      </c>
      <c r="Z63" s="242">
        <f t="shared" si="29"/>
        <v>0</v>
      </c>
    </row>
    <row r="64" spans="1:45" ht="15" customHeight="1" x14ac:dyDescent="0.25">
      <c r="I64" s="242">
        <f t="shared" ref="I64:Z64" si="30">I22-AB22</f>
        <v>0</v>
      </c>
      <c r="J64" s="242">
        <f t="shared" si="30"/>
        <v>0</v>
      </c>
      <c r="K64" s="242">
        <f t="shared" si="30"/>
        <v>0</v>
      </c>
      <c r="L64" s="242">
        <f t="shared" si="30"/>
        <v>0</v>
      </c>
      <c r="M64" s="242">
        <f t="shared" si="30"/>
        <v>0</v>
      </c>
      <c r="N64" s="242">
        <f t="shared" si="30"/>
        <v>0</v>
      </c>
      <c r="O64" s="242">
        <f t="shared" si="30"/>
        <v>0</v>
      </c>
      <c r="P64" s="242">
        <f t="shared" si="30"/>
        <v>0</v>
      </c>
      <c r="Q64" s="242">
        <f t="shared" si="30"/>
        <v>0</v>
      </c>
      <c r="R64" s="242">
        <f t="shared" si="30"/>
        <v>0</v>
      </c>
      <c r="S64" s="242">
        <f t="shared" si="30"/>
        <v>0</v>
      </c>
      <c r="T64" s="242">
        <f t="shared" si="30"/>
        <v>0</v>
      </c>
      <c r="U64" s="242">
        <f t="shared" si="30"/>
        <v>0</v>
      </c>
      <c r="V64" s="242">
        <f t="shared" si="30"/>
        <v>0</v>
      </c>
      <c r="W64" s="242">
        <f t="shared" si="30"/>
        <v>0</v>
      </c>
      <c r="X64" s="242">
        <f t="shared" si="30"/>
        <v>0</v>
      </c>
      <c r="Y64" s="242">
        <f t="shared" si="30"/>
        <v>0</v>
      </c>
      <c r="Z64" s="242">
        <f t="shared" si="30"/>
        <v>0</v>
      </c>
    </row>
    <row r="65" spans="9:26" ht="15" customHeight="1" x14ac:dyDescent="0.25">
      <c r="I65" s="242">
        <f t="shared" ref="I65:Z65" si="31">I23-AB23</f>
        <v>0</v>
      </c>
      <c r="J65" s="242">
        <f t="shared" si="31"/>
        <v>9.1428571428571637E-2</v>
      </c>
      <c r="K65" s="242">
        <f t="shared" si="31"/>
        <v>4.2857142857142261E-3</v>
      </c>
      <c r="L65" s="242">
        <f t="shared" si="31"/>
        <v>5.7142857142857828E-3</v>
      </c>
      <c r="M65" s="242">
        <f t="shared" si="31"/>
        <v>9.1428571428565419E-2</v>
      </c>
      <c r="N65" s="242">
        <f t="shared" si="31"/>
        <v>7.1428571428580057E-3</v>
      </c>
      <c r="O65" s="242">
        <f t="shared" si="31"/>
        <v>7.1428571428571175E-3</v>
      </c>
      <c r="P65" s="242">
        <f t="shared" si="31"/>
        <v>-1.4285714285708906E-3</v>
      </c>
      <c r="Q65" s="242">
        <f t="shared" si="31"/>
        <v>-4.285714285714004E-3</v>
      </c>
      <c r="R65" s="242">
        <f t="shared" si="31"/>
        <v>4.4285714285678068E-2</v>
      </c>
      <c r="S65" s="242">
        <f t="shared" si="31"/>
        <v>7.1428571428580057E-3</v>
      </c>
      <c r="T65" s="242">
        <f t="shared" si="31"/>
        <v>-7.1428571428562293E-3</v>
      </c>
      <c r="U65" s="242">
        <f t="shared" si="31"/>
        <v>1.4285714285708906E-3</v>
      </c>
      <c r="V65" s="242">
        <f t="shared" si="31"/>
        <v>7.1428571428571175E-3</v>
      </c>
      <c r="W65" s="242">
        <f t="shared" si="31"/>
        <v>1.4285714285712459E-2</v>
      </c>
      <c r="X65" s="242">
        <f t="shared" si="31"/>
        <v>5.7142857142857828E-3</v>
      </c>
      <c r="Y65" s="242">
        <f t="shared" si="31"/>
        <v>2.8571428571426694E-3</v>
      </c>
      <c r="Z65" s="242">
        <f t="shared" si="31"/>
        <v>1.4285714285708906E-3</v>
      </c>
    </row>
    <row r="66" spans="9:26" ht="15" customHeight="1" x14ac:dyDescent="0.25">
      <c r="I66" s="242">
        <f t="shared" ref="I66:Z66" si="32">I24-AB24</f>
        <v>0</v>
      </c>
      <c r="J66" s="242">
        <f t="shared" si="32"/>
        <v>9.8571428571428754E-2</v>
      </c>
      <c r="K66" s="242">
        <f t="shared" si="32"/>
        <v>-5.7142857142857828E-3</v>
      </c>
      <c r="L66" s="242">
        <f t="shared" si="32"/>
        <v>0</v>
      </c>
      <c r="M66" s="242">
        <f t="shared" si="32"/>
        <v>9.7142857142841876E-2</v>
      </c>
      <c r="N66" s="242">
        <f t="shared" si="32"/>
        <v>4.2857142857144481E-3</v>
      </c>
      <c r="O66" s="242">
        <f t="shared" si="32"/>
        <v>-2.8571428571435575E-3</v>
      </c>
      <c r="P66" s="242">
        <f t="shared" si="32"/>
        <v>-1.4285714285708906E-3</v>
      </c>
      <c r="Q66" s="242">
        <f t="shared" si="32"/>
        <v>0</v>
      </c>
      <c r="R66" s="242">
        <f t="shared" si="32"/>
        <v>0.14000000000001478</v>
      </c>
      <c r="S66" s="242">
        <f t="shared" si="32"/>
        <v>1.0000000000001563E-2</v>
      </c>
      <c r="T66" s="242">
        <f t="shared" si="32"/>
        <v>-1.4285714285708906E-3</v>
      </c>
      <c r="U66" s="242">
        <f t="shared" si="32"/>
        <v>1.4285714285708906E-3</v>
      </c>
      <c r="V66" s="242">
        <f t="shared" si="32"/>
        <v>7.1428571428571175E-3</v>
      </c>
      <c r="W66" s="242">
        <f t="shared" si="32"/>
        <v>2.1428571428572241E-2</v>
      </c>
      <c r="X66" s="242">
        <f t="shared" si="32"/>
        <v>4.285714285714004E-3</v>
      </c>
      <c r="Y66" s="242">
        <f t="shared" si="32"/>
        <v>-1.4285714285713347E-3</v>
      </c>
      <c r="Z66" s="242">
        <f t="shared" si="32"/>
        <v>-2.8571428571426694E-3</v>
      </c>
    </row>
    <row r="67" spans="9:26" ht="15" customHeight="1" x14ac:dyDescent="0.25">
      <c r="I67" s="242">
        <f t="shared" ref="I67:Z67" si="33">I25-AB25</f>
        <v>0</v>
      </c>
      <c r="J67" s="242">
        <f t="shared" si="33"/>
        <v>5.7142857142862269E-3</v>
      </c>
      <c r="K67" s="242">
        <f t="shared" si="33"/>
        <v>-2.5714285714285579E-2</v>
      </c>
      <c r="L67" s="242">
        <f t="shared" si="33"/>
        <v>-1.2857142857142456E-2</v>
      </c>
      <c r="M67" s="242">
        <f t="shared" si="33"/>
        <v>-0.52857142857141071</v>
      </c>
      <c r="N67" s="242">
        <f t="shared" si="33"/>
        <v>1.4285714285691142E-3</v>
      </c>
      <c r="O67" s="242">
        <f t="shared" si="33"/>
        <v>-1.4285714285714235E-2</v>
      </c>
      <c r="P67" s="242">
        <f t="shared" si="33"/>
        <v>-0.18571428571428683</v>
      </c>
      <c r="Q67" s="242">
        <f t="shared" si="33"/>
        <v>5.7142857142862269E-3</v>
      </c>
      <c r="R67" s="242">
        <f t="shared" si="33"/>
        <v>0</v>
      </c>
      <c r="S67" s="242">
        <f t="shared" si="33"/>
        <v>0</v>
      </c>
      <c r="T67" s="242">
        <f t="shared" si="33"/>
        <v>-9.9999999999997868E-3</v>
      </c>
      <c r="U67" s="242">
        <f t="shared" si="33"/>
        <v>3.2857142857142918E-2</v>
      </c>
      <c r="V67" s="242">
        <f t="shared" si="33"/>
        <v>0</v>
      </c>
      <c r="W67" s="242">
        <f t="shared" si="33"/>
        <v>0.28285714285714292</v>
      </c>
      <c r="X67" s="242">
        <f t="shared" si="33"/>
        <v>-1.4285714285717788E-3</v>
      </c>
      <c r="Y67" s="242">
        <f t="shared" si="33"/>
        <v>-1.0000000000000231E-2</v>
      </c>
      <c r="Z67" s="242">
        <f t="shared" si="33"/>
        <v>-3.5714285714285587E-2</v>
      </c>
    </row>
    <row r="68" spans="9:26" ht="15" customHeight="1" x14ac:dyDescent="0.25">
      <c r="I68" s="242">
        <f t="shared" ref="I68:Z68" si="34">I26-AB26</f>
        <v>0</v>
      </c>
      <c r="J68" s="242">
        <f t="shared" si="34"/>
        <v>4.4285714285715372E-2</v>
      </c>
      <c r="K68" s="242">
        <f t="shared" si="34"/>
        <v>-4.2857142857142261E-3</v>
      </c>
      <c r="L68" s="242">
        <f t="shared" si="34"/>
        <v>0</v>
      </c>
      <c r="M68" s="242">
        <f t="shared" si="34"/>
        <v>-0.58571428571428896</v>
      </c>
      <c r="N68" s="242">
        <f t="shared" si="34"/>
        <v>0</v>
      </c>
      <c r="O68" s="242">
        <f t="shared" si="34"/>
        <v>-2.2857142857143131E-2</v>
      </c>
      <c r="P68" s="242">
        <f t="shared" si="34"/>
        <v>-0.19428571428571395</v>
      </c>
      <c r="Q68" s="242">
        <f t="shared" si="34"/>
        <v>4.2857142857144481E-3</v>
      </c>
      <c r="R68" s="242">
        <f t="shared" si="34"/>
        <v>2.8571428571240176E-3</v>
      </c>
      <c r="S68" s="242">
        <f t="shared" si="34"/>
        <v>2.8571428571382285E-3</v>
      </c>
      <c r="T68" s="242">
        <f t="shared" si="34"/>
        <v>-7.1428571428562293E-3</v>
      </c>
      <c r="U68" s="242">
        <f t="shared" si="34"/>
        <v>8.8571428571428967E-2</v>
      </c>
      <c r="V68" s="242">
        <f t="shared" si="34"/>
        <v>0</v>
      </c>
      <c r="W68" s="242">
        <f t="shared" si="34"/>
        <v>0</v>
      </c>
      <c r="X68" s="242">
        <f t="shared" si="34"/>
        <v>0</v>
      </c>
      <c r="Y68" s="242">
        <f t="shared" si="34"/>
        <v>0</v>
      </c>
      <c r="Z68" s="242">
        <f t="shared" si="34"/>
        <v>0</v>
      </c>
    </row>
    <row r="69" spans="9:26" ht="15" customHeight="1" x14ac:dyDescent="0.25">
      <c r="I69" s="242">
        <f t="shared" ref="I69:Z69" si="35">I27-AB27</f>
        <v>0</v>
      </c>
      <c r="J69" s="242">
        <f t="shared" si="35"/>
        <v>0</v>
      </c>
      <c r="K69" s="242">
        <f t="shared" si="35"/>
        <v>0</v>
      </c>
      <c r="L69" s="242">
        <f t="shared" si="35"/>
        <v>0</v>
      </c>
      <c r="M69" s="242">
        <f t="shared" si="35"/>
        <v>0</v>
      </c>
      <c r="N69" s="242">
        <f t="shared" si="35"/>
        <v>0</v>
      </c>
      <c r="O69" s="242">
        <f t="shared" si="35"/>
        <v>0</v>
      </c>
      <c r="P69" s="242">
        <f t="shared" si="35"/>
        <v>0</v>
      </c>
      <c r="Q69" s="242">
        <f t="shared" si="35"/>
        <v>0</v>
      </c>
      <c r="R69" s="242">
        <f t="shared" si="35"/>
        <v>0</v>
      </c>
      <c r="S69" s="242">
        <f t="shared" si="35"/>
        <v>0</v>
      </c>
      <c r="T69" s="242">
        <f t="shared" si="35"/>
        <v>0</v>
      </c>
      <c r="U69" s="242">
        <f t="shared" si="35"/>
        <v>0</v>
      </c>
      <c r="V69" s="242">
        <f t="shared" si="35"/>
        <v>0</v>
      </c>
      <c r="W69" s="242">
        <f t="shared" si="35"/>
        <v>0</v>
      </c>
      <c r="X69" s="242">
        <f t="shared" si="35"/>
        <v>0</v>
      </c>
      <c r="Y69" s="242">
        <f t="shared" si="35"/>
        <v>0</v>
      </c>
      <c r="Z69" s="242">
        <f t="shared" si="35"/>
        <v>0</v>
      </c>
    </row>
    <row r="70" spans="9:26" ht="15" customHeight="1" x14ac:dyDescent="0.25">
      <c r="I70" s="242">
        <f t="shared" ref="I70:Z70" si="36">I28-AB28</f>
        <v>0</v>
      </c>
      <c r="J70" s="242">
        <f t="shared" si="36"/>
        <v>0</v>
      </c>
      <c r="K70" s="242">
        <f t="shared" si="36"/>
        <v>0</v>
      </c>
      <c r="L70" s="242">
        <f t="shared" si="36"/>
        <v>0</v>
      </c>
      <c r="M70" s="242">
        <f t="shared" si="36"/>
        <v>0</v>
      </c>
      <c r="N70" s="242">
        <f t="shared" si="36"/>
        <v>0</v>
      </c>
      <c r="O70" s="242">
        <f t="shared" si="36"/>
        <v>0</v>
      </c>
      <c r="P70" s="242">
        <f t="shared" si="36"/>
        <v>0</v>
      </c>
      <c r="Q70" s="242">
        <f t="shared" si="36"/>
        <v>0</v>
      </c>
      <c r="R70" s="242">
        <f t="shared" si="36"/>
        <v>0</v>
      </c>
      <c r="S70" s="242">
        <f t="shared" si="36"/>
        <v>0</v>
      </c>
      <c r="T70" s="242">
        <f t="shared" si="36"/>
        <v>0</v>
      </c>
      <c r="U70" s="242">
        <f t="shared" si="36"/>
        <v>0</v>
      </c>
      <c r="V70" s="242">
        <f t="shared" si="36"/>
        <v>0</v>
      </c>
      <c r="W70" s="242">
        <f t="shared" si="36"/>
        <v>0</v>
      </c>
      <c r="X70" s="242">
        <f t="shared" si="36"/>
        <v>0</v>
      </c>
      <c r="Y70" s="242">
        <f t="shared" si="36"/>
        <v>0</v>
      </c>
      <c r="Z70" s="242">
        <f t="shared" si="36"/>
        <v>0</v>
      </c>
    </row>
    <row r="71" spans="9:26" ht="15" customHeight="1" x14ac:dyDescent="0.25">
      <c r="I71" s="242">
        <f t="shared" ref="I71:Z71" si="37">I29-AB29</f>
        <v>0</v>
      </c>
      <c r="J71" s="242">
        <f t="shared" si="37"/>
        <v>-5.0000000000000711E-2</v>
      </c>
      <c r="K71" s="242">
        <f t="shared" si="37"/>
        <v>4.2857142857142261E-3</v>
      </c>
      <c r="L71" s="242">
        <f t="shared" si="37"/>
        <v>-2.8571428571435575E-3</v>
      </c>
      <c r="M71" s="242">
        <f t="shared" si="37"/>
        <v>-0.38857142857142435</v>
      </c>
      <c r="N71" s="242">
        <f t="shared" si="37"/>
        <v>0</v>
      </c>
      <c r="O71" s="242">
        <f t="shared" si="37"/>
        <v>-1.4285714285714235E-2</v>
      </c>
      <c r="P71" s="242">
        <f t="shared" si="37"/>
        <v>-0.19142857142857039</v>
      </c>
      <c r="Q71" s="242">
        <f t="shared" si="37"/>
        <v>5.7142857142853387E-3</v>
      </c>
      <c r="R71" s="242">
        <f t="shared" si="37"/>
        <v>2.857142857180861E-3</v>
      </c>
      <c r="S71" s="242">
        <f t="shared" si="37"/>
        <v>1.4285714285691142E-3</v>
      </c>
      <c r="T71" s="242">
        <f t="shared" si="37"/>
        <v>-9.9999999999997868E-3</v>
      </c>
      <c r="U71" s="242">
        <f t="shared" si="37"/>
        <v>0.13428571428571345</v>
      </c>
      <c r="V71" s="242">
        <f t="shared" si="37"/>
        <v>0</v>
      </c>
      <c r="W71" s="242">
        <f t="shared" si="37"/>
        <v>0.28285714285714292</v>
      </c>
      <c r="X71" s="242">
        <f t="shared" si="37"/>
        <v>-1.4285714285717788E-3</v>
      </c>
      <c r="Y71" s="242">
        <f t="shared" si="37"/>
        <v>-9.9999999999997868E-3</v>
      </c>
      <c r="Z71" s="242">
        <f t="shared" si="37"/>
        <v>-4.0000000000000036E-2</v>
      </c>
    </row>
    <row r="72" spans="9:26" ht="15" customHeight="1" x14ac:dyDescent="0.25">
      <c r="I72" s="242">
        <f t="shared" ref="I72:Z72" si="38">I30-AB30</f>
        <v>0</v>
      </c>
      <c r="J72" s="242">
        <f t="shared" si="38"/>
        <v>2.8571428571426694E-3</v>
      </c>
      <c r="K72" s="242">
        <f t="shared" si="38"/>
        <v>-4.2857142857142261E-3</v>
      </c>
      <c r="L72" s="242">
        <f t="shared" si="38"/>
        <v>4.2857142857135599E-3</v>
      </c>
      <c r="M72" s="242">
        <f t="shared" si="38"/>
        <v>-0.27857142857141071</v>
      </c>
      <c r="N72" s="242">
        <f t="shared" si="38"/>
        <v>-2.8571428571453339E-3</v>
      </c>
      <c r="O72" s="242">
        <f t="shared" si="38"/>
        <v>-2.2857142857143131E-2</v>
      </c>
      <c r="P72" s="242">
        <f t="shared" si="38"/>
        <v>-0.1899999999999995</v>
      </c>
      <c r="Q72" s="242">
        <f t="shared" si="38"/>
        <v>4.2857142857135599E-3</v>
      </c>
      <c r="R72" s="242">
        <f t="shared" si="38"/>
        <v>-3.8571428571458455E-2</v>
      </c>
      <c r="S72" s="242">
        <f t="shared" si="38"/>
        <v>0</v>
      </c>
      <c r="T72" s="242">
        <f t="shared" si="38"/>
        <v>-2.8571428571435575E-3</v>
      </c>
      <c r="U72" s="242">
        <f t="shared" si="38"/>
        <v>0.17428571428571438</v>
      </c>
      <c r="V72" s="242">
        <f t="shared" si="38"/>
        <v>0</v>
      </c>
      <c r="W72" s="242">
        <f t="shared" si="38"/>
        <v>0</v>
      </c>
      <c r="X72" s="242">
        <f t="shared" si="38"/>
        <v>0</v>
      </c>
      <c r="Y72" s="242">
        <f t="shared" si="38"/>
        <v>0</v>
      </c>
      <c r="Z72" s="242">
        <f t="shared" si="38"/>
        <v>0</v>
      </c>
    </row>
    <row r="73" spans="9:26" ht="15" customHeight="1" x14ac:dyDescent="0.25">
      <c r="I73" s="242">
        <f t="shared" ref="I73:Z73" si="39">I31-AB31</f>
        <v>0</v>
      </c>
      <c r="J73" s="242">
        <f t="shared" si="39"/>
        <v>0</v>
      </c>
      <c r="K73" s="242">
        <f t="shared" si="39"/>
        <v>0</v>
      </c>
      <c r="L73" s="242">
        <f t="shared" si="39"/>
        <v>0</v>
      </c>
      <c r="M73" s="242">
        <f t="shared" si="39"/>
        <v>0</v>
      </c>
      <c r="N73" s="242">
        <f t="shared" si="39"/>
        <v>0</v>
      </c>
      <c r="O73" s="242">
        <f t="shared" si="39"/>
        <v>0</v>
      </c>
      <c r="P73" s="242">
        <f t="shared" si="39"/>
        <v>0</v>
      </c>
      <c r="Q73" s="242">
        <f t="shared" si="39"/>
        <v>0</v>
      </c>
      <c r="R73" s="242">
        <f t="shared" si="39"/>
        <v>0</v>
      </c>
      <c r="S73" s="242">
        <f t="shared" si="39"/>
        <v>0</v>
      </c>
      <c r="T73" s="242">
        <f t="shared" si="39"/>
        <v>0</v>
      </c>
      <c r="U73" s="242">
        <f t="shared" si="39"/>
        <v>0</v>
      </c>
      <c r="V73" s="242">
        <f t="shared" si="39"/>
        <v>0</v>
      </c>
      <c r="W73" s="242">
        <f t="shared" si="39"/>
        <v>0</v>
      </c>
      <c r="X73" s="242">
        <f t="shared" si="39"/>
        <v>0</v>
      </c>
      <c r="Y73" s="242">
        <f t="shared" si="39"/>
        <v>0</v>
      </c>
      <c r="Z73" s="242">
        <f t="shared" si="39"/>
        <v>0</v>
      </c>
    </row>
    <row r="74" spans="9:26" ht="15" customHeight="1" x14ac:dyDescent="0.25">
      <c r="I74" s="242">
        <f t="shared" ref="I74:Z74" si="40">I32-AB32</f>
        <v>0</v>
      </c>
      <c r="J74" s="242">
        <f t="shared" si="40"/>
        <v>9.9999999999997868E-3</v>
      </c>
      <c r="K74" s="242">
        <f t="shared" si="40"/>
        <v>0</v>
      </c>
      <c r="L74" s="242">
        <f t="shared" si="40"/>
        <v>0</v>
      </c>
      <c r="M74" s="242">
        <f t="shared" si="40"/>
        <v>0</v>
      </c>
      <c r="N74" s="242">
        <f t="shared" si="40"/>
        <v>0</v>
      </c>
      <c r="O74" s="242">
        <f t="shared" si="40"/>
        <v>0</v>
      </c>
      <c r="P74" s="242">
        <f t="shared" si="40"/>
        <v>0</v>
      </c>
      <c r="Q74" s="242">
        <f t="shared" si="40"/>
        <v>0</v>
      </c>
      <c r="R74" s="242">
        <f t="shared" si="40"/>
        <v>0</v>
      </c>
      <c r="S74" s="242">
        <f t="shared" si="40"/>
        <v>0</v>
      </c>
      <c r="T74" s="242">
        <f t="shared" si="40"/>
        <v>0</v>
      </c>
      <c r="U74" s="242">
        <f t="shared" si="40"/>
        <v>0</v>
      </c>
      <c r="V74" s="242">
        <f t="shared" si="40"/>
        <v>0</v>
      </c>
      <c r="W74" s="242">
        <f t="shared" si="40"/>
        <v>9.9999999999994316E-2</v>
      </c>
      <c r="X74" s="242">
        <f t="shared" si="40"/>
        <v>0</v>
      </c>
      <c r="Y74" s="242">
        <f t="shared" si="40"/>
        <v>0</v>
      </c>
      <c r="Z74" s="242">
        <f t="shared" si="40"/>
        <v>0</v>
      </c>
    </row>
    <row r="75" spans="9:26" ht="15" customHeight="1" x14ac:dyDescent="0.25">
      <c r="I75" s="242">
        <f t="shared" ref="I75:Z75" si="41">I33-AB33</f>
        <v>0</v>
      </c>
      <c r="J75" s="242">
        <f t="shared" si="41"/>
        <v>0.10000000000000009</v>
      </c>
      <c r="K75" s="242">
        <f t="shared" si="41"/>
        <v>-1.4285714285717788E-3</v>
      </c>
      <c r="L75" s="242">
        <f t="shared" si="41"/>
        <v>0</v>
      </c>
      <c r="M75" s="242">
        <f t="shared" si="41"/>
        <v>0.18999999999999773</v>
      </c>
      <c r="N75" s="242">
        <f t="shared" si="41"/>
        <v>1.5714285714285126E-2</v>
      </c>
      <c r="O75" s="242">
        <f t="shared" si="41"/>
        <v>5.7142857142871151E-3</v>
      </c>
      <c r="P75" s="242">
        <f t="shared" si="41"/>
        <v>0</v>
      </c>
      <c r="Q75" s="242">
        <f t="shared" si="41"/>
        <v>0</v>
      </c>
      <c r="R75" s="242">
        <f t="shared" si="41"/>
        <v>0.1957142857143026</v>
      </c>
      <c r="S75" s="242">
        <f t="shared" si="41"/>
        <v>1.8571428571426907E-2</v>
      </c>
      <c r="T75" s="242">
        <f t="shared" si="41"/>
        <v>1.4285714285708906E-3</v>
      </c>
      <c r="U75" s="242">
        <f t="shared" si="41"/>
        <v>-4.2857142857126718E-3</v>
      </c>
      <c r="V75" s="242">
        <f t="shared" si="41"/>
        <v>7.1428571428571175E-3</v>
      </c>
      <c r="W75" s="242">
        <f t="shared" si="41"/>
        <v>2.857142857142847E-2</v>
      </c>
      <c r="X75" s="242">
        <f t="shared" si="41"/>
        <v>2.8571428571426694E-3</v>
      </c>
      <c r="Y75" s="242">
        <f t="shared" si="41"/>
        <v>2.8571428571431134E-3</v>
      </c>
      <c r="Z75" s="242">
        <f t="shared" si="41"/>
        <v>1.4285714285717788E-3</v>
      </c>
    </row>
    <row r="76" spans="9:26" ht="15" customHeight="1" x14ac:dyDescent="0.25">
      <c r="I76" s="242">
        <f t="shared" ref="I76:Z76" si="42">I34-AB34</f>
        <v>0</v>
      </c>
      <c r="J76" s="242">
        <f t="shared" si="42"/>
        <v>0.18142857142857149</v>
      </c>
      <c r="K76" s="242">
        <f t="shared" si="42"/>
        <v>-5.7142857142857828E-3</v>
      </c>
      <c r="L76" s="242">
        <f t="shared" si="42"/>
        <v>8.5714285714280081E-3</v>
      </c>
      <c r="M76" s="242">
        <f t="shared" si="42"/>
        <v>0.28142857142853472</v>
      </c>
      <c r="N76" s="242">
        <f t="shared" si="42"/>
        <v>3.2857142857142918E-2</v>
      </c>
      <c r="O76" s="242">
        <f t="shared" si="42"/>
        <v>-4.2857142857144481E-3</v>
      </c>
      <c r="P76" s="242">
        <f t="shared" si="42"/>
        <v>4.2857142857144481E-3</v>
      </c>
      <c r="Q76" s="242">
        <f t="shared" si="42"/>
        <v>-1.4285714285717788E-3</v>
      </c>
      <c r="R76" s="242">
        <f t="shared" si="42"/>
        <v>0.31000000000000227</v>
      </c>
      <c r="S76" s="242">
        <f t="shared" si="42"/>
        <v>3.8571428571430033E-2</v>
      </c>
      <c r="T76" s="242">
        <f t="shared" si="42"/>
        <v>1.4285714285726669E-3</v>
      </c>
      <c r="U76" s="242">
        <f t="shared" si="42"/>
        <v>-4.2857142857144481E-3</v>
      </c>
      <c r="V76" s="242">
        <f t="shared" si="42"/>
        <v>1.4285714285708906E-3</v>
      </c>
      <c r="W76" s="242">
        <f t="shared" si="42"/>
        <v>3.0000000000001137E-2</v>
      </c>
      <c r="X76" s="242">
        <f t="shared" si="42"/>
        <v>9.9999999999997868E-3</v>
      </c>
      <c r="Y76" s="242">
        <f t="shared" si="42"/>
        <v>2.8571428571431134E-3</v>
      </c>
      <c r="Z76" s="242">
        <f t="shared" si="42"/>
        <v>1.4285714285717788E-3</v>
      </c>
    </row>
    <row r="77" spans="9:26" ht="15" customHeight="1" x14ac:dyDescent="0.25">
      <c r="I77" s="242">
        <f t="shared" ref="I77:Z77" si="43">I35-AB35</f>
        <v>0</v>
      </c>
      <c r="J77" s="242">
        <f t="shared" si="43"/>
        <v>-0.10428571428571498</v>
      </c>
      <c r="K77" s="242">
        <f t="shared" si="43"/>
        <v>0.127142857142857</v>
      </c>
      <c r="L77" s="242">
        <f t="shared" si="43"/>
        <v>-7.7142857142857402E-2</v>
      </c>
      <c r="M77" s="242">
        <f t="shared" si="43"/>
        <v>2.1428571428600662E-2</v>
      </c>
      <c r="N77" s="242">
        <f t="shared" si="43"/>
        <v>0</v>
      </c>
      <c r="O77" s="242">
        <f t="shared" si="43"/>
        <v>-3.2857142857142918E-2</v>
      </c>
      <c r="P77" s="242">
        <f t="shared" si="43"/>
        <v>-0.20714285714285907</v>
      </c>
      <c r="Q77" s="242">
        <f t="shared" si="43"/>
        <v>-0.11428571428571477</v>
      </c>
      <c r="R77" s="242">
        <f t="shared" si="43"/>
        <v>4.2857142857428698E-3</v>
      </c>
      <c r="S77" s="242">
        <f t="shared" si="43"/>
        <v>-1.1271428571428572</v>
      </c>
      <c r="T77" s="242">
        <f t="shared" si="43"/>
        <v>-2.9999999999999361E-2</v>
      </c>
      <c r="U77" s="242">
        <f t="shared" si="43"/>
        <v>3.1428571428572027E-2</v>
      </c>
      <c r="V77" s="242">
        <f t="shared" si="43"/>
        <v>0</v>
      </c>
      <c r="W77" s="242">
        <f t="shared" si="43"/>
        <v>0</v>
      </c>
      <c r="X77" s="242">
        <f t="shared" si="43"/>
        <v>0</v>
      </c>
      <c r="Y77" s="242">
        <f t="shared" si="43"/>
        <v>0</v>
      </c>
      <c r="Z77" s="242">
        <f t="shared" si="43"/>
        <v>-4.9999999999999822E-2</v>
      </c>
    </row>
    <row r="78" spans="9:26" ht="15" customHeight="1" x14ac:dyDescent="0.25">
      <c r="I78" s="242">
        <f t="shared" ref="I78:Z78" si="44">I36-AB36</f>
        <v>0</v>
      </c>
      <c r="J78" s="242">
        <f t="shared" si="44"/>
        <v>-1.4285714285708906E-3</v>
      </c>
      <c r="K78" s="242">
        <f t="shared" si="44"/>
        <v>8.8571428571428523E-2</v>
      </c>
      <c r="L78" s="242">
        <f t="shared" si="44"/>
        <v>-8.7142857142858077E-2</v>
      </c>
      <c r="M78" s="242">
        <f t="shared" si="44"/>
        <v>3.5714285714334437E-2</v>
      </c>
      <c r="N78" s="242">
        <f t="shared" si="44"/>
        <v>1.4285714285762197E-3</v>
      </c>
      <c r="O78" s="242">
        <f t="shared" si="44"/>
        <v>-4.7142857142855377E-2</v>
      </c>
      <c r="P78" s="242">
        <f t="shared" si="44"/>
        <v>-0.20714285714285907</v>
      </c>
      <c r="Q78" s="242">
        <f t="shared" si="44"/>
        <v>-1.4285714285726669E-3</v>
      </c>
      <c r="R78" s="242">
        <f t="shared" si="44"/>
        <v>-3.2857142857096733E-2</v>
      </c>
      <c r="S78" s="242">
        <f t="shared" si="44"/>
        <v>-2.8571428571382285E-3</v>
      </c>
      <c r="T78" s="242">
        <f t="shared" si="44"/>
        <v>-2.7142857142855803E-2</v>
      </c>
      <c r="U78" s="242">
        <f t="shared" si="44"/>
        <v>0.10571428571428498</v>
      </c>
      <c r="V78" s="242">
        <f t="shared" si="44"/>
        <v>0</v>
      </c>
      <c r="W78" s="242">
        <f t="shared" si="44"/>
        <v>0</v>
      </c>
      <c r="X78" s="242">
        <f t="shared" si="44"/>
        <v>0</v>
      </c>
      <c r="Y78" s="242">
        <f t="shared" si="44"/>
        <v>0</v>
      </c>
      <c r="Z78" s="242">
        <f t="shared" si="44"/>
        <v>0</v>
      </c>
    </row>
    <row r="79" spans="9:26" ht="15" customHeight="1" x14ac:dyDescent="0.25">
      <c r="I79" s="242">
        <f t="shared" ref="I79:Z79" si="45">I37-AB37</f>
        <v>0</v>
      </c>
      <c r="J79" s="242">
        <f t="shared" si="45"/>
        <v>0</v>
      </c>
      <c r="K79" s="242">
        <f t="shared" si="45"/>
        <v>0</v>
      </c>
      <c r="L79" s="242">
        <f t="shared" si="45"/>
        <v>0</v>
      </c>
      <c r="M79" s="242">
        <f t="shared" si="45"/>
        <v>0</v>
      </c>
      <c r="N79" s="242">
        <f t="shared" si="45"/>
        <v>0</v>
      </c>
      <c r="O79" s="242">
        <f t="shared" si="45"/>
        <v>0</v>
      </c>
      <c r="P79" s="242">
        <f t="shared" si="45"/>
        <v>0</v>
      </c>
      <c r="Q79" s="242">
        <f t="shared" si="45"/>
        <v>0</v>
      </c>
      <c r="R79" s="242">
        <f t="shared" si="45"/>
        <v>0</v>
      </c>
      <c r="S79" s="242">
        <f t="shared" si="45"/>
        <v>0</v>
      </c>
      <c r="T79" s="242">
        <f t="shared" si="45"/>
        <v>0</v>
      </c>
      <c r="U79" s="242">
        <f t="shared" si="45"/>
        <v>0</v>
      </c>
      <c r="V79" s="242">
        <f t="shared" si="45"/>
        <v>0</v>
      </c>
      <c r="W79" s="242">
        <f t="shared" si="45"/>
        <v>0</v>
      </c>
      <c r="X79" s="242">
        <f t="shared" si="45"/>
        <v>0</v>
      </c>
      <c r="Y79" s="242">
        <f t="shared" si="45"/>
        <v>0</v>
      </c>
      <c r="Z79" s="242">
        <f t="shared" si="45"/>
        <v>0</v>
      </c>
    </row>
    <row r="80" spans="9:26" ht="15" customHeight="1" x14ac:dyDescent="0.25">
      <c r="I80" s="242">
        <f t="shared" ref="I80:Z80" si="46">I38-AB38</f>
        <v>0</v>
      </c>
      <c r="J80" s="242">
        <f t="shared" si="46"/>
        <v>0</v>
      </c>
      <c r="K80" s="242">
        <f t="shared" si="46"/>
        <v>0</v>
      </c>
      <c r="L80" s="242">
        <f t="shared" si="46"/>
        <v>0</v>
      </c>
      <c r="M80" s="242">
        <f t="shared" si="46"/>
        <v>0</v>
      </c>
      <c r="N80" s="242">
        <f t="shared" si="46"/>
        <v>0</v>
      </c>
      <c r="O80" s="242">
        <f t="shared" si="46"/>
        <v>0</v>
      </c>
      <c r="P80" s="242">
        <f t="shared" si="46"/>
        <v>0</v>
      </c>
      <c r="Q80" s="242">
        <f t="shared" si="46"/>
        <v>0</v>
      </c>
      <c r="R80" s="242">
        <f t="shared" si="46"/>
        <v>0</v>
      </c>
      <c r="S80" s="242">
        <f t="shared" si="46"/>
        <v>0</v>
      </c>
      <c r="T80" s="242">
        <f t="shared" si="46"/>
        <v>0</v>
      </c>
      <c r="U80" s="242">
        <f t="shared" si="46"/>
        <v>0</v>
      </c>
      <c r="V80" s="242">
        <f t="shared" si="46"/>
        <v>0</v>
      </c>
      <c r="W80" s="242">
        <f t="shared" si="46"/>
        <v>0</v>
      </c>
      <c r="X80" s="242">
        <f t="shared" si="46"/>
        <v>0</v>
      </c>
      <c r="Y80" s="242">
        <f t="shared" si="46"/>
        <v>0</v>
      </c>
      <c r="Z80" s="242">
        <f t="shared" si="46"/>
        <v>0</v>
      </c>
    </row>
    <row r="81" spans="9:26" ht="15" customHeight="1" x14ac:dyDescent="0.25">
      <c r="I81" s="242">
        <f t="shared" ref="I81:Z81" si="47">I39-AB39</f>
        <v>0</v>
      </c>
      <c r="J81" s="242">
        <f t="shared" si="47"/>
        <v>-2.7142857142857579E-2</v>
      </c>
      <c r="K81" s="242">
        <f t="shared" si="47"/>
        <v>-2.8571428571431134E-3</v>
      </c>
      <c r="L81" s="242">
        <f t="shared" si="47"/>
        <v>1.1428571428570677E-2</v>
      </c>
      <c r="M81" s="242">
        <f t="shared" si="47"/>
        <v>1.4785714285712857</v>
      </c>
      <c r="N81" s="242">
        <f t="shared" si="47"/>
        <v>8.5714285714288962E-3</v>
      </c>
      <c r="O81" s="242">
        <f t="shared" si="47"/>
        <v>-5.7142857142853387E-3</v>
      </c>
      <c r="P81" s="242">
        <f t="shared" si="47"/>
        <v>7.1428571428562293E-3</v>
      </c>
      <c r="Q81" s="242">
        <f t="shared" si="47"/>
        <v>6.2857142857142279E-2</v>
      </c>
      <c r="R81" s="242">
        <f t="shared" si="47"/>
        <v>-1.9999999999754436E-2</v>
      </c>
      <c r="S81" s="242">
        <f t="shared" si="47"/>
        <v>8.1428571428574514E-2</v>
      </c>
      <c r="T81" s="242">
        <f t="shared" si="47"/>
        <v>-5.714285714285694E-2</v>
      </c>
      <c r="U81" s="242">
        <f t="shared" si="47"/>
        <v>-3.2857142857142918E-2</v>
      </c>
      <c r="V81" s="242">
        <f t="shared" si="47"/>
        <v>1.4285714285708906E-3</v>
      </c>
      <c r="W81" s="242">
        <f t="shared" si="47"/>
        <v>8.5714285714288962E-3</v>
      </c>
      <c r="X81" s="242">
        <f t="shared" si="47"/>
        <v>0</v>
      </c>
      <c r="Y81" s="242">
        <f t="shared" si="47"/>
        <v>-5.7142857142857828E-3</v>
      </c>
      <c r="Z81" s="242">
        <f t="shared" si="47"/>
        <v>-2.857142857142847E-2</v>
      </c>
    </row>
    <row r="82" spans="9:26" ht="15" customHeight="1" x14ac:dyDescent="0.25">
      <c r="I82" s="242">
        <f t="shared" ref="I82:Z82" si="48">I40-AB40</f>
        <v>0</v>
      </c>
      <c r="J82" s="242">
        <f t="shared" si="48"/>
        <v>-3.2857142857142918E-2</v>
      </c>
      <c r="K82" s="242">
        <f t="shared" si="48"/>
        <v>1.4285714285713347E-3</v>
      </c>
      <c r="L82" s="242">
        <f t="shared" si="48"/>
        <v>2.000000000000135E-2</v>
      </c>
      <c r="M82" s="242">
        <f t="shared" si="48"/>
        <v>-0.64428571428561554</v>
      </c>
      <c r="N82" s="242">
        <f t="shared" si="48"/>
        <v>8.5714285714431071E-3</v>
      </c>
      <c r="O82" s="242">
        <f t="shared" si="48"/>
        <v>1.4285714285708906E-3</v>
      </c>
      <c r="P82" s="242">
        <f t="shared" si="48"/>
        <v>2.8571428571417812E-3</v>
      </c>
      <c r="Q82" s="242">
        <f t="shared" si="48"/>
        <v>1.1428571428570677E-2</v>
      </c>
      <c r="R82" s="242">
        <f t="shared" si="48"/>
        <v>0.16999999999984539</v>
      </c>
      <c r="S82" s="242">
        <f t="shared" si="48"/>
        <v>-4.428571428570649E-2</v>
      </c>
      <c r="T82" s="242">
        <f t="shared" si="48"/>
        <v>-4.2857142857144481E-3</v>
      </c>
      <c r="U82" s="242">
        <f t="shared" si="48"/>
        <v>1.1428571428570677E-2</v>
      </c>
      <c r="V82" s="242">
        <f t="shared" si="48"/>
        <v>4.9999999999998934E-2</v>
      </c>
      <c r="W82" s="242">
        <f t="shared" si="48"/>
        <v>1.6699999999999875</v>
      </c>
      <c r="X82" s="242">
        <f t="shared" si="48"/>
        <v>0</v>
      </c>
      <c r="Y82" s="242">
        <f t="shared" si="48"/>
        <v>0</v>
      </c>
      <c r="Z82" s="242">
        <f t="shared" si="48"/>
        <v>0</v>
      </c>
    </row>
    <row r="83" spans="9:26" ht="15" customHeight="1" x14ac:dyDescent="0.25">
      <c r="I83" s="242">
        <f t="shared" ref="I83:Z83" si="49">I41-AB41</f>
        <v>0</v>
      </c>
      <c r="J83" s="242">
        <f t="shared" si="49"/>
        <v>2.8571428571417812E-3</v>
      </c>
      <c r="K83" s="242">
        <f t="shared" si="49"/>
        <v>-2.8571428571431134E-3</v>
      </c>
      <c r="L83" s="242">
        <f t="shared" si="49"/>
        <v>2.5714285714286689E-2</v>
      </c>
      <c r="M83" s="242">
        <f t="shared" si="49"/>
        <v>-3.3571428571428896</v>
      </c>
      <c r="N83" s="242">
        <f t="shared" si="49"/>
        <v>7.1428571428668874E-3</v>
      </c>
      <c r="O83" s="242">
        <f t="shared" si="49"/>
        <v>-1.4285714285708906E-3</v>
      </c>
      <c r="P83" s="242">
        <f t="shared" si="49"/>
        <v>1.4285714285708906E-3</v>
      </c>
      <c r="Q83" s="242">
        <f t="shared" si="49"/>
        <v>4.2857142857162245E-3</v>
      </c>
      <c r="R83" s="242">
        <f t="shared" si="49"/>
        <v>4.7142857142716821E-2</v>
      </c>
      <c r="S83" s="242">
        <f t="shared" si="49"/>
        <v>2.8571428571240176E-3</v>
      </c>
      <c r="T83" s="242">
        <f t="shared" si="49"/>
        <v>2.8571428571435575E-3</v>
      </c>
      <c r="U83" s="242">
        <f t="shared" si="49"/>
        <v>0.10571428571428498</v>
      </c>
      <c r="V83" s="242">
        <f t="shared" si="49"/>
        <v>0</v>
      </c>
      <c r="W83" s="242">
        <f t="shared" si="49"/>
        <v>0</v>
      </c>
      <c r="X83" s="242">
        <f t="shared" si="49"/>
        <v>0</v>
      </c>
      <c r="Y83" s="242">
        <f t="shared" si="49"/>
        <v>0</v>
      </c>
      <c r="Z83" s="242">
        <f t="shared" si="49"/>
        <v>0</v>
      </c>
    </row>
    <row r="84" spans="9:26" ht="15" customHeight="1" x14ac:dyDescent="0.25">
      <c r="I84" s="242">
        <f t="shared" ref="I84:Z84" si="50">I42-AB42</f>
        <v>0</v>
      </c>
      <c r="J84" s="242">
        <f t="shared" si="50"/>
        <v>0</v>
      </c>
      <c r="K84" s="242">
        <f t="shared" si="50"/>
        <v>-2.8571428571426694E-3</v>
      </c>
      <c r="L84" s="242">
        <f t="shared" si="50"/>
        <v>0</v>
      </c>
      <c r="M84" s="242">
        <f t="shared" si="50"/>
        <v>0</v>
      </c>
      <c r="N84" s="242">
        <f t="shared" si="50"/>
        <v>0</v>
      </c>
      <c r="O84" s="242">
        <f t="shared" si="50"/>
        <v>0</v>
      </c>
      <c r="P84" s="242">
        <f t="shared" si="50"/>
        <v>0</v>
      </c>
      <c r="Q84" s="242">
        <f t="shared" si="50"/>
        <v>0</v>
      </c>
      <c r="R84" s="242">
        <f t="shared" si="50"/>
        <v>0</v>
      </c>
      <c r="S84" s="242">
        <f t="shared" si="50"/>
        <v>0</v>
      </c>
      <c r="T84" s="242">
        <f t="shared" si="50"/>
        <v>0</v>
      </c>
      <c r="U84" s="242">
        <f t="shared" si="50"/>
        <v>0</v>
      </c>
      <c r="V84" s="242">
        <f t="shared" si="50"/>
        <v>0</v>
      </c>
      <c r="W84" s="242">
        <f t="shared" si="50"/>
        <v>0</v>
      </c>
      <c r="X84" s="242">
        <f t="shared" si="50"/>
        <v>0</v>
      </c>
      <c r="Y84" s="242">
        <f t="shared" si="50"/>
        <v>0</v>
      </c>
      <c r="Z84" s="242">
        <f t="shared" si="50"/>
        <v>0</v>
      </c>
    </row>
    <row r="85" spans="9:26" ht="15" customHeight="1" x14ac:dyDescent="0.25">
      <c r="I85" s="242">
        <f t="shared" ref="I85:Z85" si="51">I43-AB43</f>
        <v>0</v>
      </c>
      <c r="J85" s="242">
        <f t="shared" si="51"/>
        <v>-2.9999999999999361E-2</v>
      </c>
      <c r="K85" s="242">
        <f t="shared" si="51"/>
        <v>2.8571428571426694E-3</v>
      </c>
      <c r="L85" s="242">
        <f t="shared" si="51"/>
        <v>9.9999999999997868E-3</v>
      </c>
      <c r="M85" s="242">
        <f t="shared" si="51"/>
        <v>4.4428571428572923</v>
      </c>
      <c r="N85" s="242">
        <f t="shared" si="51"/>
        <v>5.7142857142764569E-3</v>
      </c>
      <c r="O85" s="242">
        <f t="shared" si="51"/>
        <v>-1.4285714285708906E-3</v>
      </c>
      <c r="P85" s="242">
        <f t="shared" si="51"/>
        <v>2.8571428571435575E-3</v>
      </c>
      <c r="Q85" s="242">
        <f t="shared" si="51"/>
        <v>0.11285714285714299</v>
      </c>
      <c r="R85" s="242">
        <f t="shared" si="51"/>
        <v>-1.571428571423894E-2</v>
      </c>
      <c r="S85" s="242">
        <f t="shared" si="51"/>
        <v>0.31857142857143117</v>
      </c>
      <c r="T85" s="242">
        <f t="shared" si="51"/>
        <v>-9.4285714285714306E-2</v>
      </c>
      <c r="U85" s="242">
        <f t="shared" si="51"/>
        <v>-7.0000000000000284E-2</v>
      </c>
      <c r="V85" s="242">
        <f t="shared" si="51"/>
        <v>1.4285714285726669E-3</v>
      </c>
      <c r="W85" s="242">
        <f t="shared" si="51"/>
        <v>8.5714285714288962E-3</v>
      </c>
      <c r="X85" s="242">
        <f t="shared" si="51"/>
        <v>1.4285714285691142E-3</v>
      </c>
      <c r="Y85" s="242">
        <f t="shared" si="51"/>
        <v>-5.7142857142857828E-3</v>
      </c>
      <c r="Z85" s="242">
        <f t="shared" si="51"/>
        <v>-3.4285714285713809E-2</v>
      </c>
    </row>
    <row r="86" spans="9:26" ht="15" customHeight="1" x14ac:dyDescent="0.25">
      <c r="I86" s="242">
        <f t="shared" ref="I86:Z86" si="52">I44-AB44</f>
        <v>0</v>
      </c>
      <c r="J86" s="242">
        <f t="shared" si="52"/>
        <v>-3.1428571428570251E-2</v>
      </c>
      <c r="K86" s="242">
        <f t="shared" si="52"/>
        <v>2.8571428571426694E-3</v>
      </c>
      <c r="L86" s="242">
        <f t="shared" si="52"/>
        <v>3.2857142857142918E-2</v>
      </c>
      <c r="M86" s="242">
        <f t="shared" si="52"/>
        <v>4.8499999999999091</v>
      </c>
      <c r="N86" s="242">
        <f t="shared" si="52"/>
        <v>8.5714285714146854E-3</v>
      </c>
      <c r="O86" s="242">
        <f t="shared" si="52"/>
        <v>-1.4285714285714235E-2</v>
      </c>
      <c r="P86" s="242">
        <f t="shared" si="52"/>
        <v>0</v>
      </c>
      <c r="Q86" s="242">
        <f t="shared" si="52"/>
        <v>4.857142857142982E-2</v>
      </c>
      <c r="R86" s="242">
        <f t="shared" si="52"/>
        <v>4.7142857143171568E-2</v>
      </c>
      <c r="S86" s="242">
        <f t="shared" si="52"/>
        <v>0.14142857142857679</v>
      </c>
      <c r="T86" s="242">
        <f t="shared" si="52"/>
        <v>-2.9999999999999361E-2</v>
      </c>
      <c r="U86" s="242">
        <f t="shared" si="52"/>
        <v>-2.4285714285710469E-2</v>
      </c>
      <c r="V86" s="242">
        <f t="shared" si="52"/>
        <v>0.16000000000000014</v>
      </c>
      <c r="W86" s="242">
        <f t="shared" si="52"/>
        <v>6.0200000000000102</v>
      </c>
      <c r="X86" s="242">
        <f t="shared" si="52"/>
        <v>0</v>
      </c>
      <c r="Y86" s="242">
        <f t="shared" si="52"/>
        <v>0</v>
      </c>
      <c r="Z86" s="242">
        <f t="shared" si="52"/>
        <v>0</v>
      </c>
    </row>
    <row r="87" spans="9:26" ht="15" customHeight="1" x14ac:dyDescent="0.25">
      <c r="I87" s="242">
        <f t="shared" ref="I87:Z87" si="53">I45-AB45</f>
        <v>0</v>
      </c>
      <c r="J87" s="242">
        <f t="shared" si="53"/>
        <v>-2.5714285714286689E-2</v>
      </c>
      <c r="K87" s="242">
        <f t="shared" si="53"/>
        <v>-2.8571428571431134E-3</v>
      </c>
      <c r="L87" s="242">
        <f t="shared" si="53"/>
        <v>4.00000000000027E-2</v>
      </c>
      <c r="M87" s="242">
        <f t="shared" si="53"/>
        <v>2.7328571428570285</v>
      </c>
      <c r="N87" s="242">
        <f t="shared" si="53"/>
        <v>0</v>
      </c>
      <c r="O87" s="242">
        <f t="shared" si="53"/>
        <v>-1.1428571428570677E-2</v>
      </c>
      <c r="P87" s="242">
        <f t="shared" si="53"/>
        <v>0</v>
      </c>
      <c r="Q87" s="242">
        <f t="shared" si="53"/>
        <v>0</v>
      </c>
      <c r="R87" s="242">
        <f t="shared" si="53"/>
        <v>1.8571428571249271E-2</v>
      </c>
      <c r="S87" s="242">
        <f t="shared" si="53"/>
        <v>7.1428571428384657E-3</v>
      </c>
      <c r="T87" s="242">
        <f t="shared" si="53"/>
        <v>-1.8571428571428683E-2</v>
      </c>
      <c r="U87" s="242">
        <f t="shared" si="53"/>
        <v>4.571428571428271E-2</v>
      </c>
      <c r="V87" s="242">
        <f t="shared" si="53"/>
        <v>0</v>
      </c>
      <c r="W87" s="242">
        <f t="shared" si="53"/>
        <v>0</v>
      </c>
      <c r="X87" s="242">
        <f t="shared" si="53"/>
        <v>0</v>
      </c>
      <c r="Y87" s="242">
        <f t="shared" si="53"/>
        <v>0</v>
      </c>
      <c r="Z87" s="242">
        <f t="shared" si="53"/>
        <v>0</v>
      </c>
    </row>
    <row r="88" spans="9:26" ht="15" customHeight="1" x14ac:dyDescent="0.25">
      <c r="I88" s="242">
        <f t="shared" ref="I88:Z88" si="54">I46-AB46</f>
        <v>0</v>
      </c>
      <c r="J88" s="242">
        <f t="shared" si="54"/>
        <v>8.5714285714288962E-3</v>
      </c>
      <c r="K88" s="242">
        <f t="shared" si="54"/>
        <v>-7.1428571428571175E-3</v>
      </c>
      <c r="L88" s="242">
        <f t="shared" si="54"/>
        <v>4.2857142857144481E-2</v>
      </c>
      <c r="M88" s="242">
        <f t="shared" si="54"/>
        <v>-0.52714285714318976</v>
      </c>
      <c r="N88" s="242">
        <f t="shared" si="54"/>
        <v>1.4285714285620088E-3</v>
      </c>
      <c r="O88" s="242">
        <f t="shared" si="54"/>
        <v>-2.1428571428572241E-2</v>
      </c>
      <c r="P88" s="242">
        <f t="shared" si="54"/>
        <v>8.5714285714288962E-3</v>
      </c>
      <c r="Q88" s="242">
        <f t="shared" si="54"/>
        <v>8.5714285714288962E-3</v>
      </c>
      <c r="R88" s="242">
        <f t="shared" si="54"/>
        <v>4.1428571428696159E-2</v>
      </c>
      <c r="S88" s="242">
        <f t="shared" si="54"/>
        <v>2.8571428571524393E-3</v>
      </c>
      <c r="T88" s="242">
        <f t="shared" si="54"/>
        <v>-5.7142857142871151E-3</v>
      </c>
      <c r="U88" s="242">
        <f t="shared" si="54"/>
        <v>0.10571428571428498</v>
      </c>
      <c r="V88" s="242">
        <f t="shared" si="54"/>
        <v>0</v>
      </c>
      <c r="W88" s="242">
        <f t="shared" si="54"/>
        <v>0</v>
      </c>
      <c r="X88" s="242">
        <f t="shared" si="54"/>
        <v>0</v>
      </c>
      <c r="Y88" s="242">
        <f t="shared" si="54"/>
        <v>0</v>
      </c>
      <c r="Z88" s="242">
        <f t="shared" si="54"/>
        <v>0</v>
      </c>
    </row>
    <row r="89" spans="9:26" ht="15" customHeight="1" x14ac:dyDescent="0.25">
      <c r="I89" s="242">
        <f t="shared" ref="I89:Z89" si="55">I47-AB47</f>
        <v>0</v>
      </c>
      <c r="J89" s="242">
        <f t="shared" si="55"/>
        <v>-3.1428571428572027E-2</v>
      </c>
      <c r="K89" s="242">
        <f t="shared" si="55"/>
        <v>-2.8571428571431134E-3</v>
      </c>
      <c r="L89" s="242">
        <f t="shared" si="55"/>
        <v>2.4285714285714022E-2</v>
      </c>
      <c r="M89" s="242">
        <f t="shared" si="55"/>
        <v>8.2657142857137842</v>
      </c>
      <c r="N89" s="242">
        <f t="shared" si="55"/>
        <v>2.8571428571382285E-3</v>
      </c>
      <c r="O89" s="242">
        <f t="shared" si="55"/>
        <v>7.1428571428580057E-3</v>
      </c>
      <c r="P89" s="242">
        <f t="shared" si="55"/>
        <v>5.7142857142871151E-3</v>
      </c>
      <c r="Q89" s="242">
        <f t="shared" si="55"/>
        <v>7.1428571428580057E-3</v>
      </c>
      <c r="R89" s="242">
        <f t="shared" si="55"/>
        <v>2.2442857142855246</v>
      </c>
      <c r="S89" s="242">
        <f t="shared" si="55"/>
        <v>0.55142857142855917</v>
      </c>
      <c r="T89" s="242">
        <f t="shared" si="55"/>
        <v>-0.11000000000000121</v>
      </c>
      <c r="U89" s="242">
        <f t="shared" si="55"/>
        <v>-9.7142857142856087E-2</v>
      </c>
      <c r="V89" s="242">
        <f t="shared" si="55"/>
        <v>1.4285714285726669E-3</v>
      </c>
      <c r="W89" s="242">
        <f t="shared" si="55"/>
        <v>4.9999999999954525E-3</v>
      </c>
      <c r="X89" s="242">
        <f t="shared" si="55"/>
        <v>1.4285714285691142E-3</v>
      </c>
      <c r="Y89" s="242">
        <f t="shared" si="55"/>
        <v>-1.1428571428571566E-2</v>
      </c>
      <c r="Z89" s="242">
        <f t="shared" si="55"/>
        <v>-2.857142857142847E-2</v>
      </c>
    </row>
    <row r="90" spans="9:26" ht="15" customHeight="1" x14ac:dyDescent="0.25">
      <c r="I90" s="242">
        <f t="shared" ref="I90:Z90" si="56">I48-AB48</f>
        <v>0</v>
      </c>
      <c r="J90" s="242">
        <f t="shared" si="56"/>
        <v>-2.4285714285714022E-2</v>
      </c>
      <c r="K90" s="242">
        <f t="shared" si="56"/>
        <v>-2.8571428571431134E-3</v>
      </c>
      <c r="L90" s="242">
        <f t="shared" si="56"/>
        <v>2.7142857142857579E-2</v>
      </c>
      <c r="M90" s="242">
        <f t="shared" si="56"/>
        <v>9.3414285714284233</v>
      </c>
      <c r="N90" s="242">
        <f t="shared" si="56"/>
        <v>1.4285714285620088E-3</v>
      </c>
      <c r="O90" s="242">
        <f t="shared" si="56"/>
        <v>-5.7142857142853387E-3</v>
      </c>
      <c r="P90" s="242">
        <f t="shared" si="56"/>
        <v>7.1428571428562293E-3</v>
      </c>
      <c r="Q90" s="242">
        <f t="shared" si="56"/>
        <v>8.5714285714288962E-3</v>
      </c>
      <c r="R90" s="242">
        <f t="shared" si="56"/>
        <v>2.4657142857145118</v>
      </c>
      <c r="S90" s="242">
        <f t="shared" si="56"/>
        <v>0.41857142857142549</v>
      </c>
      <c r="T90" s="242">
        <f t="shared" si="56"/>
        <v>-4.1428571428571814E-2</v>
      </c>
      <c r="U90" s="242">
        <f t="shared" si="56"/>
        <v>-4.1428571428568262E-2</v>
      </c>
      <c r="V90" s="242">
        <f t="shared" si="56"/>
        <v>0.16000000000000014</v>
      </c>
      <c r="W90" s="242">
        <f t="shared" si="56"/>
        <v>6.0200000000000102</v>
      </c>
      <c r="X90" s="242">
        <f t="shared" si="56"/>
        <v>0</v>
      </c>
      <c r="Y90" s="242">
        <f t="shared" si="56"/>
        <v>0</v>
      </c>
      <c r="Z90" s="242">
        <f t="shared" si="56"/>
        <v>0</v>
      </c>
    </row>
    <row r="91" spans="9:26" ht="15" customHeight="1" x14ac:dyDescent="0.25">
      <c r="I91" s="242">
        <f t="shared" ref="I91:Z91" si="57">I49-AB49</f>
        <v>0</v>
      </c>
      <c r="J91" s="242">
        <f t="shared" si="57"/>
        <v>5.7142857142871151E-3</v>
      </c>
      <c r="K91" s="242">
        <f t="shared" si="57"/>
        <v>1.4285714285713347E-3</v>
      </c>
      <c r="L91" s="242">
        <f t="shared" si="57"/>
        <v>3.857142857142648E-2</v>
      </c>
      <c r="M91" s="242">
        <f t="shared" si="57"/>
        <v>7.2985714285714494</v>
      </c>
      <c r="N91" s="242">
        <f t="shared" si="57"/>
        <v>2.8571428571240176E-3</v>
      </c>
      <c r="O91" s="242">
        <f t="shared" si="57"/>
        <v>-0.88571428571428612</v>
      </c>
      <c r="P91" s="242">
        <f t="shared" si="57"/>
        <v>7.1428571428562293E-3</v>
      </c>
      <c r="Q91" s="242">
        <f t="shared" si="57"/>
        <v>8.5714285714288962E-3</v>
      </c>
      <c r="R91" s="242">
        <f t="shared" si="57"/>
        <v>5.7142857140206615E-3</v>
      </c>
      <c r="S91" s="242">
        <f t="shared" si="57"/>
        <v>-1.4285714285620088E-3</v>
      </c>
      <c r="T91" s="242">
        <f t="shared" si="57"/>
        <v>-1.4285714285714235E-2</v>
      </c>
      <c r="U91" s="242">
        <f t="shared" si="57"/>
        <v>2.4285714285714022E-2</v>
      </c>
      <c r="V91" s="242">
        <f t="shared" si="57"/>
        <v>2.9999999999997584E-2</v>
      </c>
      <c r="W91" s="242">
        <f t="shared" si="57"/>
        <v>3.6200000000000045</v>
      </c>
      <c r="X91" s="242">
        <f t="shared" si="57"/>
        <v>0</v>
      </c>
      <c r="Y91" s="242">
        <f t="shared" si="57"/>
        <v>0</v>
      </c>
      <c r="Z91" s="242">
        <f t="shared" si="57"/>
        <v>0</v>
      </c>
    </row>
    <row r="92" spans="9:26" ht="15" customHeight="1" x14ac:dyDescent="0.25">
      <c r="I92" s="242">
        <f t="shared" ref="I92:Z92" si="58">I50-AB50</f>
        <v>0</v>
      </c>
      <c r="J92" s="242">
        <f t="shared" si="58"/>
        <v>2.8571428571453339E-3</v>
      </c>
      <c r="K92" s="242">
        <f t="shared" si="58"/>
        <v>-7.1428571428575616E-3</v>
      </c>
      <c r="L92" s="242">
        <f t="shared" si="58"/>
        <v>5.5714285714287826E-2</v>
      </c>
      <c r="M92" s="242">
        <f t="shared" si="58"/>
        <v>4.1271428571435536</v>
      </c>
      <c r="N92" s="242">
        <f t="shared" si="58"/>
        <v>5.7142857142764569E-3</v>
      </c>
      <c r="O92" s="242">
        <f t="shared" si="58"/>
        <v>0.11428571428571388</v>
      </c>
      <c r="P92" s="242">
        <f t="shared" si="58"/>
        <v>1.4285714285726669E-3</v>
      </c>
      <c r="Q92" s="242">
        <f t="shared" si="58"/>
        <v>1.4285714285691142E-3</v>
      </c>
      <c r="R92" s="242">
        <f t="shared" si="58"/>
        <v>1.4285714285506401E-2</v>
      </c>
      <c r="S92" s="242">
        <f t="shared" si="58"/>
        <v>0</v>
      </c>
      <c r="T92" s="242">
        <f t="shared" si="58"/>
        <v>-1.5714285714286902E-2</v>
      </c>
      <c r="U92" s="242">
        <f t="shared" si="58"/>
        <v>9.2857142857141639E-2</v>
      </c>
      <c r="V92" s="242">
        <f t="shared" si="58"/>
        <v>0</v>
      </c>
      <c r="W92" s="242">
        <f t="shared" si="58"/>
        <v>0</v>
      </c>
      <c r="X92" s="242">
        <f t="shared" si="58"/>
        <v>0</v>
      </c>
      <c r="Y92" s="242">
        <f t="shared" si="58"/>
        <v>0</v>
      </c>
      <c r="Z92" s="242">
        <f t="shared" si="58"/>
        <v>0</v>
      </c>
    </row>
    <row r="93" spans="9:26" ht="15" customHeight="1" x14ac:dyDescent="0.25">
      <c r="I93" s="242">
        <f t="shared" ref="I93:Z93" si="59">I51-AB51</f>
        <v>0</v>
      </c>
      <c r="J93" s="242">
        <f t="shared" si="59"/>
        <v>2.8571428571417812E-3</v>
      </c>
      <c r="K93" s="242">
        <f t="shared" si="59"/>
        <v>2.8571428571426694E-3</v>
      </c>
      <c r="L93" s="242">
        <f t="shared" si="59"/>
        <v>5.714285714285694E-2</v>
      </c>
      <c r="M93" s="242">
        <f t="shared" si="59"/>
        <v>-2.3614285714274956</v>
      </c>
      <c r="N93" s="242">
        <f t="shared" si="59"/>
        <v>5.7142857143048786E-3</v>
      </c>
      <c r="O93" s="242">
        <f t="shared" si="59"/>
        <v>-2.5714285714284912E-2</v>
      </c>
      <c r="P93" s="242">
        <f t="shared" si="59"/>
        <v>0</v>
      </c>
      <c r="Q93" s="242">
        <f t="shared" si="59"/>
        <v>8.5714285714288962E-3</v>
      </c>
      <c r="R93" s="242">
        <f t="shared" si="59"/>
        <v>5.1428571428914438E-2</v>
      </c>
      <c r="S93" s="242">
        <f t="shared" si="59"/>
        <v>5.7142857142480352E-3</v>
      </c>
      <c r="T93" s="242">
        <f t="shared" si="59"/>
        <v>-1.5714285714285126E-2</v>
      </c>
      <c r="U93" s="242">
        <f t="shared" si="59"/>
        <v>0.11857142857142833</v>
      </c>
      <c r="V93" s="242">
        <f t="shared" si="59"/>
        <v>0</v>
      </c>
      <c r="W93" s="242">
        <f t="shared" si="59"/>
        <v>0</v>
      </c>
      <c r="X93" s="242">
        <f t="shared" si="59"/>
        <v>0</v>
      </c>
      <c r="Y93" s="242">
        <f t="shared" si="59"/>
        <v>0</v>
      </c>
      <c r="Z93" s="242">
        <f t="shared" si="59"/>
        <v>0</v>
      </c>
    </row>
  </sheetData>
  <mergeCells count="33">
    <mergeCell ref="F4:G6"/>
    <mergeCell ref="H4:H10"/>
    <mergeCell ref="W7:W8"/>
    <mergeCell ref="M7:M8"/>
    <mergeCell ref="N7:N8"/>
    <mergeCell ref="O7:O8"/>
    <mergeCell ref="P7:P8"/>
    <mergeCell ref="F7:F10"/>
    <mergeCell ref="G7:G10"/>
    <mergeCell ref="I4:I9"/>
    <mergeCell ref="J4:K6"/>
    <mergeCell ref="L4:Z4"/>
    <mergeCell ref="L5:U5"/>
    <mergeCell ref="V5:Z6"/>
    <mergeCell ref="L6:P6"/>
    <mergeCell ref="Q6:U6"/>
    <mergeCell ref="A4:A10"/>
    <mergeCell ref="B4:B10"/>
    <mergeCell ref="C4:C10"/>
    <mergeCell ref="D4:D10"/>
    <mergeCell ref="E4:E10"/>
    <mergeCell ref="J7:J8"/>
    <mergeCell ref="K7:K8"/>
    <mergeCell ref="L7:L8"/>
    <mergeCell ref="X7:X8"/>
    <mergeCell ref="Y7:Y8"/>
    <mergeCell ref="Z7:Z8"/>
    <mergeCell ref="Q7:Q8"/>
    <mergeCell ref="R7:R8"/>
    <mergeCell ref="S7:S8"/>
    <mergeCell ref="T7:T8"/>
    <mergeCell ref="U7:U8"/>
    <mergeCell ref="V7:V8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zoomScale="70" zoomScaleNormal="70" workbookViewId="0"/>
  </sheetViews>
  <sheetFormatPr defaultColWidth="8.85546875" defaultRowHeight="15" customHeight="1" x14ac:dyDescent="0.25"/>
  <cols>
    <col min="1" max="1" width="12.7109375" style="195" customWidth="1"/>
    <col min="2" max="5" width="6.7109375" style="195" customWidth="1"/>
    <col min="6" max="6" width="8.7109375" style="195" customWidth="1"/>
    <col min="7" max="7" width="15.7109375" style="195" customWidth="1"/>
    <col min="8" max="26" width="8.7109375" style="195" customWidth="1"/>
    <col min="27" max="16384" width="8.85546875" style="195"/>
  </cols>
  <sheetData>
    <row r="1" spans="1:26" ht="15" customHeight="1" thickBot="1" x14ac:dyDescent="0.3">
      <c r="A1" s="110">
        <v>420</v>
      </c>
    </row>
    <row r="2" spans="1:26" ht="15" customHeight="1" thickBot="1" x14ac:dyDescent="0.3">
      <c r="A2" s="79" t="str">
        <f>Сводная!A25</f>
        <v>ZR250x2,0</v>
      </c>
      <c r="B2" s="93" t="str">
        <f>INDEX(B11:B51,MATCH($A$2,$A$11:$A$51))</f>
        <v>250</v>
      </c>
      <c r="C2" s="105">
        <f t="shared" ref="C2:Z2" si="0">INDEX(C11:C51,MATCH($A$2,$A$11:$A$51))</f>
        <v>63</v>
      </c>
      <c r="D2" s="105">
        <f t="shared" si="0"/>
        <v>73</v>
      </c>
      <c r="E2" s="105">
        <f t="shared" si="0"/>
        <v>20</v>
      </c>
      <c r="F2" s="93" t="str">
        <f t="shared" si="0"/>
        <v>ZR250</v>
      </c>
      <c r="G2" s="93" t="str">
        <f t="shared" si="0"/>
        <v>250/63/73/20</v>
      </c>
      <c r="H2" s="105">
        <f>INDEX(H11:H51,MATCH($A$2,$A$11:$A$51))</f>
        <v>2</v>
      </c>
      <c r="I2" s="103">
        <f t="shared" si="0"/>
        <v>6.68</v>
      </c>
      <c r="J2" s="103">
        <f>INDEX(J11:J51,MATCH($A$2,$A$11:$A$51))</f>
        <v>7.54</v>
      </c>
      <c r="K2" s="103">
        <f t="shared" si="0"/>
        <v>1.98</v>
      </c>
      <c r="L2" s="103">
        <f t="shared" si="0"/>
        <v>7.83</v>
      </c>
      <c r="M2" s="103">
        <f t="shared" si="0"/>
        <v>697.21</v>
      </c>
      <c r="N2" s="103">
        <f t="shared" si="0"/>
        <v>52.08</v>
      </c>
      <c r="O2" s="103">
        <f t="shared" si="0"/>
        <v>9.43</v>
      </c>
      <c r="P2" s="103">
        <f t="shared" si="0"/>
        <v>11.61</v>
      </c>
      <c r="Q2" s="103">
        <f t="shared" si="0"/>
        <v>7.76</v>
      </c>
      <c r="R2" s="103">
        <f t="shared" si="0"/>
        <v>684.61</v>
      </c>
      <c r="S2" s="103">
        <f t="shared" si="0"/>
        <v>53</v>
      </c>
      <c r="T2" s="103">
        <f t="shared" si="0"/>
        <v>9.3800000000000008</v>
      </c>
      <c r="U2" s="103">
        <f t="shared" si="0"/>
        <v>12.92</v>
      </c>
      <c r="V2" s="103">
        <f t="shared" si="0"/>
        <v>8.4700000000000006</v>
      </c>
      <c r="W2" s="103">
        <f t="shared" si="0"/>
        <v>72.02</v>
      </c>
      <c r="X2" s="103">
        <f t="shared" si="0"/>
        <v>9.64</v>
      </c>
      <c r="Y2" s="103">
        <f>INDEX(Y11:Y51,MATCH($A$2,$A$11:$A$51))</f>
        <v>2.91</v>
      </c>
      <c r="Z2" s="104">
        <f t="shared" si="0"/>
        <v>6.13</v>
      </c>
    </row>
    <row r="3" spans="1:26" ht="15" customHeight="1" thickBot="1" x14ac:dyDescent="0.3"/>
    <row r="4" spans="1:26" ht="15" customHeight="1" x14ac:dyDescent="0.25">
      <c r="A4" s="361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04" t="s">
        <v>165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26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26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 t="s">
        <v>18</v>
      </c>
      <c r="R6" s="345"/>
      <c r="S6" s="345"/>
      <c r="T6" s="345"/>
      <c r="U6" s="345"/>
      <c r="V6" s="345"/>
      <c r="W6" s="345"/>
      <c r="X6" s="345"/>
      <c r="Y6" s="345"/>
      <c r="Z6" s="357"/>
    </row>
    <row r="7" spans="1:26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 t="s">
        <v>21</v>
      </c>
      <c r="R7" s="364" t="s">
        <v>3</v>
      </c>
      <c r="S7" s="364" t="s">
        <v>156</v>
      </c>
      <c r="T7" s="364" t="s">
        <v>20</v>
      </c>
      <c r="U7" s="381" t="s">
        <v>168</v>
      </c>
      <c r="V7" s="364" t="s">
        <v>21</v>
      </c>
      <c r="W7" s="381" t="s">
        <v>3</v>
      </c>
      <c r="X7" s="364" t="s">
        <v>156</v>
      </c>
      <c r="Y7" s="364" t="s">
        <v>20</v>
      </c>
      <c r="Z7" s="400" t="s">
        <v>168</v>
      </c>
    </row>
    <row r="8" spans="1:26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401"/>
    </row>
    <row r="9" spans="1:26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 t="s">
        <v>172</v>
      </c>
      <c r="R9" s="154" t="s">
        <v>174</v>
      </c>
      <c r="S9" s="154" t="s">
        <v>175</v>
      </c>
      <c r="T9" s="154" t="s">
        <v>176</v>
      </c>
      <c r="U9" s="154" t="s">
        <v>177</v>
      </c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26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 t="s">
        <v>182</v>
      </c>
      <c r="R10" s="156" t="s">
        <v>183</v>
      </c>
      <c r="S10" s="156" t="s">
        <v>184</v>
      </c>
      <c r="T10" s="156" t="s">
        <v>6</v>
      </c>
      <c r="U10" s="156" t="s">
        <v>6</v>
      </c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26" ht="15" customHeight="1" x14ac:dyDescent="0.25">
      <c r="A11" s="144" t="str">
        <f t="shared" ref="A11:A14" si="1">CONCATENATE(F11,"x",(IF(H11=INT(H11),CONCATENATE(H11,",",0),H11)))</f>
        <v>ZR140x1,0</v>
      </c>
      <c r="B11" s="146" t="str">
        <f t="shared" ref="B11:B14" si="2">LEFT(G11,3)</f>
        <v>140</v>
      </c>
      <c r="C11" s="146">
        <f t="shared" ref="C11:C14" si="3">VALUE(MID(G11,(SEARCH("/",G11,1)+1),(SEARCH("/",G11,(SEARCH("/",G11,1)+1))-SEARCH("/",G11,1)-1)))</f>
        <v>49</v>
      </c>
      <c r="D11" s="146">
        <f t="shared" ref="D11:D14" si="4">VALUE(MID(G11,(SEARCH("/",G11,(SEARCH("/",G11,1)+1))+1),(SEARCH("/",G11,SEARCH("/",G11,(SEARCH("/",G11,1)+1))+1))-(SEARCH("/",G11,(SEARCH("/",G11,1)+1))+1)))</f>
        <v>57</v>
      </c>
      <c r="E11" s="146">
        <f t="shared" ref="E11:E14" si="5">VALUE(MID(G11,(SEARCH("/",G11,SEARCH("/",G11,(SEARCH("/",G11,1)+1))+1)+1),4))</f>
        <v>20</v>
      </c>
      <c r="F11" s="158" t="str">
        <f t="shared" ref="F11:F14" si="6">CONCATENATE("ZR",LEFT(G11,3))</f>
        <v>ZR140</v>
      </c>
      <c r="G11" s="159" t="s">
        <v>188</v>
      </c>
      <c r="H11" s="160">
        <v>1</v>
      </c>
      <c r="I11" s="161">
        <v>2.36</v>
      </c>
      <c r="J11" s="161">
        <v>2.4500000000000002</v>
      </c>
      <c r="K11" s="161">
        <v>1.83</v>
      </c>
      <c r="L11" s="161">
        <v>2.77</v>
      </c>
      <c r="M11" s="161">
        <v>77.55</v>
      </c>
      <c r="N11" s="161">
        <v>10.35</v>
      </c>
      <c r="O11" s="161">
        <v>5.29</v>
      </c>
      <c r="P11" s="161">
        <v>6.51</v>
      </c>
      <c r="Q11" s="161">
        <v>2.7</v>
      </c>
      <c r="R11" s="161">
        <v>74.8</v>
      </c>
      <c r="S11" s="161">
        <v>10.28</v>
      </c>
      <c r="T11" s="161">
        <v>5.25</v>
      </c>
      <c r="U11" s="161">
        <v>7.27</v>
      </c>
      <c r="V11" s="161">
        <v>2.64</v>
      </c>
      <c r="W11" s="161">
        <v>16.77</v>
      </c>
      <c r="X11" s="161">
        <v>2.71</v>
      </c>
      <c r="Y11" s="161">
        <v>2.5099999999999998</v>
      </c>
      <c r="Z11" s="162">
        <v>4.32</v>
      </c>
    </row>
    <row r="12" spans="1:26" ht="15" customHeight="1" thickBot="1" x14ac:dyDescent="0.3">
      <c r="A12" s="205" t="str">
        <f t="shared" si="1"/>
        <v>ZR140x1,2</v>
      </c>
      <c r="B12" s="206" t="str">
        <f t="shared" si="2"/>
        <v>140</v>
      </c>
      <c r="C12" s="206">
        <f t="shared" si="3"/>
        <v>49</v>
      </c>
      <c r="D12" s="206">
        <f t="shared" si="4"/>
        <v>57</v>
      </c>
      <c r="E12" s="206">
        <f t="shared" si="5"/>
        <v>20</v>
      </c>
      <c r="F12" s="156" t="str">
        <f t="shared" si="6"/>
        <v>ZR140</v>
      </c>
      <c r="G12" s="157" t="s">
        <v>188</v>
      </c>
      <c r="H12" s="202">
        <v>1.2</v>
      </c>
      <c r="I12" s="213">
        <v>2.82</v>
      </c>
      <c r="J12" s="213">
        <v>3.12</v>
      </c>
      <c r="K12" s="213">
        <v>1.88</v>
      </c>
      <c r="L12" s="213">
        <v>3.37</v>
      </c>
      <c r="M12" s="213">
        <v>95.52</v>
      </c>
      <c r="N12" s="213">
        <v>12.97</v>
      </c>
      <c r="O12" s="213">
        <v>5.32</v>
      </c>
      <c r="P12" s="213">
        <v>6.64</v>
      </c>
      <c r="Q12" s="213">
        <v>3.29</v>
      </c>
      <c r="R12" s="213">
        <v>92.4</v>
      </c>
      <c r="S12" s="213">
        <v>12.95</v>
      </c>
      <c r="T12" s="213">
        <v>5.29</v>
      </c>
      <c r="U12" s="213">
        <v>7.13</v>
      </c>
      <c r="V12" s="213">
        <v>3.25</v>
      </c>
      <c r="W12" s="213">
        <v>21.46</v>
      </c>
      <c r="X12" s="213">
        <v>3.54</v>
      </c>
      <c r="Y12" s="213">
        <v>2.56</v>
      </c>
      <c r="Z12" s="214">
        <v>4.42</v>
      </c>
    </row>
    <row r="13" spans="1:26" ht="15" customHeight="1" x14ac:dyDescent="0.25">
      <c r="A13" s="144" t="str">
        <f t="shared" si="1"/>
        <v>ZR160x1,0</v>
      </c>
      <c r="B13" s="146" t="str">
        <f t="shared" si="2"/>
        <v>160</v>
      </c>
      <c r="C13" s="146">
        <f t="shared" si="3"/>
        <v>49</v>
      </c>
      <c r="D13" s="146">
        <f t="shared" si="4"/>
        <v>57</v>
      </c>
      <c r="E13" s="146">
        <f t="shared" si="5"/>
        <v>20</v>
      </c>
      <c r="F13" s="158" t="str">
        <f t="shared" si="6"/>
        <v>ZR160</v>
      </c>
      <c r="G13" s="159" t="s">
        <v>60</v>
      </c>
      <c r="H13" s="211">
        <v>1</v>
      </c>
      <c r="I13" s="161">
        <v>2.54</v>
      </c>
      <c r="J13" s="161">
        <v>2.5099999999999998</v>
      </c>
      <c r="K13" s="161">
        <v>1.72</v>
      </c>
      <c r="L13" s="161">
        <v>2.94</v>
      </c>
      <c r="M13" s="161">
        <v>104.95</v>
      </c>
      <c r="N13" s="161">
        <v>12.23</v>
      </c>
      <c r="O13" s="161">
        <v>5.97</v>
      </c>
      <c r="P13" s="161">
        <v>7.42</v>
      </c>
      <c r="Q13" s="161">
        <v>2.87</v>
      </c>
      <c r="R13" s="161">
        <v>101.7</v>
      </c>
      <c r="S13" s="161">
        <v>12.19</v>
      </c>
      <c r="T13" s="161">
        <v>5.94</v>
      </c>
      <c r="U13" s="161">
        <v>8.34</v>
      </c>
      <c r="V13" s="161">
        <v>2.84</v>
      </c>
      <c r="W13" s="161">
        <v>16.82</v>
      </c>
      <c r="X13" s="161">
        <v>2.74</v>
      </c>
      <c r="Y13" s="161">
        <v>2.4300000000000002</v>
      </c>
      <c r="Z13" s="162">
        <v>4.3600000000000003</v>
      </c>
    </row>
    <row r="14" spans="1:26" ht="15" customHeight="1" x14ac:dyDescent="0.25">
      <c r="A14" s="147" t="str">
        <f t="shared" si="1"/>
        <v>ZR160x1,2</v>
      </c>
      <c r="B14" s="149" t="str">
        <f t="shared" si="2"/>
        <v>160</v>
      </c>
      <c r="C14" s="149">
        <f t="shared" si="3"/>
        <v>49</v>
      </c>
      <c r="D14" s="149">
        <f t="shared" si="4"/>
        <v>57</v>
      </c>
      <c r="E14" s="149">
        <f t="shared" si="5"/>
        <v>20</v>
      </c>
      <c r="F14" s="154" t="str">
        <f t="shared" si="6"/>
        <v>ZR160</v>
      </c>
      <c r="G14" s="155" t="s">
        <v>60</v>
      </c>
      <c r="H14" s="212">
        <v>1.2</v>
      </c>
      <c r="I14" s="165">
        <v>3.04</v>
      </c>
      <c r="J14" s="165">
        <v>3.28</v>
      </c>
      <c r="K14" s="165">
        <v>1.75</v>
      </c>
      <c r="L14" s="165">
        <v>3.61</v>
      </c>
      <c r="M14" s="165">
        <v>130.62</v>
      </c>
      <c r="N14" s="165">
        <v>15.58</v>
      </c>
      <c r="O14" s="165">
        <v>6.01</v>
      </c>
      <c r="P14" s="165">
        <v>7.62</v>
      </c>
      <c r="Q14" s="165">
        <v>3.53</v>
      </c>
      <c r="R14" s="165">
        <v>126.5</v>
      </c>
      <c r="S14" s="165">
        <v>15.54</v>
      </c>
      <c r="T14" s="165">
        <v>5.97</v>
      </c>
      <c r="U14" s="165">
        <v>8.14</v>
      </c>
      <c r="V14" s="165">
        <v>3.49</v>
      </c>
      <c r="W14" s="165">
        <v>21.5</v>
      </c>
      <c r="X14" s="165">
        <v>3.56</v>
      </c>
      <c r="Y14" s="165">
        <v>2.48</v>
      </c>
      <c r="Z14" s="166">
        <v>4.45</v>
      </c>
    </row>
    <row r="15" spans="1:26" ht="15" customHeight="1" x14ac:dyDescent="0.25">
      <c r="A15" s="72" t="str">
        <f>CONCATENATE(F15,"x",(IF(H15=INT(H15),CONCATENATE(H15,",",0),H15)))</f>
        <v>ZR160x1,5</v>
      </c>
      <c r="B15" s="3" t="str">
        <f>LEFT(G15,3)</f>
        <v>160</v>
      </c>
      <c r="C15" s="3">
        <f>VALUE(MID(G15,(SEARCH("/",G15,1)+1),(SEARCH("/",G15,(SEARCH("/",G15,1)+1))-SEARCH("/",G15,1)-1)))</f>
        <v>49</v>
      </c>
      <c r="D15" s="3">
        <f>VALUE(MID(G15,(SEARCH("/",G15,(SEARCH("/",G15,1)+1))+1),(SEARCH("/",G15,SEARCH("/",G15,(SEARCH("/",G15,1)+1))+1))-(SEARCH("/",G15,(SEARCH("/",G15,1)+1))+1)))</f>
        <v>57</v>
      </c>
      <c r="E15" s="3">
        <f>VALUE(MID(G15,(SEARCH("/",G15,SEARCH("/",G15,(SEARCH("/",G15,1)+1))+1)+1),4))</f>
        <v>20</v>
      </c>
      <c r="F15" s="4" t="str">
        <f>CONCATENATE("ZR",LEFT(G15,3))</f>
        <v>ZR160</v>
      </c>
      <c r="G15" s="81" t="s">
        <v>60</v>
      </c>
      <c r="H15" s="72">
        <v>1.5</v>
      </c>
      <c r="I15" s="96">
        <v>3.62</v>
      </c>
      <c r="J15" s="96">
        <v>4.47</v>
      </c>
      <c r="K15" s="96">
        <v>1.79</v>
      </c>
      <c r="L15" s="96">
        <v>4.41</v>
      </c>
      <c r="M15" s="96">
        <v>163.72999999999999</v>
      </c>
      <c r="N15" s="96">
        <v>19.47</v>
      </c>
      <c r="O15" s="96">
        <v>6.08</v>
      </c>
      <c r="P15" s="96">
        <v>7.59</v>
      </c>
      <c r="Q15" s="96">
        <v>4.3600000000000003</v>
      </c>
      <c r="R15" s="96">
        <v>160.16999999999999</v>
      </c>
      <c r="S15" s="96">
        <v>19.809999999999999</v>
      </c>
      <c r="T15" s="96">
        <v>6.05</v>
      </c>
      <c r="U15" s="96">
        <v>8.09</v>
      </c>
      <c r="V15" s="96">
        <v>4.58</v>
      </c>
      <c r="W15" s="96">
        <v>29.92</v>
      </c>
      <c r="X15" s="96">
        <v>5.01</v>
      </c>
      <c r="Y15" s="96">
        <v>2.5499999999999998</v>
      </c>
      <c r="Z15" s="97">
        <v>4.63</v>
      </c>
    </row>
    <row r="16" spans="1:26" ht="15" customHeight="1" x14ac:dyDescent="0.25">
      <c r="A16" s="72" t="str">
        <f t="shared" ref="A16:A38" si="7">CONCATENATE(F16,"x",(IF(H16=INT(H16),CONCATENATE(H16,",",0),H16)))</f>
        <v>ZR160x2,0</v>
      </c>
      <c r="B16" s="3" t="str">
        <f t="shared" ref="B16:B38" si="8">LEFT(G16,3)</f>
        <v>160</v>
      </c>
      <c r="C16" s="3">
        <f t="shared" ref="C16:C38" si="9">VALUE(MID(G16,(SEARCH("/",G16,1)+1),(SEARCH("/",G16,(SEARCH("/",G16,1)+1))-SEARCH("/",G16,1)-1)))</f>
        <v>50</v>
      </c>
      <c r="D16" s="3">
        <f t="shared" ref="D16:D38" si="10">VALUE(MID(G16,(SEARCH("/",G16,(SEARCH("/",G16,1)+1))+1),(SEARCH("/",G16,SEARCH("/",G16,(SEARCH("/",G16,1)+1))+1))-(SEARCH("/",G16,(SEARCH("/",G16,1)+1))+1)))</f>
        <v>58</v>
      </c>
      <c r="E16" s="3">
        <f t="shared" ref="E16:E38" si="11">VALUE(MID(G16,(SEARCH("/",G16,SEARCH("/",G16,(SEARCH("/",G16,1)+1))+1)+1),4))</f>
        <v>21</v>
      </c>
      <c r="F16" s="4" t="str">
        <f t="shared" ref="F16:F38" si="12">CONCATENATE("ZR",LEFT(G16,3))</f>
        <v>ZR160</v>
      </c>
      <c r="G16" s="81" t="s">
        <v>61</v>
      </c>
      <c r="H16" s="72">
        <v>2</v>
      </c>
      <c r="I16" s="96">
        <v>4.8600000000000003</v>
      </c>
      <c r="J16" s="96">
        <v>6.15</v>
      </c>
      <c r="K16" s="96">
        <v>1.89</v>
      </c>
      <c r="L16" s="96">
        <v>6.15</v>
      </c>
      <c r="M16" s="96">
        <v>224.73</v>
      </c>
      <c r="N16" s="96">
        <v>27.38</v>
      </c>
      <c r="O16" s="96">
        <v>6.04</v>
      </c>
      <c r="P16" s="96">
        <v>7.79</v>
      </c>
      <c r="Q16" s="96">
        <v>6.15</v>
      </c>
      <c r="R16" s="96">
        <v>224.73</v>
      </c>
      <c r="S16" s="96">
        <v>27.38</v>
      </c>
      <c r="T16" s="96">
        <v>6.04</v>
      </c>
      <c r="U16" s="96">
        <v>7.79</v>
      </c>
      <c r="V16" s="96">
        <v>6.15</v>
      </c>
      <c r="W16" s="96">
        <v>41.84</v>
      </c>
      <c r="X16" s="96">
        <v>6.87</v>
      </c>
      <c r="Y16" s="96">
        <v>2.6</v>
      </c>
      <c r="Z16" s="97">
        <v>4.72</v>
      </c>
    </row>
    <row r="17" spans="1:26" ht="15" customHeight="1" x14ac:dyDescent="0.25">
      <c r="A17" s="72" t="str">
        <f t="shared" si="7"/>
        <v>ZR160x2,5</v>
      </c>
      <c r="B17" s="3" t="str">
        <f t="shared" si="8"/>
        <v>160</v>
      </c>
      <c r="C17" s="3">
        <f t="shared" si="9"/>
        <v>51</v>
      </c>
      <c r="D17" s="3">
        <f t="shared" si="10"/>
        <v>59</v>
      </c>
      <c r="E17" s="3">
        <f t="shared" si="11"/>
        <v>22</v>
      </c>
      <c r="F17" s="4" t="str">
        <f t="shared" si="12"/>
        <v>ZR160</v>
      </c>
      <c r="G17" s="81" t="s">
        <v>62</v>
      </c>
      <c r="H17" s="72">
        <v>2.5</v>
      </c>
      <c r="I17" s="96">
        <v>6.11</v>
      </c>
      <c r="J17" s="96">
        <v>7.73</v>
      </c>
      <c r="K17" s="96">
        <v>1.93</v>
      </c>
      <c r="L17" s="96">
        <v>7.73</v>
      </c>
      <c r="M17" s="96">
        <v>281.04000000000002</v>
      </c>
      <c r="N17" s="96">
        <v>34.25</v>
      </c>
      <c r="O17" s="96">
        <v>6.02</v>
      </c>
      <c r="P17" s="96">
        <v>7.8</v>
      </c>
      <c r="Q17" s="96">
        <v>7.73</v>
      </c>
      <c r="R17" s="96">
        <v>281.04000000000002</v>
      </c>
      <c r="S17" s="96">
        <v>34.25</v>
      </c>
      <c r="T17" s="96">
        <v>6.02</v>
      </c>
      <c r="U17" s="96">
        <v>7.8</v>
      </c>
      <c r="V17" s="96">
        <v>7.73</v>
      </c>
      <c r="W17" s="96">
        <v>54.38</v>
      </c>
      <c r="X17" s="96">
        <v>8.76</v>
      </c>
      <c r="Y17" s="96">
        <v>2.65</v>
      </c>
      <c r="Z17" s="97">
        <v>4.79</v>
      </c>
    </row>
    <row r="18" spans="1:26" ht="15" customHeight="1" thickBot="1" x14ac:dyDescent="0.3">
      <c r="A18" s="73" t="str">
        <f t="shared" si="7"/>
        <v>ZR160x3,0</v>
      </c>
      <c r="B18" s="5" t="str">
        <f t="shared" si="8"/>
        <v>160</v>
      </c>
      <c r="C18" s="5">
        <f t="shared" si="9"/>
        <v>52</v>
      </c>
      <c r="D18" s="5">
        <f t="shared" si="10"/>
        <v>60</v>
      </c>
      <c r="E18" s="5">
        <f t="shared" si="11"/>
        <v>23</v>
      </c>
      <c r="F18" s="6" t="str">
        <f t="shared" si="12"/>
        <v>ZR160</v>
      </c>
      <c r="G18" s="82" t="s">
        <v>63</v>
      </c>
      <c r="H18" s="73">
        <v>3</v>
      </c>
      <c r="I18" s="98">
        <v>7.38</v>
      </c>
      <c r="J18" s="98">
        <v>9.32</v>
      </c>
      <c r="K18" s="98">
        <v>1.98</v>
      </c>
      <c r="L18" s="98">
        <v>9.32</v>
      </c>
      <c r="M18" s="98">
        <v>337.32</v>
      </c>
      <c r="N18" s="98">
        <v>41.12</v>
      </c>
      <c r="O18" s="98">
        <v>6.01</v>
      </c>
      <c r="P18" s="98">
        <v>7.8</v>
      </c>
      <c r="Q18" s="98">
        <v>9.32</v>
      </c>
      <c r="R18" s="98">
        <v>337.32</v>
      </c>
      <c r="S18" s="98">
        <v>41.12</v>
      </c>
      <c r="T18" s="98">
        <v>6.01</v>
      </c>
      <c r="U18" s="98">
        <v>7.8</v>
      </c>
      <c r="V18" s="98">
        <v>9.32</v>
      </c>
      <c r="W18" s="98">
        <v>67.819999999999993</v>
      </c>
      <c r="X18" s="98">
        <v>10.71</v>
      </c>
      <c r="Y18" s="98">
        <v>2.69</v>
      </c>
      <c r="Z18" s="99">
        <v>4.87</v>
      </c>
    </row>
    <row r="19" spans="1:26" ht="15" customHeight="1" x14ac:dyDescent="0.25">
      <c r="A19" s="72" t="str">
        <f t="shared" si="7"/>
        <v>ZR180x1,5</v>
      </c>
      <c r="B19" s="3" t="str">
        <f t="shared" si="8"/>
        <v>180</v>
      </c>
      <c r="C19" s="3">
        <f t="shared" si="9"/>
        <v>49</v>
      </c>
      <c r="D19" s="3">
        <f t="shared" si="10"/>
        <v>57</v>
      </c>
      <c r="E19" s="3">
        <f t="shared" si="11"/>
        <v>20</v>
      </c>
      <c r="F19" s="4" t="str">
        <f t="shared" si="12"/>
        <v>ZR180</v>
      </c>
      <c r="G19" s="81" t="s">
        <v>64</v>
      </c>
      <c r="H19" s="117">
        <v>1.5</v>
      </c>
      <c r="I19" s="94">
        <v>3.85</v>
      </c>
      <c r="J19" s="94">
        <v>4.6100000000000003</v>
      </c>
      <c r="K19" s="94">
        <v>1.69</v>
      </c>
      <c r="L19" s="94">
        <v>4.57</v>
      </c>
      <c r="M19" s="94">
        <v>212.26</v>
      </c>
      <c r="N19" s="94">
        <v>22.13</v>
      </c>
      <c r="O19" s="94">
        <v>6.8</v>
      </c>
      <c r="P19" s="94">
        <v>8.41</v>
      </c>
      <c r="Q19" s="94">
        <v>4.53</v>
      </c>
      <c r="R19" s="94">
        <v>208.1</v>
      </c>
      <c r="S19" s="94">
        <v>22.51</v>
      </c>
      <c r="T19" s="94">
        <v>6.77</v>
      </c>
      <c r="U19" s="94">
        <v>9.24</v>
      </c>
      <c r="V19" s="94">
        <v>4.88</v>
      </c>
      <c r="W19" s="94">
        <v>29.93</v>
      </c>
      <c r="X19" s="94">
        <v>5.0199999999999996</v>
      </c>
      <c r="Y19" s="94">
        <v>2.4700000000000002</v>
      </c>
      <c r="Z19" s="95">
        <v>4.6399999999999997</v>
      </c>
    </row>
    <row r="20" spans="1:26" ht="15" customHeight="1" x14ac:dyDescent="0.25">
      <c r="A20" s="72" t="str">
        <f t="shared" si="7"/>
        <v>ZR180x2,0</v>
      </c>
      <c r="B20" s="3" t="str">
        <f t="shared" si="8"/>
        <v>180</v>
      </c>
      <c r="C20" s="3">
        <f t="shared" si="9"/>
        <v>50</v>
      </c>
      <c r="D20" s="3">
        <f t="shared" si="10"/>
        <v>58</v>
      </c>
      <c r="E20" s="3">
        <f t="shared" si="11"/>
        <v>21</v>
      </c>
      <c r="F20" s="4" t="str">
        <f t="shared" si="12"/>
        <v>ZR180</v>
      </c>
      <c r="G20" s="81" t="s">
        <v>65</v>
      </c>
      <c r="H20" s="117">
        <v>2</v>
      </c>
      <c r="I20" s="96">
        <v>5.17</v>
      </c>
      <c r="J20" s="96">
        <v>6.55</v>
      </c>
      <c r="K20" s="96">
        <v>1.75</v>
      </c>
      <c r="L20" s="96">
        <v>6.55</v>
      </c>
      <c r="M20" s="96">
        <v>296.82</v>
      </c>
      <c r="N20" s="96">
        <v>32.200000000000003</v>
      </c>
      <c r="O20" s="96">
        <v>6.72</v>
      </c>
      <c r="P20" s="96">
        <v>8.7799999999999994</v>
      </c>
      <c r="Q20" s="96">
        <v>6.55</v>
      </c>
      <c r="R20" s="96">
        <v>296.82</v>
      </c>
      <c r="S20" s="96">
        <v>32.200000000000003</v>
      </c>
      <c r="T20" s="96">
        <v>6.72</v>
      </c>
      <c r="U20" s="96">
        <v>8.7799999999999994</v>
      </c>
      <c r="V20" s="96">
        <v>6.55</v>
      </c>
      <c r="W20" s="96">
        <v>41.86</v>
      </c>
      <c r="X20" s="96">
        <v>6.89</v>
      </c>
      <c r="Y20" s="96">
        <v>2.52</v>
      </c>
      <c r="Z20" s="97">
        <v>4.7300000000000004</v>
      </c>
    </row>
    <row r="21" spans="1:26" ht="15" customHeight="1" x14ac:dyDescent="0.25">
      <c r="A21" s="72" t="str">
        <f t="shared" si="7"/>
        <v>ZR180x2,5</v>
      </c>
      <c r="B21" s="3" t="str">
        <f t="shared" si="8"/>
        <v>180</v>
      </c>
      <c r="C21" s="3">
        <f t="shared" si="9"/>
        <v>51</v>
      </c>
      <c r="D21" s="3">
        <f t="shared" si="10"/>
        <v>59</v>
      </c>
      <c r="E21" s="3">
        <f t="shared" si="11"/>
        <v>22</v>
      </c>
      <c r="F21" s="4" t="str">
        <f t="shared" si="12"/>
        <v>ZR180</v>
      </c>
      <c r="G21" s="81" t="s">
        <v>66</v>
      </c>
      <c r="H21" s="117">
        <v>2.5</v>
      </c>
      <c r="I21" s="96">
        <v>6.5</v>
      </c>
      <c r="J21" s="96">
        <v>8.23</v>
      </c>
      <c r="K21" s="96">
        <v>1.79</v>
      </c>
      <c r="L21" s="96">
        <v>8.23</v>
      </c>
      <c r="M21" s="96">
        <v>371.48</v>
      </c>
      <c r="N21" s="96">
        <v>40.31</v>
      </c>
      <c r="O21" s="96">
        <v>6.71</v>
      </c>
      <c r="P21" s="96">
        <v>8.7799999999999994</v>
      </c>
      <c r="Q21" s="96">
        <v>8.23</v>
      </c>
      <c r="R21" s="96">
        <v>371.48</v>
      </c>
      <c r="S21" s="96">
        <v>40.31</v>
      </c>
      <c r="T21" s="96">
        <v>6.71</v>
      </c>
      <c r="U21" s="96">
        <v>8.7799999999999994</v>
      </c>
      <c r="V21" s="96">
        <v>8.23</v>
      </c>
      <c r="W21" s="96">
        <v>54.4</v>
      </c>
      <c r="X21" s="96">
        <v>8.7799999999999994</v>
      </c>
      <c r="Y21" s="96">
        <v>2.57</v>
      </c>
      <c r="Z21" s="97">
        <v>4.8099999999999996</v>
      </c>
    </row>
    <row r="22" spans="1:26" ht="15" customHeight="1" thickBot="1" x14ac:dyDescent="0.3">
      <c r="A22" s="73" t="str">
        <f t="shared" si="7"/>
        <v>ZR180x3,0</v>
      </c>
      <c r="B22" s="5" t="str">
        <f t="shared" si="8"/>
        <v>180</v>
      </c>
      <c r="C22" s="5">
        <f t="shared" si="9"/>
        <v>52</v>
      </c>
      <c r="D22" s="5">
        <f t="shared" si="10"/>
        <v>60</v>
      </c>
      <c r="E22" s="5">
        <f t="shared" si="11"/>
        <v>23</v>
      </c>
      <c r="F22" s="6" t="str">
        <f t="shared" si="12"/>
        <v>ZR180</v>
      </c>
      <c r="G22" s="82" t="s">
        <v>67</v>
      </c>
      <c r="H22" s="118">
        <v>3</v>
      </c>
      <c r="I22" s="108">
        <v>7.85</v>
      </c>
      <c r="J22" s="108">
        <v>9.92</v>
      </c>
      <c r="K22" s="108">
        <v>1.84</v>
      </c>
      <c r="L22" s="108">
        <v>9.92</v>
      </c>
      <c r="M22" s="108">
        <v>446.25</v>
      </c>
      <c r="N22" s="108">
        <v>48.43</v>
      </c>
      <c r="O22" s="108">
        <v>6.7</v>
      </c>
      <c r="P22" s="108">
        <v>8.7899999999999991</v>
      </c>
      <c r="Q22" s="108">
        <v>9.92</v>
      </c>
      <c r="R22" s="108">
        <v>446.25</v>
      </c>
      <c r="S22" s="108">
        <v>48.43</v>
      </c>
      <c r="T22" s="108">
        <v>6.7</v>
      </c>
      <c r="U22" s="108">
        <v>8.7899999999999991</v>
      </c>
      <c r="V22" s="108">
        <v>9.92</v>
      </c>
      <c r="W22" s="108">
        <v>67.84</v>
      </c>
      <c r="X22" s="108">
        <v>10.74</v>
      </c>
      <c r="Y22" s="108">
        <v>2.61</v>
      </c>
      <c r="Z22" s="109">
        <v>4.88</v>
      </c>
    </row>
    <row r="23" spans="1:26" ht="15" customHeight="1" x14ac:dyDescent="0.25">
      <c r="A23" s="71" t="str">
        <f t="shared" si="7"/>
        <v>ZR200x1,0</v>
      </c>
      <c r="B23" s="1" t="str">
        <f t="shared" si="8"/>
        <v>200</v>
      </c>
      <c r="C23" s="1">
        <f t="shared" si="9"/>
        <v>49</v>
      </c>
      <c r="D23" s="1">
        <f t="shared" si="10"/>
        <v>57</v>
      </c>
      <c r="E23" s="1">
        <f t="shared" si="11"/>
        <v>20</v>
      </c>
      <c r="F23" s="2" t="str">
        <f t="shared" si="12"/>
        <v>ZR200</v>
      </c>
      <c r="G23" s="80" t="s">
        <v>68</v>
      </c>
      <c r="H23" s="116">
        <v>1</v>
      </c>
      <c r="I23" s="94">
        <v>2.83</v>
      </c>
      <c r="J23" s="94">
        <v>2.58</v>
      </c>
      <c r="K23" s="94">
        <v>1.56</v>
      </c>
      <c r="L23" s="94">
        <v>3.19</v>
      </c>
      <c r="M23" s="94">
        <v>169.35</v>
      </c>
      <c r="N23" s="94">
        <v>15.38</v>
      </c>
      <c r="O23" s="94">
        <v>7.28</v>
      </c>
      <c r="P23" s="94">
        <v>8.99</v>
      </c>
      <c r="Q23" s="94">
        <v>3.12</v>
      </c>
      <c r="R23" s="94">
        <v>166.67</v>
      </c>
      <c r="S23" s="94">
        <v>15.59</v>
      </c>
      <c r="T23" s="94">
        <v>7.29</v>
      </c>
      <c r="U23" s="94">
        <v>10.69</v>
      </c>
      <c r="V23" s="94">
        <v>3.24</v>
      </c>
      <c r="W23" s="94">
        <v>16.91</v>
      </c>
      <c r="X23" s="94">
        <v>2.78</v>
      </c>
      <c r="Y23" s="94">
        <v>2.2799999999999998</v>
      </c>
      <c r="Z23" s="95">
        <v>4.42</v>
      </c>
    </row>
    <row r="24" spans="1:26" ht="15" customHeight="1" x14ac:dyDescent="0.25">
      <c r="A24" s="72" t="str">
        <f t="shared" si="7"/>
        <v>ZR200x1,2</v>
      </c>
      <c r="B24" s="3" t="str">
        <f t="shared" si="8"/>
        <v>200</v>
      </c>
      <c r="C24" s="3">
        <f t="shared" si="9"/>
        <v>49</v>
      </c>
      <c r="D24" s="3">
        <f t="shared" si="10"/>
        <v>57</v>
      </c>
      <c r="E24" s="3">
        <f t="shared" si="11"/>
        <v>20</v>
      </c>
      <c r="F24" s="4" t="str">
        <f t="shared" si="12"/>
        <v>ZR200</v>
      </c>
      <c r="G24" s="81" t="s">
        <v>68</v>
      </c>
      <c r="H24" s="117">
        <v>1.2</v>
      </c>
      <c r="I24" s="96">
        <v>3.39</v>
      </c>
      <c r="J24" s="96">
        <v>3.39</v>
      </c>
      <c r="K24" s="96">
        <v>1.57</v>
      </c>
      <c r="L24" s="96">
        <v>3.96</v>
      </c>
      <c r="M24" s="96">
        <v>213.99</v>
      </c>
      <c r="N24" s="96">
        <v>20.03</v>
      </c>
      <c r="O24" s="96">
        <v>7.34</v>
      </c>
      <c r="P24" s="96">
        <v>9.32</v>
      </c>
      <c r="Q24" s="96">
        <v>3.89</v>
      </c>
      <c r="R24" s="96">
        <v>209.99</v>
      </c>
      <c r="S24" s="96">
        <v>20.260000000000002</v>
      </c>
      <c r="T24" s="96">
        <v>7.34</v>
      </c>
      <c r="U24" s="96">
        <v>10.36</v>
      </c>
      <c r="V24" s="96">
        <v>3.97</v>
      </c>
      <c r="W24" s="96">
        <v>21.56</v>
      </c>
      <c r="X24" s="96">
        <v>3.6</v>
      </c>
      <c r="Y24" s="96">
        <v>2.33</v>
      </c>
      <c r="Z24" s="97">
        <v>4.5</v>
      </c>
    </row>
    <row r="25" spans="1:26" ht="15" customHeight="1" x14ac:dyDescent="0.25">
      <c r="A25" s="72" t="str">
        <f t="shared" si="7"/>
        <v>ZR200x1,5</v>
      </c>
      <c r="B25" s="3" t="str">
        <f t="shared" si="8"/>
        <v>200</v>
      </c>
      <c r="C25" s="3">
        <f t="shared" si="9"/>
        <v>49</v>
      </c>
      <c r="D25" s="3">
        <f t="shared" si="10"/>
        <v>57</v>
      </c>
      <c r="E25" s="3">
        <f t="shared" si="11"/>
        <v>20</v>
      </c>
      <c r="F25" s="4" t="str">
        <f t="shared" si="12"/>
        <v>ZR200</v>
      </c>
      <c r="G25" s="81" t="s">
        <v>68</v>
      </c>
      <c r="H25" s="117">
        <v>1.5</v>
      </c>
      <c r="I25" s="96">
        <v>4.09</v>
      </c>
      <c r="J25" s="96">
        <v>4.6900000000000004</v>
      </c>
      <c r="K25" s="96">
        <v>1.6</v>
      </c>
      <c r="L25" s="96">
        <v>4.7300000000000004</v>
      </c>
      <c r="M25" s="96">
        <v>267.87</v>
      </c>
      <c r="N25" s="96">
        <v>24.82</v>
      </c>
      <c r="O25" s="96">
        <v>7.51</v>
      </c>
      <c r="P25" s="96">
        <v>9.2100000000000009</v>
      </c>
      <c r="Q25" s="96">
        <v>4.6900000000000004</v>
      </c>
      <c r="R25" s="96">
        <v>263.11</v>
      </c>
      <c r="S25" s="96">
        <v>25.24</v>
      </c>
      <c r="T25" s="96">
        <v>7.48</v>
      </c>
      <c r="U25" s="96">
        <v>10.42</v>
      </c>
      <c r="V25" s="96">
        <v>5.18</v>
      </c>
      <c r="W25" s="96">
        <v>29.94</v>
      </c>
      <c r="X25" s="96">
        <v>5.03</v>
      </c>
      <c r="Y25" s="96">
        <v>2.4</v>
      </c>
      <c r="Z25" s="97">
        <v>4.6500000000000004</v>
      </c>
    </row>
    <row r="26" spans="1:26" ht="15" customHeight="1" x14ac:dyDescent="0.25">
      <c r="A26" s="72" t="str">
        <f t="shared" si="7"/>
        <v>ZR200x2,0</v>
      </c>
      <c r="B26" s="3" t="str">
        <f t="shared" si="8"/>
        <v>200</v>
      </c>
      <c r="C26" s="3">
        <f t="shared" si="9"/>
        <v>50</v>
      </c>
      <c r="D26" s="3">
        <f t="shared" si="10"/>
        <v>58</v>
      </c>
      <c r="E26" s="3">
        <f t="shared" si="11"/>
        <v>21</v>
      </c>
      <c r="F26" s="4" t="str">
        <f t="shared" si="12"/>
        <v>ZR200</v>
      </c>
      <c r="G26" s="81" t="s">
        <v>69</v>
      </c>
      <c r="H26" s="117">
        <v>2</v>
      </c>
      <c r="I26" s="96">
        <v>5.48</v>
      </c>
      <c r="J26" s="96">
        <v>6.86</v>
      </c>
      <c r="K26" s="96">
        <v>1.64</v>
      </c>
      <c r="L26" s="96">
        <v>6.79</v>
      </c>
      <c r="M26" s="96">
        <v>375.55</v>
      </c>
      <c r="N26" s="96">
        <v>36.21</v>
      </c>
      <c r="O26" s="96">
        <v>7.43</v>
      </c>
      <c r="P26" s="96">
        <v>9.6300000000000008</v>
      </c>
      <c r="Q26" s="96">
        <v>6.79</v>
      </c>
      <c r="R26" s="96">
        <v>376.32</v>
      </c>
      <c r="S26" s="96">
        <v>37.26</v>
      </c>
      <c r="T26" s="96">
        <v>7.44</v>
      </c>
      <c r="U26" s="96">
        <v>9.9</v>
      </c>
      <c r="V26" s="96">
        <v>6.95</v>
      </c>
      <c r="W26" s="96">
        <v>41.87</v>
      </c>
      <c r="X26" s="96">
        <v>6.9</v>
      </c>
      <c r="Y26" s="96">
        <v>2.4500000000000002</v>
      </c>
      <c r="Z26" s="97">
        <v>4.74</v>
      </c>
    </row>
    <row r="27" spans="1:26" ht="15" customHeight="1" x14ac:dyDescent="0.25">
      <c r="A27" s="72" t="str">
        <f t="shared" si="7"/>
        <v>ZR200x2,5</v>
      </c>
      <c r="B27" s="3" t="str">
        <f t="shared" si="8"/>
        <v>200</v>
      </c>
      <c r="C27" s="3">
        <f t="shared" si="9"/>
        <v>51</v>
      </c>
      <c r="D27" s="3">
        <f t="shared" si="10"/>
        <v>59</v>
      </c>
      <c r="E27" s="3">
        <f t="shared" si="11"/>
        <v>22</v>
      </c>
      <c r="F27" s="4" t="str">
        <f t="shared" si="12"/>
        <v>ZR200</v>
      </c>
      <c r="G27" s="81" t="s">
        <v>70</v>
      </c>
      <c r="H27" s="117">
        <v>2.5</v>
      </c>
      <c r="I27" s="96">
        <v>6.9</v>
      </c>
      <c r="J27" s="96">
        <v>8.73</v>
      </c>
      <c r="K27" s="96">
        <v>1.67</v>
      </c>
      <c r="L27" s="96">
        <v>8.73</v>
      </c>
      <c r="M27" s="96">
        <v>477.66</v>
      </c>
      <c r="N27" s="96">
        <v>46.71</v>
      </c>
      <c r="O27" s="96">
        <v>7.39</v>
      </c>
      <c r="P27" s="96">
        <v>9.77</v>
      </c>
      <c r="Q27" s="96">
        <v>8.73</v>
      </c>
      <c r="R27" s="96">
        <v>477.66</v>
      </c>
      <c r="S27" s="96">
        <v>46.71</v>
      </c>
      <c r="T27" s="96">
        <v>7.39</v>
      </c>
      <c r="U27" s="96">
        <v>9.77</v>
      </c>
      <c r="V27" s="96">
        <v>8.73</v>
      </c>
      <c r="W27" s="96">
        <v>54.42</v>
      </c>
      <c r="X27" s="96">
        <v>8.7899999999999991</v>
      </c>
      <c r="Y27" s="96">
        <v>2.4900000000000002</v>
      </c>
      <c r="Z27" s="97">
        <v>4.8099999999999996</v>
      </c>
    </row>
    <row r="28" spans="1:26" ht="15" customHeight="1" thickBot="1" x14ac:dyDescent="0.3">
      <c r="A28" s="73" t="str">
        <f t="shared" si="7"/>
        <v>ZR200x3,0</v>
      </c>
      <c r="B28" s="5" t="str">
        <f t="shared" si="8"/>
        <v>200</v>
      </c>
      <c r="C28" s="5">
        <f t="shared" si="9"/>
        <v>52</v>
      </c>
      <c r="D28" s="5">
        <f t="shared" si="10"/>
        <v>60</v>
      </c>
      <c r="E28" s="5">
        <f t="shared" si="11"/>
        <v>23</v>
      </c>
      <c r="F28" s="6" t="str">
        <f t="shared" si="12"/>
        <v>ZR200</v>
      </c>
      <c r="G28" s="82" t="s">
        <v>71</v>
      </c>
      <c r="H28" s="118">
        <v>3</v>
      </c>
      <c r="I28" s="98">
        <v>8.32</v>
      </c>
      <c r="J28" s="98">
        <v>10.52</v>
      </c>
      <c r="K28" s="98">
        <v>1.71</v>
      </c>
      <c r="L28" s="98">
        <v>10.52</v>
      </c>
      <c r="M28" s="98">
        <v>574.16</v>
      </c>
      <c r="N28" s="98">
        <v>56.15</v>
      </c>
      <c r="O28" s="98">
        <v>7.38</v>
      </c>
      <c r="P28" s="98">
        <v>9.7799999999999994</v>
      </c>
      <c r="Q28" s="98">
        <v>10.52</v>
      </c>
      <c r="R28" s="98">
        <v>574.16</v>
      </c>
      <c r="S28" s="98">
        <v>56.15</v>
      </c>
      <c r="T28" s="98">
        <v>7.38</v>
      </c>
      <c r="U28" s="98">
        <v>9.7799999999999994</v>
      </c>
      <c r="V28" s="98">
        <v>10.52</v>
      </c>
      <c r="W28" s="98">
        <v>67.86</v>
      </c>
      <c r="X28" s="98">
        <v>10.75</v>
      </c>
      <c r="Y28" s="98">
        <v>2.5299999999999998</v>
      </c>
      <c r="Z28" s="99">
        <v>4.8899999999999997</v>
      </c>
    </row>
    <row r="29" spans="1:26" ht="15" customHeight="1" x14ac:dyDescent="0.25">
      <c r="A29" s="71" t="str">
        <f t="shared" si="7"/>
        <v>ZR220x1,5</v>
      </c>
      <c r="B29" s="1" t="str">
        <f t="shared" si="8"/>
        <v>220</v>
      </c>
      <c r="C29" s="1">
        <f t="shared" si="9"/>
        <v>49</v>
      </c>
      <c r="D29" s="1">
        <f t="shared" si="10"/>
        <v>57</v>
      </c>
      <c r="E29" s="1">
        <f t="shared" si="11"/>
        <v>20</v>
      </c>
      <c r="F29" s="2" t="str">
        <f t="shared" si="12"/>
        <v>ZR220</v>
      </c>
      <c r="G29" s="80" t="s">
        <v>72</v>
      </c>
      <c r="H29" s="116">
        <v>1.5</v>
      </c>
      <c r="I29" s="94">
        <v>4.33</v>
      </c>
      <c r="J29" s="94">
        <v>4.75</v>
      </c>
      <c r="K29" s="94">
        <v>1.53</v>
      </c>
      <c r="L29" s="94">
        <v>4.8899999999999997</v>
      </c>
      <c r="M29" s="94">
        <v>330.7</v>
      </c>
      <c r="N29" s="94">
        <v>27.53</v>
      </c>
      <c r="O29" s="94">
        <v>8.2100000000000009</v>
      </c>
      <c r="P29" s="94">
        <v>9.99</v>
      </c>
      <c r="Q29" s="94">
        <v>4.8499999999999996</v>
      </c>
      <c r="R29" s="94">
        <v>325.41000000000003</v>
      </c>
      <c r="S29" s="94">
        <v>28</v>
      </c>
      <c r="T29" s="94">
        <v>8.18</v>
      </c>
      <c r="U29" s="94">
        <v>11.62</v>
      </c>
      <c r="V29" s="94">
        <v>5.48</v>
      </c>
      <c r="W29" s="94">
        <v>29.95</v>
      </c>
      <c r="X29" s="94">
        <v>5.04</v>
      </c>
      <c r="Y29" s="94">
        <v>2.33</v>
      </c>
      <c r="Z29" s="95">
        <v>4.66</v>
      </c>
    </row>
    <row r="30" spans="1:26" ht="15" customHeight="1" x14ac:dyDescent="0.25">
      <c r="A30" s="72" t="str">
        <f t="shared" si="7"/>
        <v>ZR220x2,0</v>
      </c>
      <c r="B30" s="3" t="str">
        <f t="shared" si="8"/>
        <v>220</v>
      </c>
      <c r="C30" s="3">
        <f t="shared" si="9"/>
        <v>50</v>
      </c>
      <c r="D30" s="3">
        <f t="shared" si="10"/>
        <v>58</v>
      </c>
      <c r="E30" s="3">
        <f t="shared" si="11"/>
        <v>21</v>
      </c>
      <c r="F30" s="4" t="str">
        <f t="shared" si="12"/>
        <v>ZR220</v>
      </c>
      <c r="G30" s="81" t="s">
        <v>73</v>
      </c>
      <c r="H30" s="117">
        <v>2</v>
      </c>
      <c r="I30" s="96">
        <v>5.8</v>
      </c>
      <c r="J30" s="96">
        <v>7</v>
      </c>
      <c r="K30" s="96">
        <v>1.56</v>
      </c>
      <c r="L30" s="96">
        <v>7.01</v>
      </c>
      <c r="M30" s="96">
        <v>464.43</v>
      </c>
      <c r="N30" s="96">
        <v>40.200000000000003</v>
      </c>
      <c r="O30" s="96">
        <v>8.1300000000000008</v>
      </c>
      <c r="P30" s="96">
        <v>10.45</v>
      </c>
      <c r="Q30" s="96">
        <v>7.02</v>
      </c>
      <c r="R30" s="96">
        <v>466.31</v>
      </c>
      <c r="S30" s="96">
        <v>42.19</v>
      </c>
      <c r="T30" s="96">
        <v>8.14</v>
      </c>
      <c r="U30" s="96">
        <v>11.05</v>
      </c>
      <c r="V30" s="96">
        <v>7.35</v>
      </c>
      <c r="W30" s="96">
        <v>41.88</v>
      </c>
      <c r="X30" s="96">
        <v>6.91</v>
      </c>
      <c r="Y30" s="96">
        <v>2.38</v>
      </c>
      <c r="Z30" s="97">
        <v>4.75</v>
      </c>
    </row>
    <row r="31" spans="1:26" ht="15" customHeight="1" x14ac:dyDescent="0.25">
      <c r="A31" s="72" t="str">
        <f t="shared" si="7"/>
        <v>ZR220x2,5</v>
      </c>
      <c r="B31" s="3" t="str">
        <f t="shared" si="8"/>
        <v>220</v>
      </c>
      <c r="C31" s="3">
        <f t="shared" si="9"/>
        <v>51</v>
      </c>
      <c r="D31" s="3">
        <f t="shared" si="10"/>
        <v>59</v>
      </c>
      <c r="E31" s="3">
        <f t="shared" si="11"/>
        <v>22</v>
      </c>
      <c r="F31" s="4" t="str">
        <f t="shared" si="12"/>
        <v>ZR220</v>
      </c>
      <c r="G31" s="81" t="s">
        <v>74</v>
      </c>
      <c r="H31" s="117">
        <v>2.5</v>
      </c>
      <c r="I31" s="96">
        <v>7.29</v>
      </c>
      <c r="J31" s="96">
        <v>9.23</v>
      </c>
      <c r="K31" s="96">
        <v>1.57</v>
      </c>
      <c r="L31" s="96">
        <v>9.23</v>
      </c>
      <c r="M31" s="96">
        <v>600.6</v>
      </c>
      <c r="N31" s="96">
        <v>53.45</v>
      </c>
      <c r="O31" s="96">
        <v>8.06</v>
      </c>
      <c r="P31" s="96">
        <v>10.76</v>
      </c>
      <c r="Q31" s="96">
        <v>9.23</v>
      </c>
      <c r="R31" s="96">
        <v>600.6</v>
      </c>
      <c r="S31" s="96">
        <v>53.45</v>
      </c>
      <c r="T31" s="96">
        <v>8.06</v>
      </c>
      <c r="U31" s="96">
        <v>10.76</v>
      </c>
      <c r="V31" s="96">
        <v>9.23</v>
      </c>
      <c r="W31" s="96">
        <v>54.43</v>
      </c>
      <c r="X31" s="96">
        <v>8.81</v>
      </c>
      <c r="Y31" s="96">
        <v>2.42</v>
      </c>
      <c r="Z31" s="97">
        <v>4.82</v>
      </c>
    </row>
    <row r="32" spans="1:26" ht="15" customHeight="1" thickBot="1" x14ac:dyDescent="0.3">
      <c r="A32" s="126" t="str">
        <f t="shared" si="7"/>
        <v>ZR220x3,0</v>
      </c>
      <c r="B32" s="14" t="str">
        <f t="shared" si="8"/>
        <v>220</v>
      </c>
      <c r="C32" s="14">
        <f t="shared" si="9"/>
        <v>52</v>
      </c>
      <c r="D32" s="14">
        <f t="shared" si="10"/>
        <v>60</v>
      </c>
      <c r="E32" s="14">
        <f t="shared" si="11"/>
        <v>23</v>
      </c>
      <c r="F32" s="7" t="str">
        <f t="shared" si="12"/>
        <v>ZR220</v>
      </c>
      <c r="G32" s="151" t="s">
        <v>75</v>
      </c>
      <c r="H32" s="152">
        <v>3</v>
      </c>
      <c r="I32" s="108">
        <v>8.7899999999999991</v>
      </c>
      <c r="J32" s="108">
        <v>11.12</v>
      </c>
      <c r="K32" s="108">
        <v>1.6</v>
      </c>
      <c r="L32" s="108">
        <v>11.12</v>
      </c>
      <c r="M32" s="108">
        <v>722.26</v>
      </c>
      <c r="N32" s="108">
        <v>64.290000000000006</v>
      </c>
      <c r="O32" s="108">
        <v>8.0500000000000007</v>
      </c>
      <c r="P32" s="108">
        <v>10.77</v>
      </c>
      <c r="Q32" s="108">
        <v>11.12</v>
      </c>
      <c r="R32" s="108">
        <v>722.26</v>
      </c>
      <c r="S32" s="108">
        <v>64.290000000000006</v>
      </c>
      <c r="T32" s="108">
        <v>8.0500000000000007</v>
      </c>
      <c r="U32" s="108">
        <v>10.77</v>
      </c>
      <c r="V32" s="108">
        <v>11.12</v>
      </c>
      <c r="W32" s="108">
        <v>67.88</v>
      </c>
      <c r="X32" s="108">
        <v>10.77</v>
      </c>
      <c r="Y32" s="108">
        <v>2.4700000000000002</v>
      </c>
      <c r="Z32" s="109">
        <v>4.9000000000000004</v>
      </c>
    </row>
    <row r="33" spans="1:26" ht="15" customHeight="1" x14ac:dyDescent="0.25">
      <c r="A33" s="71" t="str">
        <f t="shared" si="7"/>
        <v>ZR250x1,0</v>
      </c>
      <c r="B33" s="1" t="str">
        <f t="shared" si="8"/>
        <v>250</v>
      </c>
      <c r="C33" s="1">
        <f t="shared" si="9"/>
        <v>63</v>
      </c>
      <c r="D33" s="1">
        <f t="shared" si="10"/>
        <v>73</v>
      </c>
      <c r="E33" s="1">
        <f t="shared" si="11"/>
        <v>20</v>
      </c>
      <c r="F33" s="2" t="str">
        <f t="shared" si="12"/>
        <v>ZR250</v>
      </c>
      <c r="G33" s="80" t="s">
        <v>76</v>
      </c>
      <c r="H33" s="116">
        <v>1</v>
      </c>
      <c r="I33" s="94">
        <v>3.49</v>
      </c>
      <c r="J33" s="94">
        <v>2.65</v>
      </c>
      <c r="K33" s="94">
        <v>2.0299999999999998</v>
      </c>
      <c r="L33" s="94">
        <v>3.65</v>
      </c>
      <c r="M33" s="94">
        <v>295.47000000000003</v>
      </c>
      <c r="N33" s="94">
        <v>20.29</v>
      </c>
      <c r="O33" s="94">
        <v>8.99</v>
      </c>
      <c r="P33" s="94">
        <v>10.44</v>
      </c>
      <c r="Q33" s="94">
        <v>3.56</v>
      </c>
      <c r="R33" s="94">
        <v>293.61</v>
      </c>
      <c r="S33" s="94">
        <v>20.77</v>
      </c>
      <c r="T33" s="94">
        <v>9.07</v>
      </c>
      <c r="U33" s="94">
        <v>14.13</v>
      </c>
      <c r="V33" s="94">
        <v>3.9</v>
      </c>
      <c r="W33" s="94">
        <v>29.52</v>
      </c>
      <c r="X33" s="94">
        <v>3.82</v>
      </c>
      <c r="Y33" s="94">
        <v>2.75</v>
      </c>
      <c r="Z33" s="95">
        <v>5.78</v>
      </c>
    </row>
    <row r="34" spans="1:26" ht="15" customHeight="1" x14ac:dyDescent="0.25">
      <c r="A34" s="72" t="str">
        <f t="shared" si="7"/>
        <v>ZR250x1,2</v>
      </c>
      <c r="B34" s="3" t="str">
        <f t="shared" si="8"/>
        <v>250</v>
      </c>
      <c r="C34" s="3">
        <f t="shared" si="9"/>
        <v>63</v>
      </c>
      <c r="D34" s="3">
        <f t="shared" si="10"/>
        <v>73</v>
      </c>
      <c r="E34" s="3">
        <f t="shared" si="11"/>
        <v>20</v>
      </c>
      <c r="F34" s="4" t="str">
        <f t="shared" si="12"/>
        <v>ZR250</v>
      </c>
      <c r="G34" s="81" t="s">
        <v>76</v>
      </c>
      <c r="H34" s="117">
        <v>1.2</v>
      </c>
      <c r="I34" s="96">
        <v>4.18</v>
      </c>
      <c r="J34" s="96">
        <v>3.52</v>
      </c>
      <c r="K34" s="96">
        <v>2.0499999999999998</v>
      </c>
      <c r="L34" s="96">
        <v>4.54</v>
      </c>
      <c r="M34" s="96">
        <v>376.78</v>
      </c>
      <c r="N34" s="96">
        <v>26.68</v>
      </c>
      <c r="O34" s="96">
        <v>9.1</v>
      </c>
      <c r="P34" s="96">
        <v>10.88</v>
      </c>
      <c r="Q34" s="96">
        <v>4.4400000000000004</v>
      </c>
      <c r="R34" s="96">
        <v>373.5</v>
      </c>
      <c r="S34" s="96">
        <v>27.3</v>
      </c>
      <c r="T34" s="96">
        <v>9.16</v>
      </c>
      <c r="U34" s="96">
        <v>13.68</v>
      </c>
      <c r="V34" s="96">
        <v>4.76</v>
      </c>
      <c r="W34" s="96">
        <v>37.76</v>
      </c>
      <c r="X34" s="96">
        <v>4.96</v>
      </c>
      <c r="Y34" s="96">
        <v>2.81</v>
      </c>
      <c r="Z34" s="97">
        <v>5.87</v>
      </c>
    </row>
    <row r="35" spans="1:26" ht="15" customHeight="1" x14ac:dyDescent="0.25">
      <c r="A35" s="72" t="str">
        <f t="shared" si="7"/>
        <v>ZR250x2,0</v>
      </c>
      <c r="B35" s="3" t="str">
        <f t="shared" si="8"/>
        <v>250</v>
      </c>
      <c r="C35" s="3">
        <f t="shared" si="9"/>
        <v>63</v>
      </c>
      <c r="D35" s="3">
        <f t="shared" si="10"/>
        <v>73</v>
      </c>
      <c r="E35" s="3">
        <f t="shared" si="11"/>
        <v>20</v>
      </c>
      <c r="F35" s="4" t="str">
        <f t="shared" si="12"/>
        <v>ZR250</v>
      </c>
      <c r="G35" s="81" t="s">
        <v>76</v>
      </c>
      <c r="H35" s="117">
        <v>2</v>
      </c>
      <c r="I35" s="96">
        <v>6.68</v>
      </c>
      <c r="J35" s="96">
        <v>7.54</v>
      </c>
      <c r="K35" s="96">
        <v>1.98</v>
      </c>
      <c r="L35" s="96">
        <v>7.83</v>
      </c>
      <c r="M35" s="96">
        <v>697.21</v>
      </c>
      <c r="N35" s="96">
        <v>52.08</v>
      </c>
      <c r="O35" s="96">
        <v>9.43</v>
      </c>
      <c r="P35" s="96">
        <v>11.61</v>
      </c>
      <c r="Q35" s="96">
        <v>7.76</v>
      </c>
      <c r="R35" s="96">
        <v>684.61</v>
      </c>
      <c r="S35" s="96">
        <v>53</v>
      </c>
      <c r="T35" s="96">
        <v>9.3800000000000008</v>
      </c>
      <c r="U35" s="96">
        <v>12.92</v>
      </c>
      <c r="V35" s="96">
        <v>8.4700000000000006</v>
      </c>
      <c r="W35" s="96">
        <v>72.02</v>
      </c>
      <c r="X35" s="96">
        <v>9.64</v>
      </c>
      <c r="Y35" s="96">
        <v>2.91</v>
      </c>
      <c r="Z35" s="97">
        <v>6.13</v>
      </c>
    </row>
    <row r="36" spans="1:26" ht="15" customHeight="1" x14ac:dyDescent="0.25">
      <c r="A36" s="72" t="str">
        <f t="shared" si="7"/>
        <v>ZR250x2,5</v>
      </c>
      <c r="B36" s="3" t="str">
        <f t="shared" si="8"/>
        <v>250</v>
      </c>
      <c r="C36" s="3">
        <f t="shared" si="9"/>
        <v>64</v>
      </c>
      <c r="D36" s="3">
        <f t="shared" si="10"/>
        <v>74</v>
      </c>
      <c r="E36" s="3">
        <f t="shared" si="11"/>
        <v>21</v>
      </c>
      <c r="F36" s="4" t="str">
        <f t="shared" si="12"/>
        <v>ZR250</v>
      </c>
      <c r="G36" s="81" t="s">
        <v>77</v>
      </c>
      <c r="H36" s="117">
        <v>2.5</v>
      </c>
      <c r="I36" s="96">
        <v>8.39</v>
      </c>
      <c r="J36" s="96">
        <v>10.19</v>
      </c>
      <c r="K36" s="96">
        <v>2.02</v>
      </c>
      <c r="L36" s="96">
        <v>10.36</v>
      </c>
      <c r="M36" s="96">
        <v>905.2</v>
      </c>
      <c r="N36" s="96">
        <v>69.73</v>
      </c>
      <c r="O36" s="96">
        <v>9.34</v>
      </c>
      <c r="P36" s="96">
        <v>12.02</v>
      </c>
      <c r="Q36" s="96">
        <v>10.37</v>
      </c>
      <c r="R36" s="96">
        <v>907.23</v>
      </c>
      <c r="S36" s="96">
        <v>71.89</v>
      </c>
      <c r="T36" s="96">
        <v>9.34</v>
      </c>
      <c r="U36" s="96">
        <v>12.38</v>
      </c>
      <c r="V36" s="96">
        <v>10.63</v>
      </c>
      <c r="W36" s="96">
        <v>93.15</v>
      </c>
      <c r="X36" s="96">
        <v>12.26</v>
      </c>
      <c r="Y36" s="96">
        <v>2.96</v>
      </c>
      <c r="Z36" s="97">
        <v>6.21</v>
      </c>
    </row>
    <row r="37" spans="1:26" ht="15" customHeight="1" x14ac:dyDescent="0.25">
      <c r="A37" s="72" t="str">
        <f t="shared" si="7"/>
        <v>ZR250x3,0</v>
      </c>
      <c r="B37" s="3" t="str">
        <f t="shared" si="8"/>
        <v>250</v>
      </c>
      <c r="C37" s="3">
        <f t="shared" si="9"/>
        <v>65</v>
      </c>
      <c r="D37" s="3">
        <f t="shared" si="10"/>
        <v>75</v>
      </c>
      <c r="E37" s="3">
        <f t="shared" si="11"/>
        <v>22</v>
      </c>
      <c r="F37" s="4" t="str">
        <f t="shared" si="12"/>
        <v>ZR250</v>
      </c>
      <c r="G37" s="81" t="s">
        <v>78</v>
      </c>
      <c r="H37" s="117">
        <v>3</v>
      </c>
      <c r="I37" s="96">
        <v>10.11</v>
      </c>
      <c r="J37" s="96">
        <v>12.8</v>
      </c>
      <c r="K37" s="96">
        <v>2.04</v>
      </c>
      <c r="L37" s="96">
        <v>12.8</v>
      </c>
      <c r="M37" s="96">
        <v>1106.3800000000001</v>
      </c>
      <c r="N37" s="96">
        <v>86.5</v>
      </c>
      <c r="O37" s="96">
        <v>9.2899999999999991</v>
      </c>
      <c r="P37" s="96">
        <v>12.21</v>
      </c>
      <c r="Q37" s="96">
        <v>12.8</v>
      </c>
      <c r="R37" s="96">
        <v>1106.3800000000001</v>
      </c>
      <c r="S37" s="96">
        <v>86.5</v>
      </c>
      <c r="T37" s="96">
        <v>9.2899999999999991</v>
      </c>
      <c r="U37" s="96">
        <v>12.21</v>
      </c>
      <c r="V37" s="96">
        <v>12.8</v>
      </c>
      <c r="W37" s="96">
        <v>115.62</v>
      </c>
      <c r="X37" s="96">
        <v>14.98</v>
      </c>
      <c r="Y37" s="96">
        <v>3</v>
      </c>
      <c r="Z37" s="97">
        <v>6.28</v>
      </c>
    </row>
    <row r="38" spans="1:26" ht="15" customHeight="1" thickBot="1" x14ac:dyDescent="0.3">
      <c r="A38" s="73" t="str">
        <f t="shared" si="7"/>
        <v>ZR250x3,5</v>
      </c>
      <c r="B38" s="5" t="str">
        <f t="shared" si="8"/>
        <v>250</v>
      </c>
      <c r="C38" s="5">
        <f t="shared" si="9"/>
        <v>66</v>
      </c>
      <c r="D38" s="5">
        <f t="shared" si="10"/>
        <v>76</v>
      </c>
      <c r="E38" s="5">
        <f t="shared" si="11"/>
        <v>23</v>
      </c>
      <c r="F38" s="6" t="str">
        <f t="shared" si="12"/>
        <v>ZR250</v>
      </c>
      <c r="G38" s="82" t="s">
        <v>79</v>
      </c>
      <c r="H38" s="118">
        <v>3.5</v>
      </c>
      <c r="I38" s="98">
        <v>11.85</v>
      </c>
      <c r="J38" s="98">
        <v>14.99</v>
      </c>
      <c r="K38" s="98">
        <v>2.09</v>
      </c>
      <c r="L38" s="98">
        <v>14.99</v>
      </c>
      <c r="M38" s="98">
        <v>1293.21</v>
      </c>
      <c r="N38" s="98">
        <v>101.12</v>
      </c>
      <c r="O38" s="98">
        <v>9.2799999999999994</v>
      </c>
      <c r="P38" s="98">
        <v>12.21</v>
      </c>
      <c r="Q38" s="98">
        <v>14.99</v>
      </c>
      <c r="R38" s="98">
        <v>1293.21</v>
      </c>
      <c r="S38" s="98">
        <v>101.12</v>
      </c>
      <c r="T38" s="98">
        <v>9.2799999999999994</v>
      </c>
      <c r="U38" s="98">
        <v>12.21</v>
      </c>
      <c r="V38" s="98">
        <v>14.99</v>
      </c>
      <c r="W38" s="98">
        <v>139.46</v>
      </c>
      <c r="X38" s="98">
        <v>17.79</v>
      </c>
      <c r="Y38" s="98">
        <v>3.04</v>
      </c>
      <c r="Z38" s="99">
        <v>6.36</v>
      </c>
    </row>
    <row r="39" spans="1:26" ht="15" customHeight="1" x14ac:dyDescent="0.25">
      <c r="A39" s="71" t="str">
        <f t="shared" ref="A39:A51" si="13">CONCATENATE(F39,"x",(IF(H39=INT(H39),CONCATENATE(H39,",",0),H39)))</f>
        <v>ZR300x2,0</v>
      </c>
      <c r="B39" s="10" t="str">
        <f t="shared" ref="B39:B45" si="14">LEFT(G39,3)</f>
        <v>300</v>
      </c>
      <c r="C39" s="88">
        <f t="shared" ref="C39:C51" si="15">VALUE(MID(G39,(SEARCH("/",G39,1)+1),(SEARCH("/",G39,(SEARCH("/",G39,1)+1))-SEARCH("/",G39,1)-1)))</f>
        <v>85</v>
      </c>
      <c r="D39" s="88">
        <f t="shared" ref="D39:D51" si="16">VALUE(MID(G39,(SEARCH("/",G39,(SEARCH("/",G39,1)+1))+1),(SEARCH("/",G39,SEARCH("/",G39,(SEARCH("/",G39,1)+1))+1))-(SEARCH("/",G39,(SEARCH("/",G39,1)+1))+1)))</f>
        <v>93</v>
      </c>
      <c r="E39" s="89">
        <f t="shared" ref="E39:E51" si="17">VALUE(MID(G39,(SEARCH("/",G39,SEARCH("/",G39,(SEARCH("/",G39,1)+1))+1)+1),4))</f>
        <v>20.5</v>
      </c>
      <c r="F39" s="133" t="str">
        <f t="shared" ref="F39:F51" si="18">CONCATENATE("ZR",LEFT(G39,3))</f>
        <v>ZR300</v>
      </c>
      <c r="G39" s="80" t="s">
        <v>80</v>
      </c>
      <c r="H39" s="116">
        <v>2</v>
      </c>
      <c r="I39" s="94">
        <v>8.14</v>
      </c>
      <c r="J39" s="94">
        <v>7.98</v>
      </c>
      <c r="K39" s="94">
        <v>2.82</v>
      </c>
      <c r="L39" s="94">
        <v>8.86</v>
      </c>
      <c r="M39" s="94">
        <v>1154.42</v>
      </c>
      <c r="N39" s="94">
        <v>68.59</v>
      </c>
      <c r="O39" s="94">
        <v>11.41</v>
      </c>
      <c r="P39" s="94">
        <v>13.17</v>
      </c>
      <c r="Q39" s="94">
        <v>8.85</v>
      </c>
      <c r="R39" s="94">
        <v>1137.95</v>
      </c>
      <c r="S39" s="94">
        <v>69.16</v>
      </c>
      <c r="T39" s="94">
        <v>11.33</v>
      </c>
      <c r="U39" s="94">
        <v>16.45</v>
      </c>
      <c r="V39" s="94">
        <v>10.18</v>
      </c>
      <c r="W39" s="94">
        <v>141.30000000000001</v>
      </c>
      <c r="X39" s="94">
        <v>14.83</v>
      </c>
      <c r="Y39" s="94">
        <v>3.72</v>
      </c>
      <c r="Z39" s="95">
        <v>8.2799999999999994</v>
      </c>
    </row>
    <row r="40" spans="1:26" ht="15" customHeight="1" x14ac:dyDescent="0.25">
      <c r="A40" s="72" t="str">
        <f t="shared" si="13"/>
        <v>ZR300x2,5</v>
      </c>
      <c r="B40" s="11" t="str">
        <f t="shared" si="14"/>
        <v>300</v>
      </c>
      <c r="C40" s="90">
        <f t="shared" si="15"/>
        <v>86</v>
      </c>
      <c r="D40" s="90">
        <f t="shared" si="16"/>
        <v>94</v>
      </c>
      <c r="E40" s="90">
        <f t="shared" si="17"/>
        <v>21.5</v>
      </c>
      <c r="F40" s="134" t="str">
        <f t="shared" si="18"/>
        <v>ZR300</v>
      </c>
      <c r="G40" s="81" t="s">
        <v>81</v>
      </c>
      <c r="H40" s="117">
        <v>2.5</v>
      </c>
      <c r="I40" s="96">
        <v>10.210000000000001</v>
      </c>
      <c r="J40" s="96">
        <v>11.2</v>
      </c>
      <c r="K40" s="96">
        <v>2.8</v>
      </c>
      <c r="L40" s="96">
        <v>11.98</v>
      </c>
      <c r="M40" s="96">
        <v>1563.89</v>
      </c>
      <c r="N40" s="96">
        <v>97.76</v>
      </c>
      <c r="O40" s="96">
        <v>11.42</v>
      </c>
      <c r="P40" s="96">
        <v>14</v>
      </c>
      <c r="Q40" s="96">
        <v>11.94</v>
      </c>
      <c r="R40" s="96">
        <v>1546.17</v>
      </c>
      <c r="S40" s="96">
        <v>99.01</v>
      </c>
      <c r="T40" s="96">
        <v>11.37</v>
      </c>
      <c r="U40" s="96">
        <v>15.62</v>
      </c>
      <c r="V40" s="96">
        <v>12.95</v>
      </c>
      <c r="W40" s="96">
        <v>185.78</v>
      </c>
      <c r="X40" s="96">
        <v>19.39</v>
      </c>
      <c r="Y40" s="96">
        <v>3.78</v>
      </c>
      <c r="Z40" s="97">
        <v>8.42</v>
      </c>
    </row>
    <row r="41" spans="1:26" ht="15" customHeight="1" x14ac:dyDescent="0.25">
      <c r="A41" s="72" t="str">
        <f t="shared" si="13"/>
        <v>ZR300x3,0</v>
      </c>
      <c r="B41" s="11" t="str">
        <f t="shared" si="14"/>
        <v>300</v>
      </c>
      <c r="C41" s="90">
        <f t="shared" si="15"/>
        <v>87</v>
      </c>
      <c r="D41" s="90">
        <f t="shared" si="16"/>
        <v>95</v>
      </c>
      <c r="E41" s="90">
        <f t="shared" si="17"/>
        <v>22.5</v>
      </c>
      <c r="F41" s="134" t="str">
        <f t="shared" si="18"/>
        <v>ZR300</v>
      </c>
      <c r="G41" s="81" t="s">
        <v>82</v>
      </c>
      <c r="H41" s="117">
        <v>3</v>
      </c>
      <c r="I41" s="96">
        <v>12.3</v>
      </c>
      <c r="J41" s="96">
        <v>14.6</v>
      </c>
      <c r="K41" s="96">
        <v>2.8</v>
      </c>
      <c r="L41" s="96">
        <v>15.24</v>
      </c>
      <c r="M41" s="96">
        <v>1970.91</v>
      </c>
      <c r="N41" s="96">
        <v>127.71</v>
      </c>
      <c r="O41" s="96">
        <v>11.37</v>
      </c>
      <c r="P41" s="96">
        <v>14.57</v>
      </c>
      <c r="Q41" s="96">
        <v>15.22</v>
      </c>
      <c r="R41" s="96">
        <v>1964.36</v>
      </c>
      <c r="S41" s="96">
        <v>130.94999999999999</v>
      </c>
      <c r="T41" s="96">
        <v>11.36</v>
      </c>
      <c r="U41" s="96">
        <v>15</v>
      </c>
      <c r="V41" s="96">
        <v>15.59</v>
      </c>
      <c r="W41" s="96">
        <v>229.24</v>
      </c>
      <c r="X41" s="96">
        <v>23.62</v>
      </c>
      <c r="Y41" s="96">
        <v>3.83</v>
      </c>
      <c r="Z41" s="97">
        <v>8.5</v>
      </c>
    </row>
    <row r="42" spans="1:26" ht="15" customHeight="1" thickBot="1" x14ac:dyDescent="0.3">
      <c r="A42" s="73" t="str">
        <f t="shared" si="13"/>
        <v>ZR300x3,5</v>
      </c>
      <c r="B42" s="12" t="str">
        <f t="shared" si="14"/>
        <v>300</v>
      </c>
      <c r="C42" s="92">
        <f t="shared" si="15"/>
        <v>88</v>
      </c>
      <c r="D42" s="92">
        <f t="shared" si="16"/>
        <v>96</v>
      </c>
      <c r="E42" s="91">
        <f t="shared" si="17"/>
        <v>23.5</v>
      </c>
      <c r="F42" s="135" t="str">
        <f t="shared" si="18"/>
        <v>ZR300</v>
      </c>
      <c r="G42" s="82" t="s">
        <v>83</v>
      </c>
      <c r="H42" s="118">
        <v>3.5</v>
      </c>
      <c r="I42" s="98">
        <v>14.41</v>
      </c>
      <c r="J42" s="98">
        <v>17.829999999999998</v>
      </c>
      <c r="K42" s="98">
        <v>2.79</v>
      </c>
      <c r="L42" s="98">
        <v>18.239999999999998</v>
      </c>
      <c r="M42" s="98">
        <v>2335.85</v>
      </c>
      <c r="N42" s="98">
        <v>153.38999999999999</v>
      </c>
      <c r="O42" s="98">
        <v>11.31</v>
      </c>
      <c r="P42" s="98">
        <v>14.77</v>
      </c>
      <c r="Q42" s="98">
        <v>18.239999999999998</v>
      </c>
      <c r="R42" s="98">
        <v>2335.85</v>
      </c>
      <c r="S42" s="98">
        <v>153.38999999999999</v>
      </c>
      <c r="T42" s="98">
        <v>11.31</v>
      </c>
      <c r="U42" s="98">
        <v>14.77</v>
      </c>
      <c r="V42" s="98">
        <v>18.239999999999998</v>
      </c>
      <c r="W42" s="98">
        <v>274.94</v>
      </c>
      <c r="X42" s="98">
        <v>27.97</v>
      </c>
      <c r="Y42" s="98">
        <v>3.88</v>
      </c>
      <c r="Z42" s="99">
        <v>8.57</v>
      </c>
    </row>
    <row r="43" spans="1:26" ht="15" customHeight="1" x14ac:dyDescent="0.25">
      <c r="A43" s="74" t="str">
        <f t="shared" si="13"/>
        <v>ZR350x2,0</v>
      </c>
      <c r="B43" s="10" t="str">
        <f t="shared" si="14"/>
        <v>350</v>
      </c>
      <c r="C43" s="88">
        <f t="shared" si="15"/>
        <v>94</v>
      </c>
      <c r="D43" s="88">
        <f t="shared" si="16"/>
        <v>100</v>
      </c>
      <c r="E43" s="89">
        <f t="shared" si="17"/>
        <v>23</v>
      </c>
      <c r="F43" s="9" t="str">
        <f t="shared" si="18"/>
        <v>ZR350</v>
      </c>
      <c r="G43" s="80" t="s">
        <v>84</v>
      </c>
      <c r="H43" s="116">
        <v>2</v>
      </c>
      <c r="I43" s="94">
        <v>9.25</v>
      </c>
      <c r="J43" s="94">
        <v>8.25</v>
      </c>
      <c r="K43" s="94">
        <v>3.08</v>
      </c>
      <c r="L43" s="94">
        <v>9.6199999999999992</v>
      </c>
      <c r="M43" s="94">
        <v>1686.24</v>
      </c>
      <c r="N43" s="94">
        <v>83.82</v>
      </c>
      <c r="O43" s="94">
        <v>13.23</v>
      </c>
      <c r="P43" s="94">
        <v>14.88</v>
      </c>
      <c r="Q43" s="94">
        <v>9.69</v>
      </c>
      <c r="R43" s="94">
        <v>1668.54</v>
      </c>
      <c r="S43" s="94">
        <v>84.29</v>
      </c>
      <c r="T43" s="94">
        <v>13.11</v>
      </c>
      <c r="U43" s="94">
        <v>19.79</v>
      </c>
      <c r="V43" s="94">
        <v>11.49</v>
      </c>
      <c r="W43" s="94">
        <v>183.24</v>
      </c>
      <c r="X43" s="94">
        <v>17.809999999999999</v>
      </c>
      <c r="Y43" s="94">
        <v>3.99</v>
      </c>
      <c r="Z43" s="95">
        <v>9.11</v>
      </c>
    </row>
    <row r="44" spans="1:26" ht="15" customHeight="1" x14ac:dyDescent="0.25">
      <c r="A44" s="72" t="str">
        <f t="shared" si="13"/>
        <v>ZR350x2,5</v>
      </c>
      <c r="B44" s="11" t="str">
        <f t="shared" si="14"/>
        <v>350</v>
      </c>
      <c r="C44" s="90">
        <f t="shared" si="15"/>
        <v>93</v>
      </c>
      <c r="D44" s="90">
        <f t="shared" si="16"/>
        <v>100</v>
      </c>
      <c r="E44" s="90">
        <f t="shared" si="17"/>
        <v>25.5</v>
      </c>
      <c r="F44" s="134" t="str">
        <f t="shared" si="18"/>
        <v>ZR350</v>
      </c>
      <c r="G44" s="81" t="s">
        <v>85</v>
      </c>
      <c r="H44" s="117">
        <v>2.5</v>
      </c>
      <c r="I44" s="96">
        <v>11.61</v>
      </c>
      <c r="J44" s="96">
        <v>11.72</v>
      </c>
      <c r="K44" s="96">
        <v>3</v>
      </c>
      <c r="L44" s="96">
        <v>13.03</v>
      </c>
      <c r="M44" s="96">
        <v>2301.1799999999998</v>
      </c>
      <c r="N44" s="96">
        <v>120.36</v>
      </c>
      <c r="O44" s="96">
        <v>13.28</v>
      </c>
      <c r="P44" s="96">
        <v>15.88</v>
      </c>
      <c r="Q44" s="96">
        <v>13.01</v>
      </c>
      <c r="R44" s="96">
        <v>2278.84</v>
      </c>
      <c r="S44" s="96">
        <v>121.37</v>
      </c>
      <c r="T44" s="96">
        <v>13.23</v>
      </c>
      <c r="U44" s="96">
        <v>18.78</v>
      </c>
      <c r="V44" s="96">
        <v>14.73</v>
      </c>
      <c r="W44" s="96">
        <v>240.71</v>
      </c>
      <c r="X44" s="96">
        <v>23.64</v>
      </c>
      <c r="Y44" s="96">
        <v>4.04</v>
      </c>
      <c r="Z44" s="97">
        <v>9.1199999999999992</v>
      </c>
    </row>
    <row r="45" spans="1:26" ht="15" customHeight="1" x14ac:dyDescent="0.25">
      <c r="A45" s="72" t="str">
        <f t="shared" si="13"/>
        <v>ZR350x3,0</v>
      </c>
      <c r="B45" s="11" t="str">
        <f t="shared" si="14"/>
        <v>350</v>
      </c>
      <c r="C45" s="90">
        <f t="shared" si="15"/>
        <v>92</v>
      </c>
      <c r="D45" s="90">
        <f t="shared" si="16"/>
        <v>100</v>
      </c>
      <c r="E45" s="90">
        <f t="shared" si="17"/>
        <v>28</v>
      </c>
      <c r="F45" s="134" t="str">
        <f t="shared" si="18"/>
        <v>ZR350</v>
      </c>
      <c r="G45" s="81" t="s">
        <v>86</v>
      </c>
      <c r="H45" s="117">
        <v>3</v>
      </c>
      <c r="I45" s="96">
        <v>13.98</v>
      </c>
      <c r="J45" s="96">
        <v>15.5</v>
      </c>
      <c r="K45" s="96">
        <v>2.94</v>
      </c>
      <c r="L45" s="96">
        <v>16.7</v>
      </c>
      <c r="M45" s="96">
        <v>2937.6</v>
      </c>
      <c r="N45" s="96">
        <v>160.04</v>
      </c>
      <c r="O45" s="96">
        <v>13.26</v>
      </c>
      <c r="P45" s="96">
        <v>16.649999999999999</v>
      </c>
      <c r="Q45" s="96">
        <v>16.62</v>
      </c>
      <c r="R45" s="96">
        <v>2908.5</v>
      </c>
      <c r="S45" s="96">
        <v>161.81</v>
      </c>
      <c r="T45" s="96">
        <v>13.22</v>
      </c>
      <c r="U45" s="96">
        <v>17.97</v>
      </c>
      <c r="V45" s="96">
        <v>17.72</v>
      </c>
      <c r="W45" s="96">
        <v>292.62</v>
      </c>
      <c r="X45" s="96">
        <v>28.73</v>
      </c>
      <c r="Y45" s="96">
        <v>4.0599999999999996</v>
      </c>
      <c r="Z45" s="97">
        <v>9.02</v>
      </c>
    </row>
    <row r="46" spans="1:26" ht="15" customHeight="1" thickBot="1" x14ac:dyDescent="0.3">
      <c r="A46" s="126" t="str">
        <f t="shared" si="13"/>
        <v>ZR350x3,5</v>
      </c>
      <c r="B46" s="12" t="str">
        <f t="shared" ref="B46:B51" si="19">LEFT(G46,3)</f>
        <v>350</v>
      </c>
      <c r="C46" s="91">
        <f t="shared" si="15"/>
        <v>91</v>
      </c>
      <c r="D46" s="91">
        <f t="shared" si="16"/>
        <v>100</v>
      </c>
      <c r="E46" s="92">
        <f t="shared" si="17"/>
        <v>30.5</v>
      </c>
      <c r="F46" s="135" t="str">
        <f t="shared" si="18"/>
        <v>ZR350</v>
      </c>
      <c r="G46" s="82" t="s">
        <v>87</v>
      </c>
      <c r="H46" s="118">
        <v>3.5</v>
      </c>
      <c r="I46" s="98">
        <v>16.36</v>
      </c>
      <c r="J46" s="98">
        <v>19.14</v>
      </c>
      <c r="K46" s="98">
        <v>2.89</v>
      </c>
      <c r="L46" s="98">
        <v>20.25</v>
      </c>
      <c r="M46" s="98">
        <v>3500.84</v>
      </c>
      <c r="N46" s="98">
        <v>194.39</v>
      </c>
      <c r="O46" s="98">
        <v>13.14</v>
      </c>
      <c r="P46" s="98">
        <v>16.989999999999998</v>
      </c>
      <c r="Q46" s="98">
        <v>20.260000000000002</v>
      </c>
      <c r="R46" s="98">
        <v>3505.49</v>
      </c>
      <c r="S46" s="98">
        <v>199.94</v>
      </c>
      <c r="T46" s="98">
        <v>13.15</v>
      </c>
      <c r="U46" s="98">
        <v>17.47</v>
      </c>
      <c r="V46" s="98">
        <v>20.73</v>
      </c>
      <c r="W46" s="98">
        <v>345.43</v>
      </c>
      <c r="X46" s="98">
        <v>33.909999999999997</v>
      </c>
      <c r="Y46" s="98">
        <v>4.08</v>
      </c>
      <c r="Z46" s="99">
        <v>8.91</v>
      </c>
    </row>
    <row r="47" spans="1:26" ht="15" customHeight="1" x14ac:dyDescent="0.25">
      <c r="A47" s="71" t="str">
        <f t="shared" si="13"/>
        <v>ZR400x2,0</v>
      </c>
      <c r="B47" s="13" t="str">
        <f t="shared" si="19"/>
        <v>400</v>
      </c>
      <c r="C47" s="89">
        <f t="shared" si="15"/>
        <v>94</v>
      </c>
      <c r="D47" s="89">
        <f t="shared" si="16"/>
        <v>100</v>
      </c>
      <c r="E47" s="88">
        <f t="shared" si="17"/>
        <v>23</v>
      </c>
      <c r="F47" s="9" t="str">
        <f t="shared" si="18"/>
        <v>ZR400</v>
      </c>
      <c r="G47" s="83" t="s">
        <v>88</v>
      </c>
      <c r="H47" s="116">
        <v>2</v>
      </c>
      <c r="I47" s="100">
        <v>10.039999999999999</v>
      </c>
      <c r="J47" s="100">
        <v>8.32</v>
      </c>
      <c r="K47" s="100">
        <v>2.9</v>
      </c>
      <c r="L47" s="100">
        <v>10.130000000000001</v>
      </c>
      <c r="M47" s="100">
        <v>2256.9899999999998</v>
      </c>
      <c r="N47" s="100">
        <v>96.73</v>
      </c>
      <c r="O47" s="100">
        <v>14.92</v>
      </c>
      <c r="P47" s="100">
        <v>16.670000000000002</v>
      </c>
      <c r="Q47" s="100">
        <v>10.220000000000001</v>
      </c>
      <c r="R47" s="100">
        <v>2235.44</v>
      </c>
      <c r="S47" s="100">
        <v>97.3</v>
      </c>
      <c r="T47" s="100">
        <v>14.78</v>
      </c>
      <c r="U47" s="100">
        <v>22.97</v>
      </c>
      <c r="V47" s="100">
        <v>12.49</v>
      </c>
      <c r="W47" s="100">
        <v>183.3</v>
      </c>
      <c r="X47" s="100">
        <v>17.84</v>
      </c>
      <c r="Y47" s="100">
        <v>3.82</v>
      </c>
      <c r="Z47" s="101">
        <v>9.1300000000000008</v>
      </c>
    </row>
    <row r="48" spans="1:26" ht="15" customHeight="1" x14ac:dyDescent="0.25">
      <c r="A48" s="72" t="str">
        <f t="shared" si="13"/>
        <v>ZR400x2,5</v>
      </c>
      <c r="B48" s="11" t="str">
        <f t="shared" si="19"/>
        <v>400</v>
      </c>
      <c r="C48" s="90">
        <f t="shared" si="15"/>
        <v>93</v>
      </c>
      <c r="D48" s="90">
        <f t="shared" si="16"/>
        <v>100</v>
      </c>
      <c r="E48" s="90">
        <f t="shared" si="17"/>
        <v>25.5</v>
      </c>
      <c r="F48" s="134" t="str">
        <f t="shared" si="18"/>
        <v>ZR400</v>
      </c>
      <c r="G48" s="81" t="s">
        <v>89</v>
      </c>
      <c r="H48" s="117">
        <v>2.5</v>
      </c>
      <c r="I48" s="96">
        <v>12.59</v>
      </c>
      <c r="J48" s="96">
        <v>11.86</v>
      </c>
      <c r="K48" s="96">
        <v>2.82</v>
      </c>
      <c r="L48" s="96">
        <v>13.68</v>
      </c>
      <c r="M48" s="96">
        <v>3087.79</v>
      </c>
      <c r="N48" s="96">
        <v>138.94999999999999</v>
      </c>
      <c r="O48" s="96">
        <v>15.01</v>
      </c>
      <c r="P48" s="96">
        <v>17.78</v>
      </c>
      <c r="Q48" s="96">
        <v>13.68</v>
      </c>
      <c r="R48" s="96">
        <v>3061.1</v>
      </c>
      <c r="S48" s="96">
        <v>140.11000000000001</v>
      </c>
      <c r="T48" s="96">
        <v>14.95</v>
      </c>
      <c r="U48" s="96">
        <v>21.85</v>
      </c>
      <c r="V48" s="96">
        <v>15.98</v>
      </c>
      <c r="W48" s="96">
        <v>240.72</v>
      </c>
      <c r="X48" s="96">
        <v>23.65</v>
      </c>
      <c r="Y48" s="96">
        <v>3.88</v>
      </c>
      <c r="Z48" s="97">
        <v>9.1300000000000008</v>
      </c>
    </row>
    <row r="49" spans="1:26" ht="15" customHeight="1" x14ac:dyDescent="0.25">
      <c r="A49" s="72" t="str">
        <f t="shared" si="13"/>
        <v>ZR400x3,0</v>
      </c>
      <c r="B49" s="11" t="str">
        <f t="shared" si="19"/>
        <v>400</v>
      </c>
      <c r="C49" s="90">
        <f t="shared" si="15"/>
        <v>92</v>
      </c>
      <c r="D49" s="90">
        <f t="shared" si="16"/>
        <v>100</v>
      </c>
      <c r="E49" s="90">
        <f t="shared" si="17"/>
        <v>28</v>
      </c>
      <c r="F49" s="134" t="str">
        <f t="shared" si="18"/>
        <v>ZR400</v>
      </c>
      <c r="G49" s="81" t="s">
        <v>90</v>
      </c>
      <c r="H49" s="117">
        <v>3</v>
      </c>
      <c r="I49" s="96">
        <v>15.15</v>
      </c>
      <c r="J49" s="96">
        <v>15.75</v>
      </c>
      <c r="K49" s="96">
        <v>2.76</v>
      </c>
      <c r="L49" s="96">
        <v>17.5</v>
      </c>
      <c r="M49" s="96">
        <v>3949.6</v>
      </c>
      <c r="N49" s="96">
        <v>184.85</v>
      </c>
      <c r="O49" s="96">
        <v>15.02</v>
      </c>
      <c r="P49" s="96">
        <v>18.63</v>
      </c>
      <c r="Q49" s="96">
        <v>17.43</v>
      </c>
      <c r="R49" s="96">
        <v>3916.23</v>
      </c>
      <c r="S49" s="96">
        <v>186.91</v>
      </c>
      <c r="T49" s="96">
        <v>14.98</v>
      </c>
      <c r="U49" s="96">
        <v>20.95</v>
      </c>
      <c r="V49" s="96">
        <v>19.22</v>
      </c>
      <c r="W49" s="96">
        <v>292.63</v>
      </c>
      <c r="X49" s="96">
        <v>28.74</v>
      </c>
      <c r="Y49" s="96">
        <v>3.9</v>
      </c>
      <c r="Z49" s="97">
        <v>9.02</v>
      </c>
    </row>
    <row r="50" spans="1:26" ht="15" customHeight="1" x14ac:dyDescent="0.25">
      <c r="A50" s="72" t="str">
        <f t="shared" si="13"/>
        <v>ZR400x3,5</v>
      </c>
      <c r="B50" s="11" t="str">
        <f t="shared" si="19"/>
        <v>400</v>
      </c>
      <c r="C50" s="90">
        <f t="shared" si="15"/>
        <v>91</v>
      </c>
      <c r="D50" s="90">
        <f t="shared" si="16"/>
        <v>100</v>
      </c>
      <c r="E50" s="90">
        <f t="shared" si="17"/>
        <v>30.5</v>
      </c>
      <c r="F50" s="134" t="str">
        <f t="shared" si="18"/>
        <v>ZR400</v>
      </c>
      <c r="G50" s="81" t="s">
        <v>91</v>
      </c>
      <c r="H50" s="117">
        <v>3.5</v>
      </c>
      <c r="I50" s="96">
        <v>17.73</v>
      </c>
      <c r="J50" s="96">
        <v>19.53</v>
      </c>
      <c r="K50" s="96">
        <v>2.71</v>
      </c>
      <c r="L50" s="96">
        <v>21.21</v>
      </c>
      <c r="M50" s="96">
        <v>4714.0600000000004</v>
      </c>
      <c r="N50" s="96">
        <v>224.78</v>
      </c>
      <c r="O50" s="96">
        <v>14.9</v>
      </c>
      <c r="P50" s="96">
        <v>19.03</v>
      </c>
      <c r="Q50" s="96">
        <v>21.24</v>
      </c>
      <c r="R50" s="96">
        <v>4729.1499999999996</v>
      </c>
      <c r="S50" s="96">
        <v>232.08</v>
      </c>
      <c r="T50" s="96">
        <v>14.91</v>
      </c>
      <c r="U50" s="96">
        <v>20.38</v>
      </c>
      <c r="V50" s="96">
        <v>22.48</v>
      </c>
      <c r="W50" s="96">
        <v>345.45</v>
      </c>
      <c r="X50" s="96">
        <v>33.909999999999997</v>
      </c>
      <c r="Y50" s="96">
        <v>3.91</v>
      </c>
      <c r="Z50" s="97">
        <v>8.91</v>
      </c>
    </row>
    <row r="51" spans="1:26" ht="15" customHeight="1" thickBot="1" x14ac:dyDescent="0.3">
      <c r="A51" s="73" t="str">
        <f t="shared" si="13"/>
        <v>ZR400x4,0</v>
      </c>
      <c r="B51" s="12" t="str">
        <f t="shared" si="19"/>
        <v>400</v>
      </c>
      <c r="C51" s="91">
        <f t="shared" si="15"/>
        <v>90</v>
      </c>
      <c r="D51" s="91">
        <f t="shared" si="16"/>
        <v>100</v>
      </c>
      <c r="E51" s="91">
        <f t="shared" si="17"/>
        <v>31</v>
      </c>
      <c r="F51" s="136" t="str">
        <f t="shared" si="18"/>
        <v>ZR400</v>
      </c>
      <c r="G51" s="82" t="s">
        <v>92</v>
      </c>
      <c r="H51" s="118">
        <v>4</v>
      </c>
      <c r="I51" s="98">
        <v>20.21</v>
      </c>
      <c r="J51" s="98">
        <v>23.2</v>
      </c>
      <c r="K51" s="98">
        <v>2.62</v>
      </c>
      <c r="L51" s="98">
        <v>24.95</v>
      </c>
      <c r="M51" s="98">
        <v>5454.81</v>
      </c>
      <c r="N51" s="98">
        <v>264.64</v>
      </c>
      <c r="O51" s="98">
        <v>14.78</v>
      </c>
      <c r="P51" s="98">
        <v>19.39</v>
      </c>
      <c r="Q51" s="98">
        <v>24.97</v>
      </c>
      <c r="R51" s="98">
        <v>5463.1</v>
      </c>
      <c r="S51" s="98">
        <v>272.8</v>
      </c>
      <c r="T51" s="98">
        <v>14.78</v>
      </c>
      <c r="U51" s="98">
        <v>19.97</v>
      </c>
      <c r="V51" s="98">
        <v>25.59</v>
      </c>
      <c r="W51" s="98">
        <v>385.62</v>
      </c>
      <c r="X51" s="98">
        <v>37.82</v>
      </c>
      <c r="Y51" s="98">
        <v>3.88</v>
      </c>
      <c r="Z51" s="99">
        <v>8.81</v>
      </c>
    </row>
    <row r="52" spans="1:26" ht="15" customHeight="1" x14ac:dyDescent="0.25">
      <c r="F52" s="241"/>
    </row>
  </sheetData>
  <mergeCells count="33">
    <mergeCell ref="F4:G6"/>
    <mergeCell ref="A4:A10"/>
    <mergeCell ref="B4:B10"/>
    <mergeCell ref="C4:C10"/>
    <mergeCell ref="D4:D10"/>
    <mergeCell ref="E4:E10"/>
    <mergeCell ref="F7:F10"/>
    <mergeCell ref="G7:G10"/>
    <mergeCell ref="N7:N8"/>
    <mergeCell ref="H4:H10"/>
    <mergeCell ref="I4:I9"/>
    <mergeCell ref="J4:K6"/>
    <mergeCell ref="L4:Z4"/>
    <mergeCell ref="L5:U5"/>
    <mergeCell ref="V5:Z6"/>
    <mergeCell ref="L6:P6"/>
    <mergeCell ref="Q6:U6"/>
    <mergeCell ref="J7:J8"/>
    <mergeCell ref="K7:K8"/>
    <mergeCell ref="L7:L8"/>
    <mergeCell ref="M7:M8"/>
    <mergeCell ref="Z7:Z8"/>
    <mergeCell ref="O7:O8"/>
    <mergeCell ref="P7:P8"/>
    <mergeCell ref="V7:V8"/>
    <mergeCell ref="W7:W8"/>
    <mergeCell ref="X7:X8"/>
    <mergeCell ref="Y7:Y8"/>
    <mergeCell ref="Q7:Q8"/>
    <mergeCell ref="R7:R8"/>
    <mergeCell ref="S7:S8"/>
    <mergeCell ref="T7:T8"/>
    <mergeCell ref="U7:U8"/>
  </mergeCells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zoomScale="70" zoomScaleNormal="70" workbookViewId="0"/>
  </sheetViews>
  <sheetFormatPr defaultColWidth="8.85546875" defaultRowHeight="15" customHeight="1" x14ac:dyDescent="0.25"/>
  <cols>
    <col min="1" max="1" width="12.7109375" style="195" customWidth="1"/>
    <col min="2" max="5" width="6.7109375" style="195" customWidth="1"/>
    <col min="6" max="6" width="8.7109375" style="195" customWidth="1"/>
    <col min="7" max="7" width="15.7109375" style="195" customWidth="1"/>
    <col min="8" max="26" width="8.7109375" style="195" customWidth="1"/>
    <col min="27" max="16384" width="8.85546875" style="195"/>
  </cols>
  <sheetData>
    <row r="1" spans="1:26" ht="15" customHeight="1" thickBot="1" x14ac:dyDescent="0.3">
      <c r="A1" s="110">
        <v>350</v>
      </c>
    </row>
    <row r="2" spans="1:26" ht="15" customHeight="1" thickBot="1" x14ac:dyDescent="0.3">
      <c r="A2" s="79" t="str">
        <f>Сводная!A26</f>
        <v>SIGMA350x3,5</v>
      </c>
      <c r="B2" s="93" t="str">
        <f>INDEX(B11:B51,MATCH($A$2,$A$11:$A$51))</f>
        <v>350</v>
      </c>
      <c r="C2" s="105">
        <f t="shared" ref="C2:Z2" si="0">INDEX(C11:C51,MATCH($A$2,$A$11:$A$51))</f>
        <v>100</v>
      </c>
      <c r="D2" s="105">
        <f t="shared" si="0"/>
        <v>100</v>
      </c>
      <c r="E2" s="105">
        <f t="shared" si="0"/>
        <v>26</v>
      </c>
      <c r="F2" s="93" t="str">
        <f t="shared" si="0"/>
        <v>SIGMA350</v>
      </c>
      <c r="G2" s="93" t="str">
        <f t="shared" si="0"/>
        <v>350/100/100/26</v>
      </c>
      <c r="H2" s="105">
        <f t="shared" si="0"/>
        <v>3.5</v>
      </c>
      <c r="I2" s="103">
        <f t="shared" si="0"/>
        <v>16.260000000000002</v>
      </c>
      <c r="J2" s="103">
        <f t="shared" si="0"/>
        <v>19.489999999999998</v>
      </c>
      <c r="K2" s="103">
        <f t="shared" si="0"/>
        <v>3.38</v>
      </c>
      <c r="L2" s="103">
        <f t="shared" si="0"/>
        <v>20.73</v>
      </c>
      <c r="M2" s="103">
        <f t="shared" si="0"/>
        <v>3581.67</v>
      </c>
      <c r="N2" s="103">
        <f t="shared" si="0"/>
        <v>204.66</v>
      </c>
      <c r="O2" s="103">
        <f t="shared" si="0"/>
        <v>13.14</v>
      </c>
      <c r="P2" s="103">
        <f t="shared" si="0"/>
        <v>17.5</v>
      </c>
      <c r="Q2" s="103">
        <f t="shared" si="0"/>
        <v>0</v>
      </c>
      <c r="R2" s="103">
        <f t="shared" si="0"/>
        <v>0</v>
      </c>
      <c r="S2" s="103">
        <f t="shared" si="0"/>
        <v>0</v>
      </c>
      <c r="T2" s="103">
        <f t="shared" si="0"/>
        <v>0</v>
      </c>
      <c r="U2" s="103">
        <f t="shared" si="0"/>
        <v>0</v>
      </c>
      <c r="V2" s="103">
        <f t="shared" si="0"/>
        <v>19.489999999999998</v>
      </c>
      <c r="W2" s="103">
        <f t="shared" si="0"/>
        <v>223.16</v>
      </c>
      <c r="X2" s="103">
        <f t="shared" si="0"/>
        <v>31.01</v>
      </c>
      <c r="Y2" s="103">
        <f t="shared" si="0"/>
        <v>3.38</v>
      </c>
      <c r="Z2" s="104">
        <f t="shared" si="0"/>
        <v>2.8</v>
      </c>
    </row>
    <row r="3" spans="1:26" ht="15" customHeight="1" thickBot="1" x14ac:dyDescent="0.3"/>
    <row r="4" spans="1:26" ht="15" customHeight="1" x14ac:dyDescent="0.25">
      <c r="A4" s="347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12" t="s">
        <v>0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26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26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57"/>
    </row>
    <row r="7" spans="1:26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/>
      <c r="R7" s="364"/>
      <c r="S7" s="364"/>
      <c r="T7" s="364"/>
      <c r="U7" s="364"/>
      <c r="V7" s="364" t="s">
        <v>21</v>
      </c>
      <c r="W7" s="364" t="s">
        <v>19</v>
      </c>
      <c r="X7" s="364" t="s">
        <v>156</v>
      </c>
      <c r="Y7" s="364" t="s">
        <v>20</v>
      </c>
      <c r="Z7" s="400" t="s">
        <v>168</v>
      </c>
    </row>
    <row r="8" spans="1:26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401"/>
    </row>
    <row r="9" spans="1:26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/>
      <c r="R9" s="154"/>
      <c r="S9" s="154"/>
      <c r="T9" s="154"/>
      <c r="U9" s="154"/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26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/>
      <c r="R10" s="156"/>
      <c r="S10" s="156"/>
      <c r="T10" s="156"/>
      <c r="U10" s="156"/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26" ht="15" customHeight="1" x14ac:dyDescent="0.25">
      <c r="A11" s="144" t="str">
        <f t="shared" ref="A11:A14" si="1">CONCATENATE(F11,"x",(IF(H11=INT(H11),CONCATENATE(H11,",",0),H11)))</f>
        <v>SIGMA140x1,0</v>
      </c>
      <c r="B11" s="145" t="str">
        <f t="shared" ref="B11:B14" si="2">LEFT(G11,3)</f>
        <v>140</v>
      </c>
      <c r="C11" s="146">
        <f t="shared" ref="C11:C14" si="3">VALUE(MID(G11,(SEARCH("/",G11,1)+1),(SEARCH("/",G11,(SEARCH("/",G11,1)+1))-SEARCH("/",G11,1)-1)))</f>
        <v>55</v>
      </c>
      <c r="D11" s="146">
        <f t="shared" ref="D11:D14" si="4">VALUE(MID(G11,(SEARCH("/",G11,(SEARCH("/",G11,1)+1))+1),(SEARCH("/",G11,SEARCH("/",G11,(SEARCH("/",G11,1)+1))+1))-(SEARCH("/",G11,(SEARCH("/",G11,1)+1))+1)))</f>
        <v>55</v>
      </c>
      <c r="E11" s="146">
        <f t="shared" ref="E11:E14" si="5">VALUE(MID(G11,(SEARCH("/",G11,SEARCH("/",G11,(SEARCH("/",G11,1)+1))+1)+1),4))</f>
        <v>18</v>
      </c>
      <c r="F11" s="158" t="str">
        <f t="shared" ref="F11:F14" si="6">CONCATENATE("SIGMA",LEFT(G11,3))</f>
        <v>SIGMA140</v>
      </c>
      <c r="G11" s="159" t="s">
        <v>189</v>
      </c>
      <c r="H11" s="160">
        <v>1</v>
      </c>
      <c r="I11" s="161">
        <v>2.35</v>
      </c>
      <c r="J11" s="161">
        <v>2.54</v>
      </c>
      <c r="K11" s="161">
        <v>1.9</v>
      </c>
      <c r="L11" s="161">
        <v>2.61</v>
      </c>
      <c r="M11" s="161">
        <v>71.62</v>
      </c>
      <c r="N11" s="161">
        <v>10.23</v>
      </c>
      <c r="O11" s="161">
        <v>5.23</v>
      </c>
      <c r="P11" s="161">
        <v>7</v>
      </c>
      <c r="Q11" s="161"/>
      <c r="R11" s="161"/>
      <c r="S11" s="161"/>
      <c r="T11" s="161"/>
      <c r="U11" s="161"/>
      <c r="V11" s="161">
        <v>2.82</v>
      </c>
      <c r="W11" s="161">
        <v>13.94</v>
      </c>
      <c r="X11" s="161">
        <v>2.9</v>
      </c>
      <c r="Y11" s="161">
        <v>2.2200000000000002</v>
      </c>
      <c r="Z11" s="162">
        <v>0.69</v>
      </c>
    </row>
    <row r="12" spans="1:26" ht="15" customHeight="1" thickBot="1" x14ac:dyDescent="0.3">
      <c r="A12" s="224" t="str">
        <f t="shared" si="1"/>
        <v>SIGMA140x1,2</v>
      </c>
      <c r="B12" s="225" t="str">
        <f t="shared" si="2"/>
        <v>140</v>
      </c>
      <c r="C12" s="226">
        <f t="shared" si="3"/>
        <v>55</v>
      </c>
      <c r="D12" s="226">
        <f t="shared" si="4"/>
        <v>55</v>
      </c>
      <c r="E12" s="226">
        <f t="shared" si="5"/>
        <v>18</v>
      </c>
      <c r="F12" s="172" t="str">
        <f t="shared" si="6"/>
        <v>SIGMA140</v>
      </c>
      <c r="G12" s="173" t="s">
        <v>189</v>
      </c>
      <c r="H12" s="223">
        <v>1.2</v>
      </c>
      <c r="I12" s="213">
        <v>2.79</v>
      </c>
      <c r="J12" s="213">
        <v>3.22</v>
      </c>
      <c r="K12" s="213">
        <v>1.91</v>
      </c>
      <c r="L12" s="213">
        <v>3.26</v>
      </c>
      <c r="M12" s="213">
        <v>91.74</v>
      </c>
      <c r="N12" s="213">
        <v>13.1</v>
      </c>
      <c r="O12" s="213">
        <v>5.3</v>
      </c>
      <c r="P12" s="213">
        <v>7</v>
      </c>
      <c r="Q12" s="213"/>
      <c r="R12" s="213"/>
      <c r="S12" s="213"/>
      <c r="T12" s="213"/>
      <c r="U12" s="213"/>
      <c r="V12" s="213">
        <v>3.41</v>
      </c>
      <c r="W12" s="213">
        <v>15.57</v>
      </c>
      <c r="X12" s="213">
        <v>3.43</v>
      </c>
      <c r="Y12" s="213">
        <v>2.13</v>
      </c>
      <c r="Z12" s="214">
        <v>0.97</v>
      </c>
    </row>
    <row r="13" spans="1:26" ht="15" customHeight="1" x14ac:dyDescent="0.25">
      <c r="A13" s="144" t="str">
        <f t="shared" si="1"/>
        <v>SIGMA160x1,0</v>
      </c>
      <c r="B13" s="145" t="str">
        <f t="shared" si="2"/>
        <v>160</v>
      </c>
      <c r="C13" s="146">
        <f t="shared" si="3"/>
        <v>55</v>
      </c>
      <c r="D13" s="146">
        <f t="shared" si="4"/>
        <v>55</v>
      </c>
      <c r="E13" s="146">
        <f t="shared" si="5"/>
        <v>18</v>
      </c>
      <c r="F13" s="158" t="str">
        <f t="shared" si="6"/>
        <v>SIGMA160</v>
      </c>
      <c r="G13" s="159" t="s">
        <v>93</v>
      </c>
      <c r="H13" s="160">
        <v>1</v>
      </c>
      <c r="I13" s="161">
        <v>2.5099999999999998</v>
      </c>
      <c r="J13" s="161">
        <v>2.65</v>
      </c>
      <c r="K13" s="161">
        <v>1.95</v>
      </c>
      <c r="L13" s="161">
        <v>2.83</v>
      </c>
      <c r="M13" s="161">
        <v>99.28</v>
      </c>
      <c r="N13" s="161">
        <v>12.41</v>
      </c>
      <c r="O13" s="161">
        <v>5.91</v>
      </c>
      <c r="P13" s="161">
        <v>8</v>
      </c>
      <c r="Q13" s="161"/>
      <c r="R13" s="161"/>
      <c r="S13" s="161"/>
      <c r="T13" s="161"/>
      <c r="U13" s="161"/>
      <c r="V13" s="161">
        <v>2.97</v>
      </c>
      <c r="W13" s="161">
        <v>11.24</v>
      </c>
      <c r="X13" s="161">
        <v>3.18</v>
      </c>
      <c r="Y13" s="161">
        <v>1.94</v>
      </c>
      <c r="Z13" s="162">
        <v>1.97</v>
      </c>
    </row>
    <row r="14" spans="1:26" ht="15" customHeight="1" thickBot="1" x14ac:dyDescent="0.3">
      <c r="A14" s="224" t="str">
        <f t="shared" si="1"/>
        <v>SIGMA160x1,2</v>
      </c>
      <c r="B14" s="225" t="str">
        <f t="shared" si="2"/>
        <v>160</v>
      </c>
      <c r="C14" s="226">
        <f t="shared" si="3"/>
        <v>55</v>
      </c>
      <c r="D14" s="226">
        <f t="shared" si="4"/>
        <v>55</v>
      </c>
      <c r="E14" s="226">
        <f t="shared" si="5"/>
        <v>18</v>
      </c>
      <c r="F14" s="172" t="str">
        <f t="shared" si="6"/>
        <v>SIGMA160</v>
      </c>
      <c r="G14" s="173" t="s">
        <v>93</v>
      </c>
      <c r="H14" s="223">
        <v>1.2</v>
      </c>
      <c r="I14" s="213">
        <v>2.99</v>
      </c>
      <c r="J14" s="213">
        <v>3.45</v>
      </c>
      <c r="K14" s="213">
        <v>1.95</v>
      </c>
      <c r="L14" s="213">
        <v>3.52</v>
      </c>
      <c r="M14" s="213">
        <v>126.73</v>
      </c>
      <c r="N14" s="213">
        <v>15.84</v>
      </c>
      <c r="O14" s="213">
        <v>5.99</v>
      </c>
      <c r="P14" s="213">
        <v>8</v>
      </c>
      <c r="Q14" s="213"/>
      <c r="R14" s="213"/>
      <c r="S14" s="213"/>
      <c r="T14" s="213"/>
      <c r="U14" s="213"/>
      <c r="V14" s="213">
        <v>3.65</v>
      </c>
      <c r="W14" s="213">
        <v>16.920000000000002</v>
      </c>
      <c r="X14" s="213">
        <v>3.68</v>
      </c>
      <c r="Y14" s="213">
        <v>2.15</v>
      </c>
      <c r="Z14" s="214">
        <v>0.91</v>
      </c>
    </row>
    <row r="15" spans="1:26" ht="15" customHeight="1" x14ac:dyDescent="0.25">
      <c r="A15" s="71" t="str">
        <f>CONCATENATE(F15,"x",(IF(H15=INT(H15),CONCATENATE(H15,",",0),H15)))</f>
        <v>SIGMA160x1,5</v>
      </c>
      <c r="B15" s="10" t="str">
        <f>LEFT(G15,3)</f>
        <v>160</v>
      </c>
      <c r="C15" s="1">
        <f>VALUE(MID(G15,(SEARCH("/",G15,1)+1),(SEARCH("/",G15,(SEARCH("/",G15,1)+1))-SEARCH("/",G15,1)-1)))</f>
        <v>55</v>
      </c>
      <c r="D15" s="1">
        <f>VALUE(MID(G15,(SEARCH("/",G15,(SEARCH("/",G15,1)+1))+1),(SEARCH("/",G15,SEARCH("/",G15,(SEARCH("/",G15,1)+1))+1))-(SEARCH("/",G15,(SEARCH("/",G15,1)+1))+1)))</f>
        <v>55</v>
      </c>
      <c r="E15" s="1">
        <f>VALUE(MID(G15,(SEARCH("/",G15,SEARCH("/",G15,(SEARCH("/",G15,1)+1))+1)+1),4))</f>
        <v>18</v>
      </c>
      <c r="F15" s="133" t="str">
        <f>CONCATENATE("SIGMA",LEFT(G15,3))</f>
        <v>SIGMA160</v>
      </c>
      <c r="G15" s="80" t="s">
        <v>93</v>
      </c>
      <c r="H15" s="122">
        <v>1.5</v>
      </c>
      <c r="I15" s="94">
        <v>3.6</v>
      </c>
      <c r="J15" s="94">
        <v>4.53</v>
      </c>
      <c r="K15" s="94">
        <v>1.85</v>
      </c>
      <c r="L15" s="94">
        <v>4.51</v>
      </c>
      <c r="M15" s="94">
        <v>167.18</v>
      </c>
      <c r="N15" s="94">
        <v>20.62</v>
      </c>
      <c r="O15" s="94">
        <v>6.08</v>
      </c>
      <c r="P15" s="94">
        <v>7.9</v>
      </c>
      <c r="Q15" s="94"/>
      <c r="R15" s="94"/>
      <c r="S15" s="94"/>
      <c r="T15" s="94"/>
      <c r="U15" s="94"/>
      <c r="V15" s="94">
        <v>4.5599999999999996</v>
      </c>
      <c r="W15" s="94">
        <v>15.58</v>
      </c>
      <c r="X15" s="94">
        <v>4.33</v>
      </c>
      <c r="Y15" s="94">
        <v>1.84</v>
      </c>
      <c r="Z15" s="95">
        <v>1.9</v>
      </c>
    </row>
    <row r="16" spans="1:26" ht="15" customHeight="1" x14ac:dyDescent="0.25">
      <c r="A16" s="72" t="str">
        <f t="shared" ref="A16:A38" si="7">CONCATENATE(F16,"x",(IF(H16=INT(H16),CONCATENATE(H16,",",0),H16)))</f>
        <v>SIGMA160x2,0</v>
      </c>
      <c r="B16" s="11" t="str">
        <f t="shared" ref="B16:B28" si="8">LEFT(G16,3)</f>
        <v>160</v>
      </c>
      <c r="C16" s="3">
        <f t="shared" ref="C16:C38" si="9">VALUE(MID(G16,(SEARCH("/",G16,1)+1),(SEARCH("/",G16,(SEARCH("/",G16,1)+1))-SEARCH("/",G16,1)-1)))</f>
        <v>55</v>
      </c>
      <c r="D16" s="3">
        <f t="shared" ref="D16:D38" si="10">VALUE(MID(G16,(SEARCH("/",G16,(SEARCH("/",G16,1)+1))+1),(SEARCH("/",G16,SEARCH("/",G16,(SEARCH("/",G16,1)+1))+1))-(SEARCH("/",G16,(SEARCH("/",G16,1)+1))+1)))</f>
        <v>55</v>
      </c>
      <c r="E16" s="3">
        <f t="shared" ref="E16:E38" si="11">VALUE(MID(G16,(SEARCH("/",G16,SEARCH("/",G16,(SEARCH("/",G16,1)+1))+1)+1),4))</f>
        <v>20</v>
      </c>
      <c r="F16" s="134" t="str">
        <f t="shared" ref="F16:F38" si="12">CONCATENATE("SIGMA",LEFT(G16,3))</f>
        <v>SIGMA160</v>
      </c>
      <c r="G16" s="81" t="s">
        <v>94</v>
      </c>
      <c r="H16" s="123">
        <v>2</v>
      </c>
      <c r="I16" s="96">
        <v>4.83</v>
      </c>
      <c r="J16" s="96">
        <v>6.15</v>
      </c>
      <c r="K16" s="96">
        <v>1.85</v>
      </c>
      <c r="L16" s="96">
        <v>6.15</v>
      </c>
      <c r="M16" s="96">
        <v>226.07</v>
      </c>
      <c r="N16" s="96">
        <v>28.25</v>
      </c>
      <c r="O16" s="96">
        <v>6.06</v>
      </c>
      <c r="P16" s="96">
        <v>8</v>
      </c>
      <c r="Q16" s="96"/>
      <c r="R16" s="96"/>
      <c r="S16" s="96"/>
      <c r="T16" s="96"/>
      <c r="U16" s="96"/>
      <c r="V16" s="96">
        <v>6.15</v>
      </c>
      <c r="W16" s="96">
        <v>21.08</v>
      </c>
      <c r="X16" s="96">
        <v>5.95</v>
      </c>
      <c r="Y16" s="96">
        <v>1.85</v>
      </c>
      <c r="Z16" s="97">
        <v>1.96</v>
      </c>
    </row>
    <row r="17" spans="1:26" ht="15" customHeight="1" x14ac:dyDescent="0.25">
      <c r="A17" s="72" t="str">
        <f t="shared" si="7"/>
        <v>SIGMA160x2,5</v>
      </c>
      <c r="B17" s="11" t="str">
        <f t="shared" si="8"/>
        <v>160</v>
      </c>
      <c r="C17" s="3">
        <f t="shared" si="9"/>
        <v>55</v>
      </c>
      <c r="D17" s="3">
        <f t="shared" si="10"/>
        <v>55</v>
      </c>
      <c r="E17" s="3">
        <f t="shared" si="11"/>
        <v>22</v>
      </c>
      <c r="F17" s="134" t="str">
        <f t="shared" si="12"/>
        <v>SIGMA160</v>
      </c>
      <c r="G17" s="81" t="s">
        <v>95</v>
      </c>
      <c r="H17" s="123">
        <v>2.5</v>
      </c>
      <c r="I17" s="96">
        <v>6.06</v>
      </c>
      <c r="J17" s="96">
        <v>7.73</v>
      </c>
      <c r="K17" s="96">
        <v>1.85</v>
      </c>
      <c r="L17" s="96">
        <v>7.73</v>
      </c>
      <c r="M17" s="96">
        <v>281.36</v>
      </c>
      <c r="N17" s="96">
        <v>35.17</v>
      </c>
      <c r="O17" s="96">
        <v>6.03</v>
      </c>
      <c r="P17" s="96">
        <v>8</v>
      </c>
      <c r="Q17" s="96"/>
      <c r="R17" s="96"/>
      <c r="S17" s="96"/>
      <c r="T17" s="96"/>
      <c r="U17" s="96"/>
      <c r="V17" s="96">
        <v>7.73</v>
      </c>
      <c r="W17" s="96">
        <v>26.64</v>
      </c>
      <c r="X17" s="96">
        <v>7.63</v>
      </c>
      <c r="Y17" s="96">
        <v>1.85</v>
      </c>
      <c r="Z17" s="97">
        <v>2.0099999999999998</v>
      </c>
    </row>
    <row r="18" spans="1:26" ht="15" customHeight="1" thickBot="1" x14ac:dyDescent="0.3">
      <c r="A18" s="126" t="str">
        <f t="shared" si="7"/>
        <v>SIGMA160x3,0</v>
      </c>
      <c r="B18" s="12" t="str">
        <f t="shared" si="8"/>
        <v>160</v>
      </c>
      <c r="C18" s="5">
        <f t="shared" si="9"/>
        <v>55</v>
      </c>
      <c r="D18" s="5">
        <f t="shared" si="10"/>
        <v>55</v>
      </c>
      <c r="E18" s="14">
        <f t="shared" si="11"/>
        <v>24</v>
      </c>
      <c r="F18" s="136" t="str">
        <f t="shared" si="12"/>
        <v>SIGMA160</v>
      </c>
      <c r="G18" s="82" t="s">
        <v>96</v>
      </c>
      <c r="H18" s="124">
        <v>3</v>
      </c>
      <c r="I18" s="98">
        <v>7.31</v>
      </c>
      <c r="J18" s="98">
        <v>9.32</v>
      </c>
      <c r="K18" s="98">
        <v>1.86</v>
      </c>
      <c r="L18" s="98">
        <v>9.32</v>
      </c>
      <c r="M18" s="98">
        <v>335.92</v>
      </c>
      <c r="N18" s="98">
        <v>41.99</v>
      </c>
      <c r="O18" s="98">
        <v>6</v>
      </c>
      <c r="P18" s="98">
        <v>8</v>
      </c>
      <c r="Q18" s="98"/>
      <c r="R18" s="98"/>
      <c r="S18" s="98"/>
      <c r="T18" s="98"/>
      <c r="U18" s="98"/>
      <c r="V18" s="98">
        <v>9.32</v>
      </c>
      <c r="W18" s="98">
        <v>32.270000000000003</v>
      </c>
      <c r="X18" s="98">
        <v>9.3699999999999992</v>
      </c>
      <c r="Y18" s="98">
        <v>1.86</v>
      </c>
      <c r="Z18" s="99">
        <v>2.06</v>
      </c>
    </row>
    <row r="19" spans="1:26" ht="15" customHeight="1" x14ac:dyDescent="0.25">
      <c r="A19" s="71" t="str">
        <f t="shared" si="7"/>
        <v>SIGMA180x1,5</v>
      </c>
      <c r="B19" s="10" t="str">
        <f t="shared" si="8"/>
        <v>180</v>
      </c>
      <c r="C19" s="15">
        <f t="shared" si="9"/>
        <v>55</v>
      </c>
      <c r="D19" s="15">
        <f t="shared" si="10"/>
        <v>55</v>
      </c>
      <c r="E19" s="1">
        <f t="shared" si="11"/>
        <v>18</v>
      </c>
      <c r="F19" s="133" t="str">
        <f t="shared" si="12"/>
        <v>SIGMA180</v>
      </c>
      <c r="G19" s="80" t="s">
        <v>97</v>
      </c>
      <c r="H19" s="122">
        <v>1.5</v>
      </c>
      <c r="I19" s="94">
        <v>3.84</v>
      </c>
      <c r="J19" s="94">
        <v>4.71</v>
      </c>
      <c r="K19" s="94">
        <v>1.85</v>
      </c>
      <c r="L19" s="94">
        <v>4.67</v>
      </c>
      <c r="M19" s="94">
        <v>216.89</v>
      </c>
      <c r="N19" s="94">
        <v>23.43</v>
      </c>
      <c r="O19" s="94">
        <v>6.8</v>
      </c>
      <c r="P19" s="94">
        <v>8.74</v>
      </c>
      <c r="Q19" s="94"/>
      <c r="R19" s="94"/>
      <c r="S19" s="94"/>
      <c r="T19" s="94"/>
      <c r="U19" s="94"/>
      <c r="V19" s="94">
        <v>4.74</v>
      </c>
      <c r="W19" s="94">
        <v>16.170000000000002</v>
      </c>
      <c r="X19" s="94">
        <v>4.4000000000000004</v>
      </c>
      <c r="Y19" s="94">
        <v>1.84</v>
      </c>
      <c r="Z19" s="95">
        <v>1.83</v>
      </c>
    </row>
    <row r="20" spans="1:26" ht="15" customHeight="1" x14ac:dyDescent="0.25">
      <c r="A20" s="72" t="str">
        <f t="shared" si="7"/>
        <v>SIGMA180x2,0</v>
      </c>
      <c r="B20" s="11" t="str">
        <f t="shared" si="8"/>
        <v>180</v>
      </c>
      <c r="C20" s="3">
        <f t="shared" si="9"/>
        <v>55</v>
      </c>
      <c r="D20" s="3">
        <f t="shared" si="10"/>
        <v>55</v>
      </c>
      <c r="E20" s="3">
        <f t="shared" si="11"/>
        <v>20</v>
      </c>
      <c r="F20" s="134" t="str">
        <f t="shared" si="12"/>
        <v>SIGMA180</v>
      </c>
      <c r="G20" s="81" t="s">
        <v>98</v>
      </c>
      <c r="H20" s="123">
        <v>2</v>
      </c>
      <c r="I20" s="96">
        <v>5.14</v>
      </c>
      <c r="J20" s="96">
        <v>6.55</v>
      </c>
      <c r="K20" s="96">
        <v>1.84</v>
      </c>
      <c r="L20" s="96">
        <v>6.55</v>
      </c>
      <c r="M20" s="96">
        <v>298.36</v>
      </c>
      <c r="N20" s="96">
        <v>33.15</v>
      </c>
      <c r="O20" s="96">
        <v>6.74</v>
      </c>
      <c r="P20" s="96">
        <v>9</v>
      </c>
      <c r="Q20" s="96"/>
      <c r="R20" s="96"/>
      <c r="S20" s="96"/>
      <c r="T20" s="96"/>
      <c r="U20" s="96"/>
      <c r="V20" s="96">
        <v>6.55</v>
      </c>
      <c r="W20" s="96">
        <v>22.37</v>
      </c>
      <c r="X20" s="96">
        <v>6.12</v>
      </c>
      <c r="Y20" s="96">
        <v>1.84</v>
      </c>
      <c r="Z20" s="97">
        <v>1.84</v>
      </c>
    </row>
    <row r="21" spans="1:26" ht="15" customHeight="1" x14ac:dyDescent="0.25">
      <c r="A21" s="72" t="str">
        <f t="shared" si="7"/>
        <v>SIGMA180x2,5</v>
      </c>
      <c r="B21" s="11" t="str">
        <f t="shared" si="8"/>
        <v>180</v>
      </c>
      <c r="C21" s="3">
        <f t="shared" si="9"/>
        <v>55</v>
      </c>
      <c r="D21" s="3">
        <f t="shared" si="10"/>
        <v>55</v>
      </c>
      <c r="E21" s="3">
        <f t="shared" si="11"/>
        <v>22</v>
      </c>
      <c r="F21" s="134" t="str">
        <f t="shared" si="12"/>
        <v>SIGMA180</v>
      </c>
      <c r="G21" s="81" t="s">
        <v>99</v>
      </c>
      <c r="H21" s="123">
        <v>2.5</v>
      </c>
      <c r="I21" s="96">
        <v>6.45</v>
      </c>
      <c r="J21" s="96">
        <v>8.23</v>
      </c>
      <c r="K21" s="96">
        <v>1.85</v>
      </c>
      <c r="L21" s="96">
        <v>8.23</v>
      </c>
      <c r="M21" s="96">
        <v>371.86</v>
      </c>
      <c r="N21" s="96">
        <v>41.31</v>
      </c>
      <c r="O21" s="96">
        <v>6.72</v>
      </c>
      <c r="P21" s="96">
        <v>9</v>
      </c>
      <c r="Q21" s="96"/>
      <c r="R21" s="96"/>
      <c r="S21" s="96"/>
      <c r="T21" s="96"/>
      <c r="U21" s="96"/>
      <c r="V21" s="96">
        <v>8.23</v>
      </c>
      <c r="W21" s="96">
        <v>28.31</v>
      </c>
      <c r="X21" s="96">
        <v>7.85</v>
      </c>
      <c r="Y21" s="96">
        <v>1.85</v>
      </c>
      <c r="Z21" s="97">
        <v>1.89</v>
      </c>
    </row>
    <row r="22" spans="1:26" ht="15" customHeight="1" thickBot="1" x14ac:dyDescent="0.3">
      <c r="A22" s="126" t="str">
        <f t="shared" si="7"/>
        <v>SIGMA180x3,0</v>
      </c>
      <c r="B22" s="150" t="str">
        <f t="shared" si="8"/>
        <v>180</v>
      </c>
      <c r="C22" s="14">
        <f t="shared" si="9"/>
        <v>55</v>
      </c>
      <c r="D22" s="14">
        <f t="shared" si="10"/>
        <v>55</v>
      </c>
      <c r="E22" s="14">
        <f t="shared" si="11"/>
        <v>24</v>
      </c>
      <c r="F22" s="136" t="str">
        <f t="shared" si="12"/>
        <v>SIGMA180</v>
      </c>
      <c r="G22" s="151" t="s">
        <v>100</v>
      </c>
      <c r="H22" s="230">
        <v>3</v>
      </c>
      <c r="I22" s="108">
        <v>7.78</v>
      </c>
      <c r="J22" s="108">
        <v>9.92</v>
      </c>
      <c r="K22" s="108">
        <v>1.85</v>
      </c>
      <c r="L22" s="108">
        <v>9.92</v>
      </c>
      <c r="M22" s="108">
        <v>444.65</v>
      </c>
      <c r="N22" s="108">
        <v>49.4</v>
      </c>
      <c r="O22" s="108">
        <v>6.69</v>
      </c>
      <c r="P22" s="108">
        <v>9</v>
      </c>
      <c r="Q22" s="108"/>
      <c r="R22" s="108"/>
      <c r="S22" s="108"/>
      <c r="T22" s="108"/>
      <c r="U22" s="108"/>
      <c r="V22" s="108">
        <v>9.92</v>
      </c>
      <c r="W22" s="108">
        <v>34.32</v>
      </c>
      <c r="X22" s="108">
        <v>9.64</v>
      </c>
      <c r="Y22" s="108">
        <v>1.85</v>
      </c>
      <c r="Z22" s="109">
        <v>1.94</v>
      </c>
    </row>
    <row r="23" spans="1:26" ht="15" customHeight="1" x14ac:dyDescent="0.25">
      <c r="A23" s="71" t="str">
        <f t="shared" si="7"/>
        <v>SIGMA200x1,0</v>
      </c>
      <c r="B23" s="10" t="str">
        <f t="shared" si="8"/>
        <v>200</v>
      </c>
      <c r="C23" s="1">
        <f t="shared" si="9"/>
        <v>55</v>
      </c>
      <c r="D23" s="1">
        <f t="shared" si="10"/>
        <v>55</v>
      </c>
      <c r="E23" s="1">
        <f t="shared" si="11"/>
        <v>18</v>
      </c>
      <c r="F23" s="133" t="str">
        <f t="shared" si="12"/>
        <v>SIGMA200</v>
      </c>
      <c r="G23" s="80" t="s">
        <v>101</v>
      </c>
      <c r="H23" s="122">
        <v>1</v>
      </c>
      <c r="I23" s="94">
        <v>2.84</v>
      </c>
      <c r="J23" s="94">
        <v>2.71</v>
      </c>
      <c r="K23" s="94">
        <v>1.89</v>
      </c>
      <c r="L23" s="94">
        <v>2.93</v>
      </c>
      <c r="M23" s="94">
        <v>153.13999999999999</v>
      </c>
      <c r="N23" s="94">
        <v>15.31</v>
      </c>
      <c r="O23" s="94">
        <v>7.22</v>
      </c>
      <c r="P23" s="94">
        <v>10</v>
      </c>
      <c r="Q23" s="94"/>
      <c r="R23" s="94"/>
      <c r="S23" s="94"/>
      <c r="T23" s="94"/>
      <c r="U23" s="94"/>
      <c r="V23" s="94">
        <v>3.05</v>
      </c>
      <c r="W23" s="94">
        <v>10.88</v>
      </c>
      <c r="X23" s="94">
        <v>3.03</v>
      </c>
      <c r="Y23" s="94">
        <v>1.88</v>
      </c>
      <c r="Z23" s="95">
        <v>1.92</v>
      </c>
    </row>
    <row r="24" spans="1:26" ht="15" customHeight="1" x14ac:dyDescent="0.25">
      <c r="A24" s="72" t="str">
        <f t="shared" si="7"/>
        <v>SIGMA200x1,2</v>
      </c>
      <c r="B24" s="11" t="str">
        <f t="shared" si="8"/>
        <v>200</v>
      </c>
      <c r="C24" s="3">
        <f t="shared" si="9"/>
        <v>55</v>
      </c>
      <c r="D24" s="3">
        <f t="shared" si="10"/>
        <v>55</v>
      </c>
      <c r="E24" s="3">
        <f t="shared" si="11"/>
        <v>18</v>
      </c>
      <c r="F24" s="134" t="str">
        <f t="shared" si="12"/>
        <v>SIGMA200</v>
      </c>
      <c r="G24" s="81" t="s">
        <v>101</v>
      </c>
      <c r="H24" s="123">
        <v>1.2</v>
      </c>
      <c r="I24" s="96">
        <v>3.38</v>
      </c>
      <c r="J24" s="96">
        <v>3.57</v>
      </c>
      <c r="K24" s="96">
        <v>1.9</v>
      </c>
      <c r="L24" s="96">
        <v>3.81</v>
      </c>
      <c r="M24" s="96">
        <v>204.68</v>
      </c>
      <c r="N24" s="96">
        <v>20.46</v>
      </c>
      <c r="O24" s="96">
        <v>7.32</v>
      </c>
      <c r="P24" s="96">
        <v>10</v>
      </c>
      <c r="Q24" s="96"/>
      <c r="R24" s="96"/>
      <c r="S24" s="96"/>
      <c r="T24" s="96"/>
      <c r="U24" s="96"/>
      <c r="V24" s="96">
        <v>3.79</v>
      </c>
      <c r="W24" s="96">
        <v>13.51</v>
      </c>
      <c r="X24" s="96">
        <v>3.7</v>
      </c>
      <c r="Y24" s="96">
        <v>1.88</v>
      </c>
      <c r="Z24" s="97">
        <v>1.85</v>
      </c>
    </row>
    <row r="25" spans="1:26" ht="15" customHeight="1" x14ac:dyDescent="0.25">
      <c r="A25" s="72" t="str">
        <f t="shared" si="7"/>
        <v>SIGMA200x1,5</v>
      </c>
      <c r="B25" s="11" t="str">
        <f t="shared" si="8"/>
        <v>200</v>
      </c>
      <c r="C25" s="3">
        <f t="shared" si="9"/>
        <v>55</v>
      </c>
      <c r="D25" s="3">
        <f t="shared" si="10"/>
        <v>55</v>
      </c>
      <c r="E25" s="3">
        <f t="shared" si="11"/>
        <v>18</v>
      </c>
      <c r="F25" s="134" t="str">
        <f t="shared" si="12"/>
        <v>SIGMA200</v>
      </c>
      <c r="G25" s="81" t="s">
        <v>101</v>
      </c>
      <c r="H25" s="123">
        <v>1.5</v>
      </c>
      <c r="I25" s="96">
        <v>4.07</v>
      </c>
      <c r="J25" s="96">
        <v>4.8099999999999996</v>
      </c>
      <c r="K25" s="96">
        <v>1.84</v>
      </c>
      <c r="L25" s="96">
        <v>4.84</v>
      </c>
      <c r="M25" s="96">
        <v>273.91000000000003</v>
      </c>
      <c r="N25" s="96">
        <v>26.26</v>
      </c>
      <c r="O25" s="96">
        <v>7.52</v>
      </c>
      <c r="P25" s="96">
        <v>9.57</v>
      </c>
      <c r="Q25" s="96"/>
      <c r="R25" s="96"/>
      <c r="S25" s="96"/>
      <c r="T25" s="96"/>
      <c r="U25" s="96"/>
      <c r="V25" s="96">
        <v>4.84</v>
      </c>
      <c r="W25" s="96">
        <v>16.47</v>
      </c>
      <c r="X25" s="96">
        <v>4.4400000000000004</v>
      </c>
      <c r="Y25" s="96">
        <v>1.84</v>
      </c>
      <c r="Z25" s="97">
        <v>1.79</v>
      </c>
    </row>
    <row r="26" spans="1:26" ht="15" customHeight="1" x14ac:dyDescent="0.25">
      <c r="A26" s="72" t="str">
        <f t="shared" si="7"/>
        <v>SIGMA200x2,0</v>
      </c>
      <c r="B26" s="11" t="str">
        <f t="shared" si="8"/>
        <v>200</v>
      </c>
      <c r="C26" s="3">
        <f t="shared" si="9"/>
        <v>55</v>
      </c>
      <c r="D26" s="3">
        <f t="shared" si="10"/>
        <v>55</v>
      </c>
      <c r="E26" s="3">
        <f t="shared" si="11"/>
        <v>20</v>
      </c>
      <c r="F26" s="134" t="str">
        <f t="shared" si="12"/>
        <v>SIGMA200</v>
      </c>
      <c r="G26" s="81" t="s">
        <v>102</v>
      </c>
      <c r="H26" s="123">
        <v>2</v>
      </c>
      <c r="I26" s="96">
        <v>5.45</v>
      </c>
      <c r="J26" s="96">
        <v>6.92</v>
      </c>
      <c r="K26" s="96">
        <v>1.83</v>
      </c>
      <c r="L26" s="96">
        <v>6.95</v>
      </c>
      <c r="M26" s="96">
        <v>383.19</v>
      </c>
      <c r="N26" s="96">
        <v>38.31</v>
      </c>
      <c r="O26" s="96">
        <v>7.42</v>
      </c>
      <c r="P26" s="96">
        <v>10</v>
      </c>
      <c r="Q26" s="96"/>
      <c r="R26" s="96"/>
      <c r="S26" s="96"/>
      <c r="T26" s="96"/>
      <c r="U26" s="96"/>
      <c r="V26" s="96">
        <v>6.92</v>
      </c>
      <c r="W26" s="96">
        <v>23.45</v>
      </c>
      <c r="X26" s="96">
        <v>6.25</v>
      </c>
      <c r="Y26" s="96">
        <v>1.83</v>
      </c>
      <c r="Z26" s="97">
        <v>1.75</v>
      </c>
    </row>
    <row r="27" spans="1:26" ht="15" customHeight="1" x14ac:dyDescent="0.25">
      <c r="A27" s="72" t="str">
        <f t="shared" si="7"/>
        <v>SIGMA200x2,5</v>
      </c>
      <c r="B27" s="11" t="str">
        <f t="shared" si="8"/>
        <v>200</v>
      </c>
      <c r="C27" s="3">
        <f t="shared" si="9"/>
        <v>55</v>
      </c>
      <c r="D27" s="3">
        <f t="shared" si="10"/>
        <v>55</v>
      </c>
      <c r="E27" s="3">
        <f t="shared" si="11"/>
        <v>22</v>
      </c>
      <c r="F27" s="134" t="str">
        <f t="shared" si="12"/>
        <v>SIGMA200</v>
      </c>
      <c r="G27" s="81" t="s">
        <v>103</v>
      </c>
      <c r="H27" s="123">
        <v>2.5</v>
      </c>
      <c r="I27" s="96">
        <v>6.85</v>
      </c>
      <c r="J27" s="96">
        <v>8.73</v>
      </c>
      <c r="K27" s="96">
        <v>1.84</v>
      </c>
      <c r="L27" s="96">
        <v>8.73</v>
      </c>
      <c r="M27" s="96">
        <v>478.11</v>
      </c>
      <c r="N27" s="96">
        <v>47.81</v>
      </c>
      <c r="O27" s="96">
        <v>7.39</v>
      </c>
      <c r="P27" s="96">
        <v>10</v>
      </c>
      <c r="Q27" s="96"/>
      <c r="R27" s="96"/>
      <c r="S27" s="96"/>
      <c r="T27" s="96"/>
      <c r="U27" s="96"/>
      <c r="V27" s="96">
        <v>8.73</v>
      </c>
      <c r="W27" s="96">
        <v>29.79</v>
      </c>
      <c r="X27" s="96">
        <v>8.0299999999999994</v>
      </c>
      <c r="Y27" s="96">
        <v>1.84</v>
      </c>
      <c r="Z27" s="97">
        <v>1.79</v>
      </c>
    </row>
    <row r="28" spans="1:26" ht="15" customHeight="1" thickBot="1" x14ac:dyDescent="0.3">
      <c r="A28" s="73" t="str">
        <f t="shared" si="7"/>
        <v>SIGMA200x3,0</v>
      </c>
      <c r="B28" s="12" t="str">
        <f t="shared" si="8"/>
        <v>200</v>
      </c>
      <c r="C28" s="5">
        <f t="shared" si="9"/>
        <v>55</v>
      </c>
      <c r="D28" s="5">
        <f t="shared" si="10"/>
        <v>55</v>
      </c>
      <c r="E28" s="5">
        <f t="shared" si="11"/>
        <v>24</v>
      </c>
      <c r="F28" s="135" t="str">
        <f t="shared" si="12"/>
        <v>SIGMA200</v>
      </c>
      <c r="G28" s="82" t="s">
        <v>104</v>
      </c>
      <c r="H28" s="124">
        <v>3</v>
      </c>
      <c r="I28" s="98">
        <v>8.25</v>
      </c>
      <c r="J28" s="98">
        <v>10.52</v>
      </c>
      <c r="K28" s="98">
        <v>1.85</v>
      </c>
      <c r="L28" s="98">
        <v>10.52</v>
      </c>
      <c r="M28" s="98">
        <v>572.38</v>
      </c>
      <c r="N28" s="98">
        <v>57.23</v>
      </c>
      <c r="O28" s="98">
        <v>7.37</v>
      </c>
      <c r="P28" s="98">
        <v>10</v>
      </c>
      <c r="Q28" s="98"/>
      <c r="R28" s="98"/>
      <c r="S28" s="98"/>
      <c r="T28" s="98"/>
      <c r="U28" s="98"/>
      <c r="V28" s="98">
        <v>10.52</v>
      </c>
      <c r="W28" s="98">
        <v>36.14</v>
      </c>
      <c r="X28" s="98">
        <v>9.8699999999999992</v>
      </c>
      <c r="Y28" s="98">
        <v>1.85</v>
      </c>
      <c r="Z28" s="99">
        <v>1.84</v>
      </c>
    </row>
    <row r="29" spans="1:26" ht="15" customHeight="1" x14ac:dyDescent="0.25">
      <c r="A29" s="71" t="str">
        <f t="shared" si="7"/>
        <v>SIGMA220x1,5</v>
      </c>
      <c r="B29" s="10" t="str">
        <f>LEFT(G29,3)</f>
        <v>220</v>
      </c>
      <c r="C29" s="1">
        <f t="shared" si="9"/>
        <v>55</v>
      </c>
      <c r="D29" s="1">
        <f t="shared" si="10"/>
        <v>55</v>
      </c>
      <c r="E29" s="1">
        <f t="shared" si="11"/>
        <v>18</v>
      </c>
      <c r="F29" s="133" t="str">
        <f t="shared" si="12"/>
        <v>SIGMA220</v>
      </c>
      <c r="G29" s="80" t="s">
        <v>105</v>
      </c>
      <c r="H29" s="122">
        <v>1.5</v>
      </c>
      <c r="I29" s="94">
        <v>4.3099999999999996</v>
      </c>
      <c r="J29" s="94">
        <v>4.88</v>
      </c>
      <c r="K29" s="94">
        <v>1.84</v>
      </c>
      <c r="L29" s="94">
        <v>5</v>
      </c>
      <c r="M29" s="94">
        <v>338.46</v>
      </c>
      <c r="N29" s="94">
        <v>29.12</v>
      </c>
      <c r="O29" s="94">
        <v>8.2200000000000006</v>
      </c>
      <c r="P29" s="94">
        <v>10.38</v>
      </c>
      <c r="Q29" s="94"/>
      <c r="R29" s="94"/>
      <c r="S29" s="94"/>
      <c r="T29" s="94"/>
      <c r="U29" s="94"/>
      <c r="V29" s="94">
        <v>4.91</v>
      </c>
      <c r="W29" s="94">
        <v>16.68</v>
      </c>
      <c r="X29" s="94">
        <v>4.47</v>
      </c>
      <c r="Y29" s="94">
        <v>1.84</v>
      </c>
      <c r="Z29" s="95">
        <v>1.77</v>
      </c>
    </row>
    <row r="30" spans="1:26" ht="15" customHeight="1" x14ac:dyDescent="0.25">
      <c r="A30" s="72" t="str">
        <f t="shared" si="7"/>
        <v>SIGMA220x2,0</v>
      </c>
      <c r="B30" s="11" t="str">
        <f t="shared" ref="B30:B38" si="13">LEFT(G30,3)</f>
        <v>220</v>
      </c>
      <c r="C30" s="3">
        <f t="shared" si="9"/>
        <v>55</v>
      </c>
      <c r="D30" s="3">
        <f t="shared" si="10"/>
        <v>55</v>
      </c>
      <c r="E30" s="3">
        <f t="shared" si="11"/>
        <v>20</v>
      </c>
      <c r="F30" s="134" t="str">
        <f t="shared" si="12"/>
        <v>SIGMA220</v>
      </c>
      <c r="G30" s="81" t="s">
        <v>106</v>
      </c>
      <c r="H30" s="123">
        <v>2</v>
      </c>
      <c r="I30" s="96">
        <v>5.77</v>
      </c>
      <c r="J30" s="96">
        <v>7.09</v>
      </c>
      <c r="K30" s="96">
        <v>1.83</v>
      </c>
      <c r="L30" s="96">
        <v>7.21</v>
      </c>
      <c r="M30" s="96">
        <v>475.71</v>
      </c>
      <c r="N30" s="96">
        <v>42.77</v>
      </c>
      <c r="O30" s="96">
        <v>8.11</v>
      </c>
      <c r="P30" s="96">
        <v>10.88</v>
      </c>
      <c r="Q30" s="96"/>
      <c r="R30" s="96"/>
      <c r="S30" s="96"/>
      <c r="T30" s="96"/>
      <c r="U30" s="96"/>
      <c r="V30" s="96">
        <v>7.09</v>
      </c>
      <c r="W30" s="96">
        <v>23.9</v>
      </c>
      <c r="X30" s="96">
        <v>6.31</v>
      </c>
      <c r="Y30" s="96">
        <v>1.83</v>
      </c>
      <c r="Z30" s="97">
        <v>1.71</v>
      </c>
    </row>
    <row r="31" spans="1:26" ht="15" customHeight="1" x14ac:dyDescent="0.25">
      <c r="A31" s="72" t="str">
        <f t="shared" si="7"/>
        <v>SIGMA220x2,5</v>
      </c>
      <c r="B31" s="11" t="str">
        <f t="shared" si="13"/>
        <v>220</v>
      </c>
      <c r="C31" s="3">
        <f t="shared" si="9"/>
        <v>55</v>
      </c>
      <c r="D31" s="3">
        <f t="shared" si="10"/>
        <v>55</v>
      </c>
      <c r="E31" s="3">
        <f t="shared" si="11"/>
        <v>22</v>
      </c>
      <c r="F31" s="134" t="str">
        <f t="shared" si="12"/>
        <v>SIGMA220</v>
      </c>
      <c r="G31" s="81" t="s">
        <v>107</v>
      </c>
      <c r="H31" s="123">
        <v>2.5</v>
      </c>
      <c r="I31" s="96">
        <v>7.24</v>
      </c>
      <c r="J31" s="96">
        <v>9.23</v>
      </c>
      <c r="K31" s="96">
        <v>1.83</v>
      </c>
      <c r="L31" s="96">
        <v>9.23</v>
      </c>
      <c r="M31" s="96">
        <v>601.11</v>
      </c>
      <c r="N31" s="96">
        <v>54.64</v>
      </c>
      <c r="O31" s="96">
        <v>8.06</v>
      </c>
      <c r="P31" s="96">
        <v>11</v>
      </c>
      <c r="Q31" s="96"/>
      <c r="R31" s="96"/>
      <c r="S31" s="96"/>
      <c r="T31" s="96"/>
      <c r="U31" s="96"/>
      <c r="V31" s="96">
        <v>9.23</v>
      </c>
      <c r="W31" s="96">
        <v>31.1</v>
      </c>
      <c r="X31" s="96">
        <v>8.19</v>
      </c>
      <c r="Y31" s="96">
        <v>1.83</v>
      </c>
      <c r="Z31" s="97">
        <v>1.7</v>
      </c>
    </row>
    <row r="32" spans="1:26" ht="15" customHeight="1" thickBot="1" x14ac:dyDescent="0.3">
      <c r="A32" s="126" t="str">
        <f t="shared" si="7"/>
        <v>SIGMA220x3,0</v>
      </c>
      <c r="B32" s="150" t="str">
        <f t="shared" si="13"/>
        <v>220</v>
      </c>
      <c r="C32" s="14">
        <f t="shared" si="9"/>
        <v>55</v>
      </c>
      <c r="D32" s="14">
        <f t="shared" si="10"/>
        <v>55</v>
      </c>
      <c r="E32" s="14">
        <f t="shared" si="11"/>
        <v>24</v>
      </c>
      <c r="F32" s="136" t="str">
        <f t="shared" si="12"/>
        <v>SIGMA220</v>
      </c>
      <c r="G32" s="151" t="s">
        <v>108</v>
      </c>
      <c r="H32" s="230">
        <v>3</v>
      </c>
      <c r="I32" s="108">
        <v>8.7200000000000006</v>
      </c>
      <c r="J32" s="108">
        <v>11.12</v>
      </c>
      <c r="K32" s="108">
        <v>1.84</v>
      </c>
      <c r="L32" s="108">
        <v>11.12</v>
      </c>
      <c r="M32" s="108">
        <v>720.3</v>
      </c>
      <c r="N32" s="108">
        <v>65.48</v>
      </c>
      <c r="O32" s="108">
        <v>8.0399999999999991</v>
      </c>
      <c r="P32" s="108">
        <v>11</v>
      </c>
      <c r="Q32" s="108"/>
      <c r="R32" s="108"/>
      <c r="S32" s="108"/>
      <c r="T32" s="108"/>
      <c r="U32" s="108"/>
      <c r="V32" s="108">
        <v>11.12</v>
      </c>
      <c r="W32" s="108">
        <v>37.770000000000003</v>
      </c>
      <c r="X32" s="108">
        <v>10.06</v>
      </c>
      <c r="Y32" s="108">
        <v>1.84</v>
      </c>
      <c r="Z32" s="109">
        <v>1.75</v>
      </c>
    </row>
    <row r="33" spans="1:26" ht="15" customHeight="1" x14ac:dyDescent="0.25">
      <c r="A33" s="71" t="str">
        <f t="shared" si="7"/>
        <v>SIGMA250x1,0</v>
      </c>
      <c r="B33" s="10" t="str">
        <f t="shared" si="13"/>
        <v>250</v>
      </c>
      <c r="C33" s="1">
        <f t="shared" si="9"/>
        <v>66</v>
      </c>
      <c r="D33" s="1">
        <f t="shared" si="10"/>
        <v>66</v>
      </c>
      <c r="E33" s="1">
        <f t="shared" si="11"/>
        <v>20</v>
      </c>
      <c r="F33" s="133" t="str">
        <f t="shared" si="12"/>
        <v>SIGMA250</v>
      </c>
      <c r="G33" s="80" t="s">
        <v>109</v>
      </c>
      <c r="H33" s="122">
        <v>1</v>
      </c>
      <c r="I33" s="94">
        <v>3.46</v>
      </c>
      <c r="J33" s="94">
        <v>2.82</v>
      </c>
      <c r="K33" s="94">
        <v>2.38</v>
      </c>
      <c r="L33" s="94">
        <v>3.1</v>
      </c>
      <c r="M33" s="94">
        <v>251.39</v>
      </c>
      <c r="N33" s="94">
        <v>20.11</v>
      </c>
      <c r="O33" s="94">
        <v>9</v>
      </c>
      <c r="P33" s="94">
        <v>12.5</v>
      </c>
      <c r="Q33" s="94"/>
      <c r="R33" s="94"/>
      <c r="S33" s="94"/>
      <c r="T33" s="94"/>
      <c r="U33" s="94"/>
      <c r="V33" s="94">
        <v>3.35</v>
      </c>
      <c r="W33" s="94">
        <v>18.68</v>
      </c>
      <c r="X33" s="94">
        <v>4.3600000000000003</v>
      </c>
      <c r="Y33" s="94">
        <v>2.35</v>
      </c>
      <c r="Z33" s="95">
        <v>2.3199999999999998</v>
      </c>
    </row>
    <row r="34" spans="1:26" ht="15" customHeight="1" x14ac:dyDescent="0.25">
      <c r="A34" s="72" t="str">
        <f t="shared" si="7"/>
        <v>SIGMA250x1,2</v>
      </c>
      <c r="B34" s="11" t="str">
        <f t="shared" si="13"/>
        <v>250</v>
      </c>
      <c r="C34" s="3">
        <f t="shared" si="9"/>
        <v>66</v>
      </c>
      <c r="D34" s="3">
        <f t="shared" si="10"/>
        <v>66</v>
      </c>
      <c r="E34" s="3">
        <f t="shared" si="11"/>
        <v>20</v>
      </c>
      <c r="F34" s="134" t="str">
        <f t="shared" si="12"/>
        <v>SIGMA250</v>
      </c>
      <c r="G34" s="81" t="s">
        <v>109</v>
      </c>
      <c r="H34" s="123">
        <v>1.2</v>
      </c>
      <c r="I34" s="96">
        <v>4.1100000000000003</v>
      </c>
      <c r="J34" s="96">
        <v>3.75</v>
      </c>
      <c r="K34" s="96">
        <v>2.38</v>
      </c>
      <c r="L34" s="96">
        <v>4.07</v>
      </c>
      <c r="M34" s="96">
        <v>338.01</v>
      </c>
      <c r="N34" s="96">
        <v>27.04</v>
      </c>
      <c r="O34" s="96">
        <v>9.1</v>
      </c>
      <c r="P34" s="96">
        <v>12.5</v>
      </c>
      <c r="Q34" s="96"/>
      <c r="R34" s="96"/>
      <c r="S34" s="96"/>
      <c r="T34" s="96"/>
      <c r="U34" s="96"/>
      <c r="V34" s="96">
        <v>4.18</v>
      </c>
      <c r="W34" s="96">
        <v>23.16</v>
      </c>
      <c r="X34" s="96">
        <v>5.3</v>
      </c>
      <c r="Y34" s="96">
        <v>2.35</v>
      </c>
      <c r="Z34" s="97">
        <v>2.23</v>
      </c>
    </row>
    <row r="35" spans="1:26" ht="15" customHeight="1" x14ac:dyDescent="0.25">
      <c r="A35" s="72" t="str">
        <f t="shared" si="7"/>
        <v>SIGMA250x2,0</v>
      </c>
      <c r="B35" s="11" t="str">
        <f t="shared" si="13"/>
        <v>250</v>
      </c>
      <c r="C35" s="3">
        <f t="shared" si="9"/>
        <v>66</v>
      </c>
      <c r="D35" s="3">
        <f t="shared" si="10"/>
        <v>66</v>
      </c>
      <c r="E35" s="3">
        <f t="shared" si="11"/>
        <v>20</v>
      </c>
      <c r="F35" s="134" t="str">
        <f t="shared" si="12"/>
        <v>SIGMA250</v>
      </c>
      <c r="G35" s="81" t="s">
        <v>109</v>
      </c>
      <c r="H35" s="123">
        <v>2</v>
      </c>
      <c r="I35" s="96">
        <v>6.58</v>
      </c>
      <c r="J35" s="96">
        <v>7.72</v>
      </c>
      <c r="K35" s="96">
        <v>2.21</v>
      </c>
      <c r="L35" s="96">
        <v>7.98</v>
      </c>
      <c r="M35" s="96">
        <v>701.54</v>
      </c>
      <c r="N35" s="96">
        <v>54.55</v>
      </c>
      <c r="O35" s="96">
        <v>9.3699999999999992</v>
      </c>
      <c r="P35" s="96">
        <v>12.14</v>
      </c>
      <c r="Q35" s="96"/>
      <c r="R35" s="96"/>
      <c r="S35" s="96"/>
      <c r="T35" s="96"/>
      <c r="U35" s="96"/>
      <c r="V35" s="96">
        <v>7.72</v>
      </c>
      <c r="W35" s="96">
        <v>37.909999999999997</v>
      </c>
      <c r="X35" s="96">
        <v>8.26</v>
      </c>
      <c r="Y35" s="96">
        <v>2.21</v>
      </c>
      <c r="Z35" s="97">
        <v>2.0099999999999998</v>
      </c>
    </row>
    <row r="36" spans="1:26" ht="15" customHeight="1" x14ac:dyDescent="0.25">
      <c r="A36" s="72" t="str">
        <f t="shared" si="7"/>
        <v>SIGMA250x2,5</v>
      </c>
      <c r="B36" s="11" t="str">
        <f t="shared" si="13"/>
        <v>250</v>
      </c>
      <c r="C36" s="3">
        <f t="shared" si="9"/>
        <v>67</v>
      </c>
      <c r="D36" s="3">
        <f t="shared" si="10"/>
        <v>67</v>
      </c>
      <c r="E36" s="3">
        <f t="shared" si="11"/>
        <v>20</v>
      </c>
      <c r="F36" s="134" t="str">
        <f t="shared" si="12"/>
        <v>SIGMA250</v>
      </c>
      <c r="G36" s="81" t="s">
        <v>110</v>
      </c>
      <c r="H36" s="123">
        <v>2.5</v>
      </c>
      <c r="I36" s="96">
        <v>8.2200000000000006</v>
      </c>
      <c r="J36" s="96">
        <v>10.18</v>
      </c>
      <c r="K36" s="96">
        <v>2.21</v>
      </c>
      <c r="L36" s="96">
        <v>10.48</v>
      </c>
      <c r="M36" s="96">
        <v>900.28</v>
      </c>
      <c r="N36" s="96">
        <v>72.02</v>
      </c>
      <c r="O36" s="96">
        <v>9.26</v>
      </c>
      <c r="P36" s="96">
        <v>12.5</v>
      </c>
      <c r="Q36" s="96"/>
      <c r="R36" s="96"/>
      <c r="S36" s="96"/>
      <c r="T36" s="96"/>
      <c r="U36" s="96"/>
      <c r="V36" s="96">
        <v>10.18</v>
      </c>
      <c r="W36" s="96">
        <v>49.75</v>
      </c>
      <c r="X36" s="96">
        <v>10.46</v>
      </c>
      <c r="Y36" s="96">
        <v>2.21</v>
      </c>
      <c r="Z36" s="97">
        <v>1.94</v>
      </c>
    </row>
    <row r="37" spans="1:26" ht="15" customHeight="1" x14ac:dyDescent="0.25">
      <c r="A37" s="72" t="str">
        <f t="shared" si="7"/>
        <v>SIGMA250x3,0</v>
      </c>
      <c r="B37" s="11" t="str">
        <f t="shared" si="13"/>
        <v>250</v>
      </c>
      <c r="C37" s="3">
        <f t="shared" si="9"/>
        <v>68</v>
      </c>
      <c r="D37" s="3">
        <f t="shared" si="10"/>
        <v>68</v>
      </c>
      <c r="E37" s="3">
        <f t="shared" si="11"/>
        <v>20</v>
      </c>
      <c r="F37" s="134" t="str">
        <f t="shared" si="12"/>
        <v>SIGMA250</v>
      </c>
      <c r="G37" s="81" t="s">
        <v>111</v>
      </c>
      <c r="H37" s="123">
        <v>3</v>
      </c>
      <c r="I37" s="96">
        <v>9.85</v>
      </c>
      <c r="J37" s="96">
        <v>12.56</v>
      </c>
      <c r="K37" s="96">
        <v>2.21</v>
      </c>
      <c r="L37" s="96">
        <v>12.56</v>
      </c>
      <c r="M37" s="96">
        <v>1076.17</v>
      </c>
      <c r="N37" s="96">
        <v>86.09</v>
      </c>
      <c r="O37" s="96">
        <v>9.25</v>
      </c>
      <c r="P37" s="96">
        <v>12.5</v>
      </c>
      <c r="Q37" s="96"/>
      <c r="R37" s="96"/>
      <c r="S37" s="96"/>
      <c r="T37" s="96"/>
      <c r="U37" s="96"/>
      <c r="V37" s="96">
        <v>12.56</v>
      </c>
      <c r="W37" s="96">
        <v>61.44</v>
      </c>
      <c r="X37" s="96">
        <v>12.61</v>
      </c>
      <c r="Y37" s="96">
        <v>2.21</v>
      </c>
      <c r="Z37" s="97">
        <v>1.93</v>
      </c>
    </row>
    <row r="38" spans="1:26" ht="15" customHeight="1" thickBot="1" x14ac:dyDescent="0.3">
      <c r="A38" s="73" t="str">
        <f t="shared" si="7"/>
        <v>SIGMA250x3,5</v>
      </c>
      <c r="B38" s="12" t="str">
        <f t="shared" si="13"/>
        <v>250</v>
      </c>
      <c r="C38" s="5">
        <f t="shared" si="9"/>
        <v>69</v>
      </c>
      <c r="D38" s="5">
        <f t="shared" si="10"/>
        <v>69</v>
      </c>
      <c r="E38" s="5">
        <f t="shared" si="11"/>
        <v>20</v>
      </c>
      <c r="F38" s="135" t="str">
        <f t="shared" si="12"/>
        <v>SIGMA250</v>
      </c>
      <c r="G38" s="82" t="s">
        <v>112</v>
      </c>
      <c r="H38" s="124">
        <v>3.5</v>
      </c>
      <c r="I38" s="98">
        <v>11.48</v>
      </c>
      <c r="J38" s="98">
        <v>14.64</v>
      </c>
      <c r="K38" s="98">
        <v>2.2200000000000002</v>
      </c>
      <c r="L38" s="98">
        <v>14.64</v>
      </c>
      <c r="M38" s="98">
        <v>1250.68</v>
      </c>
      <c r="N38" s="98">
        <v>100.05</v>
      </c>
      <c r="O38" s="98">
        <v>9.24</v>
      </c>
      <c r="P38" s="98">
        <v>12.5</v>
      </c>
      <c r="Q38" s="98"/>
      <c r="R38" s="98"/>
      <c r="S38" s="98"/>
      <c r="T38" s="98"/>
      <c r="U38" s="98"/>
      <c r="V38" s="98">
        <v>14.64</v>
      </c>
      <c r="W38" s="98">
        <v>72.37</v>
      </c>
      <c r="X38" s="98">
        <v>14.66</v>
      </c>
      <c r="Y38" s="98">
        <v>2.2200000000000002</v>
      </c>
      <c r="Z38" s="99">
        <v>1.97</v>
      </c>
    </row>
    <row r="39" spans="1:26" ht="15" customHeight="1" x14ac:dyDescent="0.25">
      <c r="A39" s="71" t="str">
        <f t="shared" ref="A39:A51" si="14">CONCATENATE(F39,"x",(IF(H39=INT(H39),CONCATENATE(H39,",",0),H39)))</f>
        <v>SIGMA300x2,0</v>
      </c>
      <c r="B39" s="10" t="str">
        <f t="shared" ref="B39:B45" si="15">LEFT(G39,3)</f>
        <v>300</v>
      </c>
      <c r="C39" s="1">
        <f t="shared" ref="C39:C51" si="16">VALUE(MID(G39,(SEARCH("/",G39,1)+1),(SEARCH("/",G39,(SEARCH("/",G39,1)+1))-SEARCH("/",G39,1)-1)))</f>
        <v>91</v>
      </c>
      <c r="D39" s="1">
        <f t="shared" ref="D39:D51" si="17">VALUE(MID(G39,(SEARCH("/",G39,(SEARCH("/",G39,1)+1))+1),(SEARCH("/",G39,SEARCH("/",G39,(SEARCH("/",G39,1)+1))+1))-(SEARCH("/",G39,(SEARCH("/",G39,1)+1))+1)))</f>
        <v>91</v>
      </c>
      <c r="E39" s="1">
        <f t="shared" ref="E39:E51" si="18">VALUE(MID(G39,(SEARCH("/",G39,SEARCH("/",G39,(SEARCH("/",G39,1)+1))+1)+1),4))</f>
        <v>20</v>
      </c>
      <c r="F39" s="133" t="str">
        <f t="shared" ref="F39:F51" si="19">CONCATENATE("SIGMA",LEFT(G39,3))</f>
        <v>SIGMA300</v>
      </c>
      <c r="G39" s="80" t="s">
        <v>113</v>
      </c>
      <c r="H39" s="122">
        <v>2</v>
      </c>
      <c r="I39" s="94">
        <v>8.15</v>
      </c>
      <c r="J39" s="94">
        <v>8.31</v>
      </c>
      <c r="K39" s="94">
        <v>3.17</v>
      </c>
      <c r="L39" s="94">
        <v>9.1300000000000008</v>
      </c>
      <c r="M39" s="94">
        <v>1194.8499999999999</v>
      </c>
      <c r="N39" s="94">
        <v>73.099999999999994</v>
      </c>
      <c r="O39" s="94">
        <v>11.43</v>
      </c>
      <c r="P39" s="94">
        <v>13.66</v>
      </c>
      <c r="Q39" s="94"/>
      <c r="R39" s="94"/>
      <c r="S39" s="94"/>
      <c r="T39" s="94"/>
      <c r="U39" s="94"/>
      <c r="V39" s="94">
        <v>8.6199999999999992</v>
      </c>
      <c r="W39" s="94">
        <v>84.86</v>
      </c>
      <c r="X39" s="94">
        <v>13.34</v>
      </c>
      <c r="Y39" s="94">
        <v>3.13</v>
      </c>
      <c r="Z39" s="95">
        <v>2.74</v>
      </c>
    </row>
    <row r="40" spans="1:26" ht="15" customHeight="1" x14ac:dyDescent="0.25">
      <c r="A40" s="72" t="str">
        <f t="shared" si="14"/>
        <v>SIGMA300x2,5</v>
      </c>
      <c r="B40" s="11" t="str">
        <f t="shared" si="15"/>
        <v>300</v>
      </c>
      <c r="C40" s="3">
        <f t="shared" si="16"/>
        <v>92</v>
      </c>
      <c r="D40" s="3">
        <f t="shared" si="17"/>
        <v>92</v>
      </c>
      <c r="E40" s="3">
        <f t="shared" si="18"/>
        <v>20</v>
      </c>
      <c r="F40" s="134" t="str">
        <f t="shared" si="19"/>
        <v>SIGMA300</v>
      </c>
      <c r="G40" s="81" t="s">
        <v>114</v>
      </c>
      <c r="H40" s="123">
        <v>2.5</v>
      </c>
      <c r="I40" s="96">
        <v>10.18</v>
      </c>
      <c r="J40" s="96">
        <v>11.59</v>
      </c>
      <c r="K40" s="96">
        <v>3.1</v>
      </c>
      <c r="L40" s="96">
        <v>12.33</v>
      </c>
      <c r="M40" s="96">
        <v>1606.56</v>
      </c>
      <c r="N40" s="96">
        <v>103.61</v>
      </c>
      <c r="O40" s="96">
        <v>11.41</v>
      </c>
      <c r="P40" s="96">
        <v>14.5</v>
      </c>
      <c r="Q40" s="96"/>
      <c r="R40" s="96"/>
      <c r="S40" s="96"/>
      <c r="T40" s="96"/>
      <c r="U40" s="96"/>
      <c r="V40" s="96">
        <v>11.71</v>
      </c>
      <c r="W40" s="96">
        <v>112.29</v>
      </c>
      <c r="X40" s="96">
        <v>17.170000000000002</v>
      </c>
      <c r="Y40" s="96">
        <v>3.09</v>
      </c>
      <c r="Z40" s="97">
        <v>2.66</v>
      </c>
    </row>
    <row r="41" spans="1:26" ht="15" customHeight="1" x14ac:dyDescent="0.25">
      <c r="A41" s="72" t="str">
        <f t="shared" si="14"/>
        <v>SIGMA300x3,0</v>
      </c>
      <c r="B41" s="11" t="str">
        <f t="shared" si="15"/>
        <v>300</v>
      </c>
      <c r="C41" s="3">
        <f t="shared" si="16"/>
        <v>93</v>
      </c>
      <c r="D41" s="3">
        <f t="shared" si="17"/>
        <v>93</v>
      </c>
      <c r="E41" s="3">
        <f t="shared" si="18"/>
        <v>20</v>
      </c>
      <c r="F41" s="134" t="str">
        <f t="shared" si="19"/>
        <v>SIGMA300</v>
      </c>
      <c r="G41" s="81" t="s">
        <v>115</v>
      </c>
      <c r="H41" s="123">
        <v>3</v>
      </c>
      <c r="I41" s="96">
        <v>12.21</v>
      </c>
      <c r="J41" s="96">
        <v>14.86</v>
      </c>
      <c r="K41" s="96">
        <v>3.07</v>
      </c>
      <c r="L41" s="96">
        <v>15.56</v>
      </c>
      <c r="M41" s="96">
        <v>2001.39</v>
      </c>
      <c r="N41" s="96">
        <v>133.41999999999999</v>
      </c>
      <c r="O41" s="96">
        <v>11.33</v>
      </c>
      <c r="P41" s="96">
        <v>15</v>
      </c>
      <c r="Q41" s="96"/>
      <c r="R41" s="96"/>
      <c r="S41" s="96"/>
      <c r="T41" s="96"/>
      <c r="U41" s="96"/>
      <c r="V41" s="96">
        <v>14.86</v>
      </c>
      <c r="W41" s="96">
        <v>140.44</v>
      </c>
      <c r="X41" s="96">
        <v>20.95</v>
      </c>
      <c r="Y41" s="96">
        <v>3.07</v>
      </c>
      <c r="Z41" s="97">
        <v>2.6</v>
      </c>
    </row>
    <row r="42" spans="1:26" ht="15" customHeight="1" thickBot="1" x14ac:dyDescent="0.3">
      <c r="A42" s="73" t="str">
        <f t="shared" si="14"/>
        <v>SIGMA300x3,5</v>
      </c>
      <c r="B42" s="12" t="str">
        <f t="shared" si="15"/>
        <v>300</v>
      </c>
      <c r="C42" s="14">
        <f t="shared" si="16"/>
        <v>94</v>
      </c>
      <c r="D42" s="14">
        <f t="shared" si="17"/>
        <v>94</v>
      </c>
      <c r="E42" s="14">
        <f t="shared" si="18"/>
        <v>20</v>
      </c>
      <c r="F42" s="136" t="str">
        <f t="shared" si="19"/>
        <v>SIGMA300</v>
      </c>
      <c r="G42" s="82" t="s">
        <v>116</v>
      </c>
      <c r="H42" s="124">
        <v>3.5</v>
      </c>
      <c r="I42" s="98">
        <v>14.23</v>
      </c>
      <c r="J42" s="98">
        <v>17.98</v>
      </c>
      <c r="K42" s="98">
        <v>3.06</v>
      </c>
      <c r="L42" s="98">
        <v>18.14</v>
      </c>
      <c r="M42" s="98">
        <v>2327.27</v>
      </c>
      <c r="N42" s="98">
        <v>155.15</v>
      </c>
      <c r="O42" s="98">
        <v>11.32</v>
      </c>
      <c r="P42" s="98">
        <v>15</v>
      </c>
      <c r="Q42" s="98"/>
      <c r="R42" s="98"/>
      <c r="S42" s="98"/>
      <c r="T42" s="98"/>
      <c r="U42" s="98"/>
      <c r="V42" s="98">
        <v>17.98</v>
      </c>
      <c r="W42" s="98">
        <v>168.71</v>
      </c>
      <c r="X42" s="98">
        <v>24.61</v>
      </c>
      <c r="Y42" s="98">
        <v>3.06</v>
      </c>
      <c r="Z42" s="99">
        <v>2.5499999999999998</v>
      </c>
    </row>
    <row r="43" spans="1:26" s="198" customFormat="1" ht="15" customHeight="1" x14ac:dyDescent="0.25">
      <c r="A43" s="129" t="str">
        <f t="shared" si="14"/>
        <v>SIGMA350x2,0</v>
      </c>
      <c r="B43" s="57" t="str">
        <f t="shared" si="15"/>
        <v>350</v>
      </c>
      <c r="C43" s="59">
        <f t="shared" si="16"/>
        <v>100</v>
      </c>
      <c r="D43" s="59">
        <f t="shared" si="17"/>
        <v>100</v>
      </c>
      <c r="E43" s="59">
        <f t="shared" si="18"/>
        <v>20</v>
      </c>
      <c r="F43" s="58" t="str">
        <f t="shared" si="19"/>
        <v>SIGMA350</v>
      </c>
      <c r="G43" s="127" t="s">
        <v>117</v>
      </c>
      <c r="H43" s="130">
        <v>2</v>
      </c>
      <c r="I43" s="131">
        <v>9.2200000000000006</v>
      </c>
      <c r="J43" s="131">
        <v>8.5299999999999994</v>
      </c>
      <c r="K43" s="131">
        <v>3.52</v>
      </c>
      <c r="L43" s="131">
        <v>9.83</v>
      </c>
      <c r="M43" s="131">
        <v>1732.19</v>
      </c>
      <c r="N43" s="131">
        <v>88.06</v>
      </c>
      <c r="O43" s="131">
        <v>13.27</v>
      </c>
      <c r="P43" s="131">
        <v>15.33</v>
      </c>
      <c r="Q43" s="131"/>
      <c r="R43" s="131"/>
      <c r="S43" s="131"/>
      <c r="T43" s="131"/>
      <c r="U43" s="131"/>
      <c r="V43" s="131">
        <v>8.9700000000000006</v>
      </c>
      <c r="W43" s="131">
        <v>108.21</v>
      </c>
      <c r="X43" s="131">
        <v>15.43</v>
      </c>
      <c r="Y43" s="131">
        <v>3.47</v>
      </c>
      <c r="Z43" s="132">
        <v>2.99</v>
      </c>
    </row>
    <row r="44" spans="1:26" ht="15" customHeight="1" x14ac:dyDescent="0.25">
      <c r="A44" s="72" t="str">
        <f t="shared" si="14"/>
        <v>SIGMA350x2,5</v>
      </c>
      <c r="B44" s="11" t="str">
        <f t="shared" si="15"/>
        <v>350</v>
      </c>
      <c r="C44" s="3">
        <f t="shared" si="16"/>
        <v>100</v>
      </c>
      <c r="D44" s="3">
        <f t="shared" si="17"/>
        <v>100</v>
      </c>
      <c r="E44" s="3">
        <f t="shared" si="18"/>
        <v>22</v>
      </c>
      <c r="F44" s="134" t="str">
        <f t="shared" si="19"/>
        <v>SIGMA350</v>
      </c>
      <c r="G44" s="81" t="s">
        <v>118</v>
      </c>
      <c r="H44" s="123">
        <v>2.5</v>
      </c>
      <c r="I44" s="96">
        <v>11.56</v>
      </c>
      <c r="J44" s="96">
        <v>12.09</v>
      </c>
      <c r="K44" s="96">
        <v>3.44</v>
      </c>
      <c r="L44" s="96">
        <v>13.34</v>
      </c>
      <c r="M44" s="96">
        <v>2358.7600000000002</v>
      </c>
      <c r="N44" s="96">
        <v>126.53</v>
      </c>
      <c r="O44" s="96">
        <v>13.29</v>
      </c>
      <c r="P44" s="96">
        <v>16.36</v>
      </c>
      <c r="Q44" s="96"/>
      <c r="R44" s="96"/>
      <c r="S44" s="96"/>
      <c r="T44" s="96"/>
      <c r="U44" s="96"/>
      <c r="V44" s="96">
        <v>12.33</v>
      </c>
      <c r="W44" s="96">
        <v>144.97999999999999</v>
      </c>
      <c r="X44" s="96">
        <v>20.46</v>
      </c>
      <c r="Y44" s="96">
        <v>3.42</v>
      </c>
      <c r="Z44" s="97">
        <v>2.92</v>
      </c>
    </row>
    <row r="45" spans="1:26" ht="15" customHeight="1" x14ac:dyDescent="0.25">
      <c r="A45" s="72" t="str">
        <f t="shared" si="14"/>
        <v>SIGMA350x3,0</v>
      </c>
      <c r="B45" s="11" t="str">
        <f t="shared" si="15"/>
        <v>350</v>
      </c>
      <c r="C45" s="3">
        <f t="shared" si="16"/>
        <v>100</v>
      </c>
      <c r="D45" s="3">
        <f t="shared" si="17"/>
        <v>100</v>
      </c>
      <c r="E45" s="3">
        <f t="shared" si="18"/>
        <v>24</v>
      </c>
      <c r="F45" s="134" t="str">
        <f t="shared" si="19"/>
        <v>SIGMA350</v>
      </c>
      <c r="G45" s="81" t="s">
        <v>119</v>
      </c>
      <c r="H45" s="123">
        <v>3</v>
      </c>
      <c r="I45" s="96">
        <v>13.9</v>
      </c>
      <c r="J45" s="96">
        <v>15.95</v>
      </c>
      <c r="K45" s="96">
        <v>3.39</v>
      </c>
      <c r="L45" s="96">
        <v>17.12</v>
      </c>
      <c r="M45" s="96">
        <v>3007.68</v>
      </c>
      <c r="N45" s="96">
        <v>168.51</v>
      </c>
      <c r="O45" s="96">
        <v>13.25</v>
      </c>
      <c r="P45" s="96">
        <v>17.149999999999999</v>
      </c>
      <c r="Q45" s="96"/>
      <c r="R45" s="96"/>
      <c r="S45" s="96"/>
      <c r="T45" s="96"/>
      <c r="U45" s="96"/>
      <c r="V45" s="96">
        <v>15.95</v>
      </c>
      <c r="W45" s="96">
        <v>183.84</v>
      </c>
      <c r="X45" s="96">
        <v>25.77</v>
      </c>
      <c r="Y45" s="96">
        <v>3.39</v>
      </c>
      <c r="Z45" s="97">
        <v>2.87</v>
      </c>
    </row>
    <row r="46" spans="1:26" ht="15" customHeight="1" thickBot="1" x14ac:dyDescent="0.3">
      <c r="A46" s="126" t="str">
        <f t="shared" si="14"/>
        <v>SIGMA350x3,5</v>
      </c>
      <c r="B46" s="12" t="str">
        <f t="shared" ref="B46:B51" si="20">LEFT(G46,3)</f>
        <v>350</v>
      </c>
      <c r="C46" s="14">
        <f t="shared" si="16"/>
        <v>100</v>
      </c>
      <c r="D46" s="14">
        <f t="shared" si="17"/>
        <v>100</v>
      </c>
      <c r="E46" s="14">
        <f t="shared" si="18"/>
        <v>26</v>
      </c>
      <c r="F46" s="135" t="str">
        <f t="shared" si="19"/>
        <v>SIGMA350</v>
      </c>
      <c r="G46" s="82" t="s">
        <v>120</v>
      </c>
      <c r="H46" s="124">
        <v>3.5</v>
      </c>
      <c r="I46" s="98">
        <v>16.260000000000002</v>
      </c>
      <c r="J46" s="98">
        <v>19.489999999999998</v>
      </c>
      <c r="K46" s="98">
        <v>3.38</v>
      </c>
      <c r="L46" s="98">
        <v>20.73</v>
      </c>
      <c r="M46" s="98">
        <v>3581.67</v>
      </c>
      <c r="N46" s="98">
        <v>204.66</v>
      </c>
      <c r="O46" s="98">
        <v>13.14</v>
      </c>
      <c r="P46" s="98">
        <v>17.5</v>
      </c>
      <c r="Q46" s="98"/>
      <c r="R46" s="98"/>
      <c r="S46" s="98"/>
      <c r="T46" s="98"/>
      <c r="U46" s="98"/>
      <c r="V46" s="98">
        <v>19.489999999999998</v>
      </c>
      <c r="W46" s="98">
        <v>223.16</v>
      </c>
      <c r="X46" s="98">
        <v>31.01</v>
      </c>
      <c r="Y46" s="98">
        <v>3.38</v>
      </c>
      <c r="Z46" s="99">
        <v>2.8</v>
      </c>
    </row>
    <row r="47" spans="1:26" ht="15" customHeight="1" x14ac:dyDescent="0.25">
      <c r="A47" s="71" t="str">
        <f t="shared" si="14"/>
        <v>SIGMA400x2,0</v>
      </c>
      <c r="B47" s="13" t="str">
        <f t="shared" si="20"/>
        <v>400</v>
      </c>
      <c r="C47" s="1">
        <f t="shared" si="16"/>
        <v>100</v>
      </c>
      <c r="D47" s="1">
        <f t="shared" si="17"/>
        <v>100</v>
      </c>
      <c r="E47" s="1">
        <f t="shared" si="18"/>
        <v>20</v>
      </c>
      <c r="F47" s="9" t="str">
        <f t="shared" si="19"/>
        <v>SIGMA400</v>
      </c>
      <c r="G47" s="83" t="s">
        <v>121</v>
      </c>
      <c r="H47" s="125">
        <v>2</v>
      </c>
      <c r="I47" s="100">
        <v>10.01</v>
      </c>
      <c r="J47" s="100">
        <v>8.6199999999999992</v>
      </c>
      <c r="K47" s="100">
        <v>3.51</v>
      </c>
      <c r="L47" s="100">
        <v>10.34</v>
      </c>
      <c r="M47" s="100">
        <v>2320.42</v>
      </c>
      <c r="N47" s="100">
        <v>101.6</v>
      </c>
      <c r="O47" s="100">
        <v>14.97</v>
      </c>
      <c r="P47" s="100">
        <v>17.16</v>
      </c>
      <c r="Q47" s="100"/>
      <c r="R47" s="100"/>
      <c r="S47" s="100"/>
      <c r="T47" s="100"/>
      <c r="U47" s="100"/>
      <c r="V47" s="100">
        <v>9.06</v>
      </c>
      <c r="W47" s="100">
        <v>108.95</v>
      </c>
      <c r="X47" s="100">
        <v>15.47</v>
      </c>
      <c r="Y47" s="100">
        <v>3.46</v>
      </c>
      <c r="Z47" s="101">
        <v>2.96</v>
      </c>
    </row>
    <row r="48" spans="1:26" ht="15" customHeight="1" x14ac:dyDescent="0.25">
      <c r="A48" s="72" t="str">
        <f t="shared" si="14"/>
        <v>SIGMA400x2,5</v>
      </c>
      <c r="B48" s="11" t="str">
        <f t="shared" si="20"/>
        <v>400</v>
      </c>
      <c r="C48" s="3">
        <f t="shared" si="16"/>
        <v>100</v>
      </c>
      <c r="D48" s="3">
        <f t="shared" si="17"/>
        <v>100</v>
      </c>
      <c r="E48" s="3">
        <f t="shared" si="18"/>
        <v>22</v>
      </c>
      <c r="F48" s="134" t="str">
        <f t="shared" si="19"/>
        <v>SIGMA400</v>
      </c>
      <c r="G48" s="81" t="s">
        <v>122</v>
      </c>
      <c r="H48" s="123">
        <v>2.5</v>
      </c>
      <c r="I48" s="96">
        <v>12.54</v>
      </c>
      <c r="J48" s="96">
        <v>12.27</v>
      </c>
      <c r="K48" s="96">
        <v>3.43</v>
      </c>
      <c r="L48" s="96">
        <v>14</v>
      </c>
      <c r="M48" s="96">
        <v>3167.56</v>
      </c>
      <c r="N48" s="96">
        <v>146.02000000000001</v>
      </c>
      <c r="O48" s="96">
        <v>15.03</v>
      </c>
      <c r="P48" s="96">
        <v>18.309999999999999</v>
      </c>
      <c r="Q48" s="96"/>
      <c r="R48" s="96"/>
      <c r="S48" s="96"/>
      <c r="T48" s="96"/>
      <c r="U48" s="96"/>
      <c r="V48" s="96">
        <v>12.51</v>
      </c>
      <c r="W48" s="96">
        <v>146.33000000000001</v>
      </c>
      <c r="X48" s="96">
        <v>20.54</v>
      </c>
      <c r="Y48" s="96">
        <v>3.42</v>
      </c>
      <c r="Z48" s="97">
        <v>2.88</v>
      </c>
    </row>
    <row r="49" spans="1:26" ht="15" customHeight="1" x14ac:dyDescent="0.25">
      <c r="A49" s="72" t="str">
        <f t="shared" si="14"/>
        <v>SIGMA400x3,0</v>
      </c>
      <c r="B49" s="11" t="str">
        <f t="shared" si="20"/>
        <v>400</v>
      </c>
      <c r="C49" s="3">
        <f t="shared" si="16"/>
        <v>100</v>
      </c>
      <c r="D49" s="3">
        <f t="shared" si="17"/>
        <v>100</v>
      </c>
      <c r="E49" s="3">
        <f t="shared" si="18"/>
        <v>24</v>
      </c>
      <c r="F49" s="134" t="str">
        <f t="shared" si="19"/>
        <v>SIGMA400</v>
      </c>
      <c r="G49" s="81" t="s">
        <v>123</v>
      </c>
      <c r="H49" s="123">
        <v>3</v>
      </c>
      <c r="I49" s="96">
        <v>15.08</v>
      </c>
      <c r="J49" s="96">
        <v>16.25</v>
      </c>
      <c r="K49" s="96">
        <v>3.38</v>
      </c>
      <c r="L49" s="96">
        <v>17.940000000000001</v>
      </c>
      <c r="M49" s="96">
        <v>4046.24</v>
      </c>
      <c r="N49" s="96">
        <v>194.5</v>
      </c>
      <c r="O49" s="96">
        <v>15.01</v>
      </c>
      <c r="P49" s="96">
        <v>19.2</v>
      </c>
      <c r="Q49" s="96"/>
      <c r="R49" s="96"/>
      <c r="S49" s="96"/>
      <c r="T49" s="96"/>
      <c r="U49" s="96"/>
      <c r="V49" s="96">
        <v>16.25</v>
      </c>
      <c r="W49" s="96">
        <v>186.02</v>
      </c>
      <c r="X49" s="96">
        <v>25.89</v>
      </c>
      <c r="Y49" s="96">
        <v>3.38</v>
      </c>
      <c r="Z49" s="97">
        <v>2.82</v>
      </c>
    </row>
    <row r="50" spans="1:26" ht="15" customHeight="1" x14ac:dyDescent="0.25">
      <c r="A50" s="72" t="str">
        <f t="shared" si="14"/>
        <v>SIGMA400x3,5</v>
      </c>
      <c r="B50" s="11" t="str">
        <f t="shared" si="20"/>
        <v>400</v>
      </c>
      <c r="C50" s="3">
        <f t="shared" si="16"/>
        <v>100</v>
      </c>
      <c r="D50" s="3">
        <f t="shared" si="17"/>
        <v>100</v>
      </c>
      <c r="E50" s="3">
        <f t="shared" si="18"/>
        <v>26</v>
      </c>
      <c r="F50" s="134" t="str">
        <f t="shared" si="19"/>
        <v>SIGMA400</v>
      </c>
      <c r="G50" s="81" t="s">
        <v>124</v>
      </c>
      <c r="H50" s="123">
        <v>3.5</v>
      </c>
      <c r="I50" s="96">
        <v>17.64</v>
      </c>
      <c r="J50" s="96">
        <v>19.96</v>
      </c>
      <c r="K50" s="96">
        <v>3.36</v>
      </c>
      <c r="L50" s="96">
        <v>21.79</v>
      </c>
      <c r="M50" s="96">
        <v>4835.1899999999996</v>
      </c>
      <c r="N50" s="96">
        <v>237.45</v>
      </c>
      <c r="O50" s="96">
        <v>14.89</v>
      </c>
      <c r="P50" s="96">
        <v>19.64</v>
      </c>
      <c r="Q50" s="96"/>
      <c r="R50" s="96"/>
      <c r="S50" s="96"/>
      <c r="T50" s="96"/>
      <c r="U50" s="96"/>
      <c r="V50" s="96">
        <v>19.96</v>
      </c>
      <c r="W50" s="96">
        <v>226.34</v>
      </c>
      <c r="X50" s="96">
        <v>31.18</v>
      </c>
      <c r="Y50" s="96">
        <v>3.36</v>
      </c>
      <c r="Z50" s="97">
        <v>2.74</v>
      </c>
    </row>
    <row r="51" spans="1:26" ht="15" customHeight="1" thickBot="1" x14ac:dyDescent="0.3">
      <c r="A51" s="73" t="str">
        <f t="shared" si="14"/>
        <v>SIGMA400x4,0</v>
      </c>
      <c r="B51" s="12" t="str">
        <f t="shared" si="20"/>
        <v>400</v>
      </c>
      <c r="C51" s="5">
        <f t="shared" si="16"/>
        <v>100</v>
      </c>
      <c r="D51" s="5">
        <f t="shared" si="17"/>
        <v>100</v>
      </c>
      <c r="E51" s="5">
        <f t="shared" si="18"/>
        <v>28</v>
      </c>
      <c r="F51" s="135" t="str">
        <f t="shared" si="19"/>
        <v>SIGMA400</v>
      </c>
      <c r="G51" s="82" t="s">
        <v>125</v>
      </c>
      <c r="H51" s="124">
        <v>4</v>
      </c>
      <c r="I51" s="98">
        <v>20.21</v>
      </c>
      <c r="J51" s="98">
        <v>23.85</v>
      </c>
      <c r="K51" s="98">
        <v>3.35</v>
      </c>
      <c r="L51" s="98">
        <v>25.75</v>
      </c>
      <c r="M51" s="98">
        <v>5635.84</v>
      </c>
      <c r="N51" s="98">
        <v>281.79000000000002</v>
      </c>
      <c r="O51" s="98">
        <v>14.79</v>
      </c>
      <c r="P51" s="98">
        <v>20</v>
      </c>
      <c r="Q51" s="98"/>
      <c r="R51" s="98"/>
      <c r="S51" s="98"/>
      <c r="T51" s="98"/>
      <c r="U51" s="98"/>
      <c r="V51" s="98">
        <v>23.85</v>
      </c>
      <c r="W51" s="98">
        <v>267.88</v>
      </c>
      <c r="X51" s="98">
        <v>36.64</v>
      </c>
      <c r="Y51" s="98">
        <v>3.35</v>
      </c>
      <c r="Z51" s="99">
        <v>2.69</v>
      </c>
    </row>
    <row r="52" spans="1:26" ht="15" customHeight="1" x14ac:dyDescent="0.25">
      <c r="F52" s="241"/>
    </row>
  </sheetData>
  <mergeCells count="33">
    <mergeCell ref="F4:G6"/>
    <mergeCell ref="A4:A10"/>
    <mergeCell ref="B4:B10"/>
    <mergeCell ref="C4:C10"/>
    <mergeCell ref="D4:D10"/>
    <mergeCell ref="E4:E10"/>
    <mergeCell ref="F7:F10"/>
    <mergeCell ref="G7:G10"/>
    <mergeCell ref="N7:N8"/>
    <mergeCell ref="H4:H10"/>
    <mergeCell ref="I4:I9"/>
    <mergeCell ref="J4:K6"/>
    <mergeCell ref="L4:Z4"/>
    <mergeCell ref="L5:U5"/>
    <mergeCell ref="V5:Z6"/>
    <mergeCell ref="L6:P6"/>
    <mergeCell ref="Q6:U6"/>
    <mergeCell ref="J7:J8"/>
    <mergeCell ref="K7:K8"/>
    <mergeCell ref="L7:L8"/>
    <mergeCell ref="M7:M8"/>
    <mergeCell ref="Z7:Z8"/>
    <mergeCell ref="O7:O8"/>
    <mergeCell ref="P7:P8"/>
    <mergeCell ref="V7:V8"/>
    <mergeCell ref="W7:W8"/>
    <mergeCell ref="X7:X8"/>
    <mergeCell ref="Y7:Y8"/>
    <mergeCell ref="Q7:Q8"/>
    <mergeCell ref="R7:R8"/>
    <mergeCell ref="S7:S8"/>
    <mergeCell ref="T7:T8"/>
    <mergeCell ref="U7:U8"/>
  </mergeCells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5"/>
  <sheetViews>
    <sheetView zoomScale="70" zoomScaleNormal="70" workbookViewId="0"/>
  </sheetViews>
  <sheetFormatPr defaultColWidth="8.85546875" defaultRowHeight="15" customHeight="1" x14ac:dyDescent="0.25"/>
  <cols>
    <col min="1" max="1" width="12.7109375" style="195" customWidth="1"/>
    <col min="2" max="5" width="6.7109375" style="195" customWidth="1"/>
    <col min="6" max="6" width="8.7109375" style="195" customWidth="1"/>
    <col min="7" max="7" width="15.7109375" style="195" customWidth="1"/>
    <col min="8" max="26" width="8.7109375" style="195" customWidth="1"/>
    <col min="27" max="16384" width="8.85546875" style="195"/>
  </cols>
  <sheetData>
    <row r="1" spans="1:45" ht="15" customHeight="1" thickBot="1" x14ac:dyDescent="0.3">
      <c r="A1" s="110">
        <v>390</v>
      </c>
    </row>
    <row r="2" spans="1:45" ht="15" customHeight="1" thickBot="1" x14ac:dyDescent="0.3">
      <c r="A2" s="79" t="str">
        <f>Сводная!A26</f>
        <v>SIGMA350x3,5</v>
      </c>
      <c r="B2" s="93" t="str">
        <f>INDEX(B11:B51,MATCH($A$2,$A$11:$A$51))</f>
        <v>350</v>
      </c>
      <c r="C2" s="105">
        <f t="shared" ref="C2:Z2" si="0">INDEX(C11:C51,MATCH($A$2,$A$11:$A$51))</f>
        <v>100</v>
      </c>
      <c r="D2" s="105">
        <f t="shared" si="0"/>
        <v>100</v>
      </c>
      <c r="E2" s="105">
        <f t="shared" si="0"/>
        <v>26</v>
      </c>
      <c r="F2" s="93" t="str">
        <f t="shared" si="0"/>
        <v>SIGMA350</v>
      </c>
      <c r="G2" s="93" t="str">
        <f t="shared" si="0"/>
        <v>350/100/100/26</v>
      </c>
      <c r="H2" s="105">
        <f t="shared" si="0"/>
        <v>3.5</v>
      </c>
      <c r="I2" s="103">
        <f t="shared" si="0"/>
        <v>16.260000000000002</v>
      </c>
      <c r="J2" s="103">
        <f t="shared" si="0"/>
        <v>19.21</v>
      </c>
      <c r="K2" s="103">
        <f t="shared" si="0"/>
        <v>3.3857142857142857</v>
      </c>
      <c r="L2" s="103">
        <f t="shared" si="0"/>
        <v>20.507142857142856</v>
      </c>
      <c r="M2" s="103">
        <f t="shared" si="0"/>
        <v>3558.31</v>
      </c>
      <c r="N2" s="103">
        <f t="shared" si="0"/>
        <v>202.06</v>
      </c>
      <c r="O2" s="103">
        <f t="shared" si="0"/>
        <v>13.168571428571429</v>
      </c>
      <c r="P2" s="103">
        <f>INDEX(P11:P51,MATCH($A$2,$A$11:$A$51))</f>
        <v>17.39142857142857</v>
      </c>
      <c r="Q2" s="103">
        <f t="shared" si="0"/>
        <v>0</v>
      </c>
      <c r="R2" s="103">
        <f t="shared" si="0"/>
        <v>0</v>
      </c>
      <c r="S2" s="103">
        <f t="shared" si="0"/>
        <v>0</v>
      </c>
      <c r="T2" s="103">
        <f t="shared" si="0"/>
        <v>0</v>
      </c>
      <c r="U2" s="103">
        <f t="shared" si="0"/>
        <v>0</v>
      </c>
      <c r="V2" s="103">
        <f t="shared" si="0"/>
        <v>19.21</v>
      </c>
      <c r="W2" s="103">
        <f t="shared" si="0"/>
        <v>221.16571428571427</v>
      </c>
      <c r="X2" s="103">
        <f t="shared" si="0"/>
        <v>30.901428571428571</v>
      </c>
      <c r="Y2" s="103">
        <f t="shared" si="0"/>
        <v>3.3857142857142857</v>
      </c>
      <c r="Z2" s="104">
        <f t="shared" si="0"/>
        <v>2.84</v>
      </c>
    </row>
    <row r="3" spans="1:45" ht="15" customHeight="1" thickBot="1" x14ac:dyDescent="0.3"/>
    <row r="4" spans="1:45" ht="15" customHeight="1" x14ac:dyDescent="0.25">
      <c r="A4" s="347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12" t="s">
        <v>0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45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45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57"/>
    </row>
    <row r="7" spans="1:45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/>
      <c r="R7" s="364"/>
      <c r="S7" s="364"/>
      <c r="T7" s="364"/>
      <c r="U7" s="364"/>
      <c r="V7" s="364" t="s">
        <v>21</v>
      </c>
      <c r="W7" s="364" t="s">
        <v>19</v>
      </c>
      <c r="X7" s="364" t="s">
        <v>156</v>
      </c>
      <c r="Y7" s="364" t="s">
        <v>20</v>
      </c>
      <c r="Z7" s="400" t="s">
        <v>168</v>
      </c>
    </row>
    <row r="8" spans="1:45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401"/>
    </row>
    <row r="9" spans="1:45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/>
      <c r="R9" s="154"/>
      <c r="S9" s="154"/>
      <c r="T9" s="154"/>
      <c r="U9" s="154"/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45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/>
      <c r="R10" s="156"/>
      <c r="S10" s="156"/>
      <c r="T10" s="156"/>
      <c r="U10" s="156"/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45" ht="15" customHeight="1" thickBot="1" x14ac:dyDescent="0.3">
      <c r="A11" s="144" t="str">
        <f t="shared" ref="A11:A14" si="1">CONCATENATE(F11,"x",(IF(H11=INT(H11),CONCATENATE(H11,",",0),H11)))</f>
        <v>SIGMA140x1,0</v>
      </c>
      <c r="B11" s="145" t="str">
        <f t="shared" ref="B11:B14" si="2">LEFT(G11,3)</f>
        <v>140</v>
      </c>
      <c r="C11" s="146">
        <f t="shared" ref="C11:C14" si="3">VALUE(MID(G11,(SEARCH("/",G11,1)+1),(SEARCH("/",G11,(SEARCH("/",G11,1)+1))-SEARCH("/",G11,1)-1)))</f>
        <v>55</v>
      </c>
      <c r="D11" s="146">
        <f t="shared" ref="D11:D14" si="4">VALUE(MID(G11,(SEARCH("/",G11,(SEARCH("/",G11,1)+1))+1),(SEARCH("/",G11,SEARCH("/",G11,(SEARCH("/",G11,1)+1))+1))-(SEARCH("/",G11,(SEARCH("/",G11,1)+1))+1)))</f>
        <v>55</v>
      </c>
      <c r="E11" s="146">
        <f t="shared" ref="E11:E14" si="5">VALUE(MID(G11,(SEARCH("/",G11,SEARCH("/",G11,(SEARCH("/",G11,1)+1))+1)+1),4))</f>
        <v>18</v>
      </c>
      <c r="F11" s="158" t="str">
        <f t="shared" ref="F11:F14" si="6">CONCATENATE("SIGMA",LEFT(G11,3))</f>
        <v>SIGMA140</v>
      </c>
      <c r="G11" s="159" t="s">
        <v>189</v>
      </c>
      <c r="H11" s="160">
        <v>1</v>
      </c>
      <c r="I11" s="161">
        <v>3.6</v>
      </c>
      <c r="J11" s="161">
        <f>S_R_350!J11+(S_R_390!$A$1-S_R_350!$A$1)/(S_R_420!$A$1-S_R_350!$A$1)*(S_R_420!J11-S_R_350!J11)</f>
        <v>2.4942857142857142</v>
      </c>
      <c r="K11" s="161">
        <f>S_R_350!K11+(S_R_390!$A$1-S_R_350!$A$1)/(S_R_420!$A$1-S_R_350!$A$1)*(S_R_420!K11-S_R_350!K11)</f>
        <v>1.9</v>
      </c>
      <c r="L11" s="161">
        <f>S_R_350!L11+(S_R_390!$A$1-S_R_350!$A$1)/(S_R_420!$A$1-S_R_350!$A$1)*(S_R_420!L11-S_R_350!L11)</f>
        <v>2.5814285714285714</v>
      </c>
      <c r="M11" s="161">
        <f>S_R_350!M11+(S_R_390!$A$1-S_R_350!$A$1)/(S_R_420!$A$1-S_R_350!$A$1)*(S_R_420!M11-S_R_350!M11)</f>
        <v>70.248571428571424</v>
      </c>
      <c r="N11" s="161">
        <f>S_R_350!N11+(S_R_390!$A$1-S_R_350!$A$1)/(S_R_420!$A$1-S_R_350!$A$1)*(S_R_420!N11-S_R_350!N11)</f>
        <v>10.030000000000001</v>
      </c>
      <c r="O11" s="161">
        <f>S_R_350!O11+(S_R_390!$A$1-S_R_350!$A$1)/(S_R_420!$A$1-S_R_350!$A$1)*(S_R_420!O11-S_R_350!O11)</f>
        <v>5.2071428571428573</v>
      </c>
      <c r="P11" s="161">
        <f>S_R_350!P11+(S_R_390!$A$1-S_R_350!$A$1)/(S_R_420!$A$1-S_R_350!$A$1)*(S_R_420!P11-S_R_350!P11)</f>
        <v>7</v>
      </c>
      <c r="Q11" s="161"/>
      <c r="R11" s="161"/>
      <c r="S11" s="161"/>
      <c r="T11" s="161"/>
      <c r="U11" s="161"/>
      <c r="V11" s="161">
        <f>S_R_350!V11+(S_R_390!$A$1-S_R_350!$A$1)/(S_R_420!$A$1-S_R_350!$A$1)*(S_R_420!V11-S_R_350!V11)</f>
        <v>2.8085714285714283</v>
      </c>
      <c r="W11" s="161">
        <f>S_R_350!W11+(S_R_390!$A$1-S_R_350!$A$1)/(S_R_420!$A$1-S_R_350!$A$1)*(S_R_420!W11-S_R_350!W11)</f>
        <v>13.842857142857142</v>
      </c>
      <c r="X11" s="161">
        <f>S_R_350!X11+(S_R_390!$A$1-S_R_350!$A$1)/(S_R_420!$A$1-S_R_350!$A$1)*(S_R_420!X11-S_R_350!X11)</f>
        <v>2.8657142857142857</v>
      </c>
      <c r="Y11" s="161">
        <f>S_R_350!Y11+(S_R_390!$A$1-S_R_350!$A$1)/(S_R_420!$A$1-S_R_350!$A$1)*(S_R_420!Y11-S_R_350!Y11)</f>
        <v>2.2142857142857144</v>
      </c>
      <c r="Z11" s="162">
        <f>S_R_350!Z11+(S_R_390!$A$1-S_R_350!$A$1)/(S_R_420!$A$1-S_R_350!$A$1)*(S_R_420!Z11-S_R_350!Z11)</f>
        <v>0.6785714285714286</v>
      </c>
      <c r="AB11" s="221">
        <v>2.35</v>
      </c>
      <c r="AC11" s="221">
        <v>2.54</v>
      </c>
      <c r="AD11" s="221">
        <v>1.9</v>
      </c>
      <c r="AE11" s="221">
        <v>2.61</v>
      </c>
      <c r="AF11" s="221">
        <v>71.62</v>
      </c>
      <c r="AG11" s="221">
        <v>10.23</v>
      </c>
      <c r="AH11" s="221">
        <v>5.23</v>
      </c>
      <c r="AI11" s="221">
        <v>7</v>
      </c>
      <c r="AJ11" s="221"/>
      <c r="AK11" s="221"/>
      <c r="AL11" s="221"/>
      <c r="AM11" s="221"/>
      <c r="AN11" s="221"/>
      <c r="AO11" s="221">
        <v>2.82</v>
      </c>
      <c r="AP11" s="221">
        <v>13.94</v>
      </c>
      <c r="AQ11" s="221">
        <v>2.9</v>
      </c>
      <c r="AR11" s="221">
        <v>2.2200000000000002</v>
      </c>
      <c r="AS11" s="221">
        <v>0.69</v>
      </c>
    </row>
    <row r="12" spans="1:45" ht="15" customHeight="1" thickBot="1" x14ac:dyDescent="0.3">
      <c r="A12" s="224" t="str">
        <f t="shared" si="1"/>
        <v>SIGMA140x1,2</v>
      </c>
      <c r="B12" s="225" t="str">
        <f t="shared" si="2"/>
        <v>140</v>
      </c>
      <c r="C12" s="226">
        <f t="shared" si="3"/>
        <v>55</v>
      </c>
      <c r="D12" s="226">
        <f t="shared" si="4"/>
        <v>55</v>
      </c>
      <c r="E12" s="226">
        <f t="shared" si="5"/>
        <v>18</v>
      </c>
      <c r="F12" s="172" t="str">
        <f t="shared" si="6"/>
        <v>SIGMA140</v>
      </c>
      <c r="G12" s="173" t="s">
        <v>189</v>
      </c>
      <c r="H12" s="223">
        <v>1.2</v>
      </c>
      <c r="I12" s="213">
        <v>3.6</v>
      </c>
      <c r="J12" s="213">
        <f>S_R_350!J12+(S_R_390!$A$1-S_R_350!$A$1)/(S_R_420!$A$1-S_R_350!$A$1)*(S_R_420!J12-S_R_350!J12)</f>
        <v>3.1742857142857144</v>
      </c>
      <c r="K12" s="213">
        <f>S_R_350!K12+(S_R_390!$A$1-S_R_350!$A$1)/(S_R_420!$A$1-S_R_350!$A$1)*(S_R_420!K12-S_R_350!K12)</f>
        <v>1.9042857142857141</v>
      </c>
      <c r="L12" s="213">
        <f>S_R_350!L12+(S_R_390!$A$1-S_R_350!$A$1)/(S_R_420!$A$1-S_R_350!$A$1)*(S_R_420!L12-S_R_350!L12)</f>
        <v>3.2257142857142855</v>
      </c>
      <c r="M12" s="213">
        <f>S_R_350!M12+(S_R_390!$A$1-S_R_350!$A$1)/(S_R_420!$A$1-S_R_350!$A$1)*(S_R_420!M12-S_R_350!M12)</f>
        <v>90.06</v>
      </c>
      <c r="N12" s="213">
        <f>S_R_350!N12+(S_R_390!$A$1-S_R_350!$A$1)/(S_R_420!$A$1-S_R_350!$A$1)*(S_R_420!N12-S_R_350!N12)</f>
        <v>12.86</v>
      </c>
      <c r="O12" s="213">
        <f>S_R_350!O12+(S_R_390!$A$1-S_R_350!$A$1)/(S_R_420!$A$1-S_R_350!$A$1)*(S_R_420!O12-S_R_350!O12)</f>
        <v>5.2771428571428567</v>
      </c>
      <c r="P12" s="213">
        <f>S_R_350!P12+(S_R_390!$A$1-S_R_350!$A$1)/(S_R_420!$A$1-S_R_350!$A$1)*(S_R_420!P12-S_R_350!P12)</f>
        <v>7</v>
      </c>
      <c r="Q12" s="213"/>
      <c r="R12" s="213"/>
      <c r="S12" s="213"/>
      <c r="T12" s="213"/>
      <c r="U12" s="213"/>
      <c r="V12" s="213">
        <f>S_R_350!V12+(S_R_390!$A$1-S_R_350!$A$1)/(S_R_420!$A$1-S_R_350!$A$1)*(S_R_420!V12-S_R_350!V12)</f>
        <v>3.3985714285714286</v>
      </c>
      <c r="W12" s="213">
        <f>S_R_350!W12+(S_R_390!$A$1-S_R_350!$A$1)/(S_R_420!$A$1-S_R_350!$A$1)*(S_R_420!W12-S_R_350!W12)</f>
        <v>15.432857142857143</v>
      </c>
      <c r="X12" s="213">
        <f>S_R_350!X12+(S_R_390!$A$1-S_R_350!$A$1)/(S_R_420!$A$1-S_R_350!$A$1)*(S_R_420!X12-S_R_350!X12)</f>
        <v>3.39</v>
      </c>
      <c r="Y12" s="213">
        <f>S_R_350!Y12+(S_R_390!$A$1-S_R_350!$A$1)/(S_R_420!$A$1-S_R_350!$A$1)*(S_R_420!Y12-S_R_350!Y12)</f>
        <v>2.1242857142857141</v>
      </c>
      <c r="Z12" s="214">
        <f>S_R_350!Z12+(S_R_390!$A$1-S_R_350!$A$1)/(S_R_420!$A$1-S_R_350!$A$1)*(S_R_420!Z12-S_R_350!Z12)</f>
        <v>0.95285714285714285</v>
      </c>
      <c r="AB12" s="221">
        <v>2.79</v>
      </c>
      <c r="AC12" s="221">
        <v>3.22</v>
      </c>
      <c r="AD12" s="221">
        <v>1.91</v>
      </c>
      <c r="AE12" s="221">
        <v>3.26</v>
      </c>
      <c r="AF12" s="221">
        <v>91.74</v>
      </c>
      <c r="AG12" s="221">
        <v>13.1</v>
      </c>
      <c r="AH12" s="221">
        <v>5.3</v>
      </c>
      <c r="AI12" s="221">
        <v>7</v>
      </c>
      <c r="AJ12" s="221"/>
      <c r="AK12" s="221"/>
      <c r="AL12" s="221"/>
      <c r="AM12" s="221"/>
      <c r="AN12" s="221"/>
      <c r="AO12" s="221">
        <v>3.41</v>
      </c>
      <c r="AP12" s="221">
        <v>15.57</v>
      </c>
      <c r="AQ12" s="221">
        <v>3.43</v>
      </c>
      <c r="AR12" s="221">
        <v>2.13</v>
      </c>
      <c r="AS12" s="221">
        <v>0.97</v>
      </c>
    </row>
    <row r="13" spans="1:45" ht="15" customHeight="1" thickBot="1" x14ac:dyDescent="0.3">
      <c r="A13" s="144" t="str">
        <f t="shared" si="1"/>
        <v>SIGMA160x1,0</v>
      </c>
      <c r="B13" s="145" t="str">
        <f t="shared" si="2"/>
        <v>160</v>
      </c>
      <c r="C13" s="146">
        <f t="shared" si="3"/>
        <v>55</v>
      </c>
      <c r="D13" s="146">
        <f t="shared" si="4"/>
        <v>55</v>
      </c>
      <c r="E13" s="146">
        <f t="shared" si="5"/>
        <v>18</v>
      </c>
      <c r="F13" s="158" t="str">
        <f t="shared" si="6"/>
        <v>SIGMA160</v>
      </c>
      <c r="G13" s="159" t="s">
        <v>93</v>
      </c>
      <c r="H13" s="160">
        <v>1</v>
      </c>
      <c r="I13" s="161">
        <v>3.6</v>
      </c>
      <c r="J13" s="161">
        <f>S_R_350!J13+(S_R_390!$A$1-S_R_350!$A$1)/(S_R_420!$A$1-S_R_350!$A$1)*(S_R_420!J13-S_R_350!J13)</f>
        <v>2.5928571428571425</v>
      </c>
      <c r="K13" s="161">
        <f>S_R_350!K13+(S_R_390!$A$1-S_R_350!$A$1)/(S_R_420!$A$1-S_R_350!$A$1)*(S_R_420!K13-S_R_350!K13)</f>
        <v>1.95</v>
      </c>
      <c r="L13" s="161">
        <f>S_R_350!L13+(S_R_390!$A$1-S_R_350!$A$1)/(S_R_420!$A$1-S_R_350!$A$1)*(S_R_420!L13-S_R_350!L13)</f>
        <v>2.7728571428571427</v>
      </c>
      <c r="M13" s="161">
        <f>S_R_350!M13+(S_R_390!$A$1-S_R_350!$A$1)/(S_R_420!$A$1-S_R_350!$A$1)*(S_R_420!M13-S_R_350!M13)</f>
        <v>96.491428571428571</v>
      </c>
      <c r="N13" s="161">
        <f>S_R_350!N13+(S_R_390!$A$1-S_R_350!$A$1)/(S_R_420!$A$1-S_R_350!$A$1)*(S_R_420!N13-S_R_350!N13)</f>
        <v>12.061428571428571</v>
      </c>
      <c r="O13" s="161">
        <f>S_R_350!O13+(S_R_390!$A$1-S_R_350!$A$1)/(S_R_420!$A$1-S_R_350!$A$1)*(S_R_420!O13-S_R_350!O13)</f>
        <v>5.887142857142857</v>
      </c>
      <c r="P13" s="161">
        <f>S_R_350!P13+(S_R_390!$A$1-S_R_350!$A$1)/(S_R_420!$A$1-S_R_350!$A$1)*(S_R_420!P13-S_R_350!P13)</f>
        <v>8</v>
      </c>
      <c r="Q13" s="161"/>
      <c r="R13" s="161"/>
      <c r="S13" s="161"/>
      <c r="T13" s="161"/>
      <c r="U13" s="161"/>
      <c r="V13" s="161">
        <f>S_R_350!V13+(S_R_390!$A$1-S_R_350!$A$1)/(S_R_420!$A$1-S_R_350!$A$1)*(S_R_420!V13-S_R_350!V13)</f>
        <v>2.9471428571428575</v>
      </c>
      <c r="W13" s="161">
        <f>S_R_350!W13+(S_R_390!$A$1-S_R_350!$A$1)/(S_R_420!$A$1-S_R_350!$A$1)*(S_R_420!W13-S_R_350!W13)</f>
        <v>11.148571428571429</v>
      </c>
      <c r="X13" s="161">
        <f>S_R_350!X13+(S_R_390!$A$1-S_R_350!$A$1)/(S_R_420!$A$1-S_R_350!$A$1)*(S_R_420!X13-S_R_350!X13)</f>
        <v>3.1685714285714286</v>
      </c>
      <c r="Y13" s="161">
        <f>S_R_350!Y13+(S_R_390!$A$1-S_R_350!$A$1)/(S_R_420!$A$1-S_R_350!$A$1)*(S_R_420!Y13-S_R_350!Y13)</f>
        <v>1.94</v>
      </c>
      <c r="Z13" s="162">
        <f>S_R_350!Z13+(S_R_390!$A$1-S_R_350!$A$1)/(S_R_420!$A$1-S_R_350!$A$1)*(S_R_420!Z13-S_R_350!Z13)</f>
        <v>1.9871428571428571</v>
      </c>
      <c r="AB13" s="221">
        <v>2.5099999999999998</v>
      </c>
      <c r="AC13" s="221">
        <v>2.65</v>
      </c>
      <c r="AD13" s="221">
        <v>1.95</v>
      </c>
      <c r="AE13" s="221">
        <v>2.83</v>
      </c>
      <c r="AF13" s="221">
        <v>99.28</v>
      </c>
      <c r="AG13" s="221">
        <v>12.41</v>
      </c>
      <c r="AH13" s="221">
        <v>5.91</v>
      </c>
      <c r="AI13" s="221">
        <v>8</v>
      </c>
      <c r="AJ13" s="221"/>
      <c r="AK13" s="221"/>
      <c r="AL13" s="221"/>
      <c r="AM13" s="221"/>
      <c r="AN13" s="221"/>
      <c r="AO13" s="221">
        <v>2.97</v>
      </c>
      <c r="AP13" s="221">
        <v>11.24</v>
      </c>
      <c r="AQ13" s="221">
        <v>3.18</v>
      </c>
      <c r="AR13" s="221">
        <v>1.94</v>
      </c>
      <c r="AS13" s="221">
        <v>1.97</v>
      </c>
    </row>
    <row r="14" spans="1:45" ht="15" customHeight="1" thickBot="1" x14ac:dyDescent="0.3">
      <c r="A14" s="147" t="str">
        <f t="shared" si="1"/>
        <v>SIGMA160x1,2</v>
      </c>
      <c r="B14" s="148" t="str">
        <f t="shared" si="2"/>
        <v>160</v>
      </c>
      <c r="C14" s="149">
        <f t="shared" si="3"/>
        <v>55</v>
      </c>
      <c r="D14" s="149">
        <f t="shared" si="4"/>
        <v>55</v>
      </c>
      <c r="E14" s="149">
        <f t="shared" si="5"/>
        <v>18</v>
      </c>
      <c r="F14" s="154" t="str">
        <f t="shared" si="6"/>
        <v>SIGMA160</v>
      </c>
      <c r="G14" s="155" t="s">
        <v>93</v>
      </c>
      <c r="H14" s="164">
        <v>1.2</v>
      </c>
      <c r="I14" s="165">
        <v>3.6</v>
      </c>
      <c r="J14" s="165">
        <f>S_R_350!J14+(S_R_390!$A$1-S_R_350!$A$1)/(S_R_420!$A$1-S_R_350!$A$1)*(S_R_420!J14-S_R_350!J14)</f>
        <v>3.3757142857142859</v>
      </c>
      <c r="K14" s="165">
        <f>S_R_350!K14+(S_R_390!$A$1-S_R_350!$A$1)/(S_R_420!$A$1-S_R_350!$A$1)*(S_R_420!K14-S_R_350!K14)</f>
        <v>1.95</v>
      </c>
      <c r="L14" s="165">
        <f>S_R_350!L14+(S_R_390!$A$1-S_R_350!$A$1)/(S_R_420!$A$1-S_R_350!$A$1)*(S_R_420!L14-S_R_350!L14)</f>
        <v>3.4857142857142858</v>
      </c>
      <c r="M14" s="165">
        <f>S_R_350!M14+(S_R_390!$A$1-S_R_350!$A$1)/(S_R_420!$A$1-S_R_350!$A$1)*(S_R_420!M14-S_R_350!M14)</f>
        <v>124.53</v>
      </c>
      <c r="N14" s="165">
        <f>S_R_350!N14+(S_R_390!$A$1-S_R_350!$A$1)/(S_R_420!$A$1-S_R_350!$A$1)*(S_R_420!N14-S_R_350!N14)</f>
        <v>15.565714285714286</v>
      </c>
      <c r="O14" s="165">
        <f>S_R_350!O14+(S_R_390!$A$1-S_R_350!$A$1)/(S_R_420!$A$1-S_R_350!$A$1)*(S_R_420!O14-S_R_350!O14)</f>
        <v>5.9671428571428571</v>
      </c>
      <c r="P14" s="165">
        <f>S_R_350!P14+(S_R_390!$A$1-S_R_350!$A$1)/(S_R_420!$A$1-S_R_350!$A$1)*(S_R_420!P14-S_R_350!P14)</f>
        <v>8</v>
      </c>
      <c r="Q14" s="165"/>
      <c r="R14" s="165"/>
      <c r="S14" s="165"/>
      <c r="T14" s="165"/>
      <c r="U14" s="165"/>
      <c r="V14" s="165">
        <f>S_R_350!V14+(S_R_390!$A$1-S_R_350!$A$1)/(S_R_420!$A$1-S_R_350!$A$1)*(S_R_420!V14-S_R_350!V14)</f>
        <v>3.6271428571428572</v>
      </c>
      <c r="W14" s="165">
        <f>S_R_350!W14+(S_R_390!$A$1-S_R_350!$A$1)/(S_R_420!$A$1-S_R_350!$A$1)*(S_R_420!W14-S_R_350!W14)</f>
        <v>15.040000000000001</v>
      </c>
      <c r="X14" s="165">
        <f>S_R_350!X14+(S_R_390!$A$1-S_R_350!$A$1)/(S_R_420!$A$1-S_R_350!$A$1)*(S_R_420!X14-S_R_350!X14)</f>
        <v>3.7714285714285714</v>
      </c>
      <c r="Y14" s="165">
        <f>S_R_350!Y14+(S_R_390!$A$1-S_R_350!$A$1)/(S_R_420!$A$1-S_R_350!$A$1)*(S_R_420!Y14-S_R_350!Y14)</f>
        <v>2.0299999999999998</v>
      </c>
      <c r="Z14" s="166">
        <f>S_R_350!Z14+(S_R_390!$A$1-S_R_350!$A$1)/(S_R_420!$A$1-S_R_350!$A$1)*(S_R_420!Z14-S_R_350!Z14)</f>
        <v>1.5042857142857144</v>
      </c>
      <c r="AB14" s="221">
        <v>2.99</v>
      </c>
      <c r="AC14" s="221">
        <v>3.45</v>
      </c>
      <c r="AD14" s="221">
        <v>1.95</v>
      </c>
      <c r="AE14" s="221">
        <v>3.52</v>
      </c>
      <c r="AF14" s="221">
        <v>126.73</v>
      </c>
      <c r="AG14" s="221">
        <v>15.84</v>
      </c>
      <c r="AH14" s="221">
        <v>5.99</v>
      </c>
      <c r="AI14" s="221">
        <v>8</v>
      </c>
      <c r="AJ14" s="221"/>
      <c r="AK14" s="221"/>
      <c r="AL14" s="221"/>
      <c r="AM14" s="221"/>
      <c r="AN14" s="221"/>
      <c r="AO14" s="221">
        <v>3.65</v>
      </c>
      <c r="AP14" s="221">
        <v>16.920000000000002</v>
      </c>
      <c r="AQ14" s="221">
        <v>3.68</v>
      </c>
      <c r="AR14" s="221">
        <v>2.15</v>
      </c>
      <c r="AS14" s="221">
        <v>0.91</v>
      </c>
    </row>
    <row r="15" spans="1:45" ht="15" customHeight="1" thickBot="1" x14ac:dyDescent="0.3">
      <c r="A15" s="72" t="str">
        <f>CONCATENATE(F15,"x",(IF(H15=INT(H15),CONCATENATE(H15,",",0),H15)))</f>
        <v>SIGMA160x1,5</v>
      </c>
      <c r="B15" s="11" t="str">
        <f>LEFT(G15,3)</f>
        <v>160</v>
      </c>
      <c r="C15" s="3">
        <f>VALUE(MID(G15,(SEARCH("/",G15,1)+1),(SEARCH("/",G15,(SEARCH("/",G15,1)+1))-SEARCH("/",G15,1)-1)))</f>
        <v>55</v>
      </c>
      <c r="D15" s="3">
        <f>VALUE(MID(G15,(SEARCH("/",G15,(SEARCH("/",G15,1)+1))+1),(SEARCH("/",G15,SEARCH("/",G15,(SEARCH("/",G15,1)+1))+1))-(SEARCH("/",G15,(SEARCH("/",G15,1)+1))+1)))</f>
        <v>55</v>
      </c>
      <c r="E15" s="3">
        <f>VALUE(MID(G15,(SEARCH("/",G15,SEARCH("/",G15,(SEARCH("/",G15,1)+1))+1)+1),4))</f>
        <v>18</v>
      </c>
      <c r="F15" s="134" t="str">
        <f>CONCATENATE("SIGMA",LEFT(G15,3))</f>
        <v>SIGMA160</v>
      </c>
      <c r="G15" s="81" t="s">
        <v>93</v>
      </c>
      <c r="H15" s="123">
        <v>1.5</v>
      </c>
      <c r="I15" s="96">
        <v>3.6</v>
      </c>
      <c r="J15" s="96">
        <f>S_R_350!J15+(S_R_390!$A$1-S_R_350!$A$1)/(S_R_420!$A$1-S_R_350!$A$1)*(S_R_420!J15-S_R_350!J15)</f>
        <v>4.4728571428571424</v>
      </c>
      <c r="K15" s="96">
        <f>S_R_350!K15+(S_R_390!$A$1-S_R_350!$A$1)/(S_R_420!$A$1-S_R_350!$A$1)*(S_R_420!K15-S_R_350!K15)</f>
        <v>1.8557142857142859</v>
      </c>
      <c r="L15" s="96">
        <f>S_R_350!L15+(S_R_390!$A$1-S_R_350!$A$1)/(S_R_420!$A$1-S_R_350!$A$1)*(S_R_420!L15-S_R_350!L15)</f>
        <v>4.4357142857142859</v>
      </c>
      <c r="M15" s="96">
        <f>S_R_350!M15+(S_R_390!$A$1-S_R_350!$A$1)/(S_R_420!$A$1-S_R_350!$A$1)*(S_R_420!M15-S_R_350!M15)</f>
        <v>164.64857142857144</v>
      </c>
      <c r="N15" s="96">
        <f>S_R_350!N15+(S_R_390!$A$1-S_R_350!$A$1)/(S_R_420!$A$1-S_R_350!$A$1)*(S_R_420!N15-S_R_350!N15)</f>
        <v>20.088571428571431</v>
      </c>
      <c r="O15" s="96">
        <f>S_R_350!O15+(S_R_390!$A$1-S_R_350!$A$1)/(S_R_420!$A$1-S_R_350!$A$1)*(S_R_420!O15-S_R_350!O15)</f>
        <v>6.0857142857142854</v>
      </c>
      <c r="P15" s="96">
        <f>S_R_350!P15+(S_R_390!$A$1-S_R_350!$A$1)/(S_R_420!$A$1-S_R_350!$A$1)*(S_R_420!P15-S_R_350!P15)</f>
        <v>7.8085714285714287</v>
      </c>
      <c r="Q15" s="96"/>
      <c r="R15" s="96"/>
      <c r="S15" s="96"/>
      <c r="T15" s="96"/>
      <c r="U15" s="96"/>
      <c r="V15" s="96">
        <f>S_R_350!V15+(S_R_390!$A$1-S_R_350!$A$1)/(S_R_420!$A$1-S_R_350!$A$1)*(S_R_420!V15-S_R_350!V15)</f>
        <v>4.5257142857142858</v>
      </c>
      <c r="W15" s="96">
        <f>S_R_350!W15+(S_R_390!$A$1-S_R_350!$A$1)/(S_R_420!$A$1-S_R_350!$A$1)*(S_R_420!W15-S_R_350!W15)</f>
        <v>15.511428571428572</v>
      </c>
      <c r="X15" s="96">
        <f>S_R_350!X15+(S_R_390!$A$1-S_R_350!$A$1)/(S_R_420!$A$1-S_R_350!$A$1)*(S_R_420!X15-S_R_350!X15)</f>
        <v>4.3071428571428569</v>
      </c>
      <c r="Y15" s="96">
        <f>S_R_350!Y15+(S_R_390!$A$1-S_R_350!$A$1)/(S_R_420!$A$1-S_R_350!$A$1)*(S_R_420!Y15-S_R_350!Y15)</f>
        <v>1.8457142857142859</v>
      </c>
      <c r="Z15" s="97">
        <f>S_R_350!Z15+(S_R_390!$A$1-S_R_350!$A$1)/(S_R_420!$A$1-S_R_350!$A$1)*(S_R_420!Z15-S_R_350!Z15)</f>
        <v>1.9</v>
      </c>
      <c r="AB15" s="219">
        <v>3.6</v>
      </c>
      <c r="AC15" s="219">
        <v>4.43</v>
      </c>
      <c r="AD15" s="219">
        <v>1.85</v>
      </c>
      <c r="AE15" s="219">
        <v>4.43</v>
      </c>
      <c r="AF15" s="219">
        <v>163.47</v>
      </c>
      <c r="AG15" s="219">
        <v>20.079999999999998</v>
      </c>
      <c r="AH15" s="219">
        <v>6.07</v>
      </c>
      <c r="AI15" s="219">
        <v>7.8</v>
      </c>
      <c r="AJ15" s="221"/>
      <c r="AK15" s="221"/>
      <c r="AL15" s="221"/>
      <c r="AM15" s="221"/>
      <c r="AN15" s="221"/>
      <c r="AO15" s="220">
        <v>4.5199999999999996</v>
      </c>
      <c r="AP15" s="220">
        <v>15.51</v>
      </c>
      <c r="AQ15" s="220">
        <v>4.3</v>
      </c>
      <c r="AR15" s="220">
        <v>1.84</v>
      </c>
      <c r="AS15" s="220">
        <v>1.9</v>
      </c>
    </row>
    <row r="16" spans="1:45" ht="15" customHeight="1" thickBot="1" x14ac:dyDescent="0.3">
      <c r="A16" s="72" t="str">
        <f t="shared" ref="A16:A38" si="7">CONCATENATE(F16,"x",(IF(H16=INT(H16),CONCATENATE(H16,",",0),H16)))</f>
        <v>SIGMA160x2,0</v>
      </c>
      <c r="B16" s="11" t="str">
        <f t="shared" ref="B16:B28" si="8">LEFT(G16,3)</f>
        <v>160</v>
      </c>
      <c r="C16" s="3">
        <f t="shared" ref="C16:C38" si="9">VALUE(MID(G16,(SEARCH("/",G16,1)+1),(SEARCH("/",G16,(SEARCH("/",G16,1)+1))-SEARCH("/",G16,1)-1)))</f>
        <v>55</v>
      </c>
      <c r="D16" s="3">
        <f t="shared" ref="D16:D38" si="10">VALUE(MID(G16,(SEARCH("/",G16,(SEARCH("/",G16,1)+1))+1),(SEARCH("/",G16,SEARCH("/",G16,(SEARCH("/",G16,1)+1))+1))-(SEARCH("/",G16,(SEARCH("/",G16,1)+1))+1)))</f>
        <v>55</v>
      </c>
      <c r="E16" s="3">
        <f t="shared" ref="E16:E38" si="11">VALUE(MID(G16,(SEARCH("/",G16,SEARCH("/",G16,(SEARCH("/",G16,1)+1))+1)+1),4))</f>
        <v>20</v>
      </c>
      <c r="F16" s="134" t="str">
        <f t="shared" ref="F16:F38" si="12">CONCATENATE("SIGMA",LEFT(G16,3))</f>
        <v>SIGMA160</v>
      </c>
      <c r="G16" s="81" t="s">
        <v>94</v>
      </c>
      <c r="H16" s="123">
        <v>2</v>
      </c>
      <c r="I16" s="96">
        <v>4.83</v>
      </c>
      <c r="J16" s="96">
        <f>S_R_350!J16+(S_R_390!$A$1-S_R_350!$A$1)/(S_R_420!$A$1-S_R_350!$A$1)*(S_R_420!J16-S_R_350!J16)</f>
        <v>6.15</v>
      </c>
      <c r="K16" s="96">
        <f>S_R_350!K16+(S_R_390!$A$1-S_R_350!$A$1)/(S_R_420!$A$1-S_R_350!$A$1)*(S_R_420!K16-S_R_350!K16)</f>
        <v>1.85</v>
      </c>
      <c r="L16" s="96">
        <f>S_R_350!L16+(S_R_390!$A$1-S_R_350!$A$1)/(S_R_420!$A$1-S_R_350!$A$1)*(S_R_420!L16-S_R_350!L16)</f>
        <v>6.15</v>
      </c>
      <c r="M16" s="96">
        <f>S_R_350!M16+(S_R_390!$A$1-S_R_350!$A$1)/(S_R_420!$A$1-S_R_350!$A$1)*(S_R_420!M16-S_R_350!M16)</f>
        <v>226.07</v>
      </c>
      <c r="N16" s="96">
        <f>S_R_350!N16+(S_R_390!$A$1-S_R_350!$A$1)/(S_R_420!$A$1-S_R_350!$A$1)*(S_R_420!N16-S_R_350!N16)</f>
        <v>28.25</v>
      </c>
      <c r="O16" s="96">
        <f>S_R_350!O16+(S_R_390!$A$1-S_R_350!$A$1)/(S_R_420!$A$1-S_R_350!$A$1)*(S_R_420!O16-S_R_350!O16)</f>
        <v>6.06</v>
      </c>
      <c r="P16" s="96">
        <f>S_R_350!P16+(S_R_390!$A$1-S_R_350!$A$1)/(S_R_420!$A$1-S_R_350!$A$1)*(S_R_420!P16-S_R_350!P16)</f>
        <v>8</v>
      </c>
      <c r="Q16" s="96"/>
      <c r="R16" s="96"/>
      <c r="S16" s="96"/>
      <c r="T16" s="96"/>
      <c r="U16" s="96"/>
      <c r="V16" s="96">
        <f>S_R_350!V16+(S_R_390!$A$1-S_R_350!$A$1)/(S_R_420!$A$1-S_R_350!$A$1)*(S_R_420!V16-S_R_350!V16)</f>
        <v>6.15</v>
      </c>
      <c r="W16" s="96">
        <f>S_R_350!W16+(S_R_390!$A$1-S_R_350!$A$1)/(S_R_420!$A$1-S_R_350!$A$1)*(S_R_420!W16-S_R_350!W16)</f>
        <v>21.08</v>
      </c>
      <c r="X16" s="96">
        <f>S_R_350!X16+(S_R_390!$A$1-S_R_350!$A$1)/(S_R_420!$A$1-S_R_350!$A$1)*(S_R_420!X16-S_R_350!X16)</f>
        <v>5.95</v>
      </c>
      <c r="Y16" s="96">
        <f>S_R_350!Y16+(S_R_390!$A$1-S_R_350!$A$1)/(S_R_420!$A$1-S_R_350!$A$1)*(S_R_420!Y16-S_R_350!Y16)</f>
        <v>1.85</v>
      </c>
      <c r="Z16" s="97">
        <f>S_R_350!Z16+(S_R_390!$A$1-S_R_350!$A$1)/(S_R_420!$A$1-S_R_350!$A$1)*(S_R_420!Z16-S_R_350!Z16)</f>
        <v>1.96</v>
      </c>
      <c r="AB16" s="219">
        <v>4.83</v>
      </c>
      <c r="AC16" s="220">
        <v>6.15</v>
      </c>
      <c r="AD16" s="220">
        <v>1.85</v>
      </c>
      <c r="AE16" s="220">
        <v>6.15</v>
      </c>
      <c r="AF16" s="220">
        <v>226.07</v>
      </c>
      <c r="AG16" s="220">
        <v>28.25</v>
      </c>
      <c r="AH16" s="220">
        <v>6.06</v>
      </c>
      <c r="AI16" s="220">
        <v>8</v>
      </c>
      <c r="AJ16" s="221"/>
      <c r="AK16" s="221"/>
      <c r="AL16" s="221"/>
      <c r="AM16" s="221"/>
      <c r="AN16" s="221"/>
      <c r="AO16" s="220">
        <v>6.15</v>
      </c>
      <c r="AP16" s="220">
        <v>21.08</v>
      </c>
      <c r="AQ16" s="220">
        <v>5.93</v>
      </c>
      <c r="AR16" s="220">
        <v>1.85</v>
      </c>
      <c r="AS16" s="220">
        <v>1.96</v>
      </c>
    </row>
    <row r="17" spans="1:45" ht="15" customHeight="1" thickBot="1" x14ac:dyDescent="0.3">
      <c r="A17" s="72" t="str">
        <f t="shared" si="7"/>
        <v>SIGMA160x2,5</v>
      </c>
      <c r="B17" s="11" t="str">
        <f t="shared" si="8"/>
        <v>160</v>
      </c>
      <c r="C17" s="3">
        <f t="shared" si="9"/>
        <v>55</v>
      </c>
      <c r="D17" s="3">
        <f t="shared" si="10"/>
        <v>55</v>
      </c>
      <c r="E17" s="3">
        <f t="shared" si="11"/>
        <v>22</v>
      </c>
      <c r="F17" s="134" t="str">
        <f t="shared" si="12"/>
        <v>SIGMA160</v>
      </c>
      <c r="G17" s="81" t="s">
        <v>95</v>
      </c>
      <c r="H17" s="123">
        <v>2.5</v>
      </c>
      <c r="I17" s="96">
        <v>6.06</v>
      </c>
      <c r="J17" s="96">
        <f>S_R_350!J17+(S_R_390!$A$1-S_R_350!$A$1)/(S_R_420!$A$1-S_R_350!$A$1)*(S_R_420!J17-S_R_350!J17)</f>
        <v>7.73</v>
      </c>
      <c r="K17" s="96">
        <f>S_R_350!K17+(S_R_390!$A$1-S_R_350!$A$1)/(S_R_420!$A$1-S_R_350!$A$1)*(S_R_420!K17-S_R_350!K17)</f>
        <v>1.85</v>
      </c>
      <c r="L17" s="96">
        <f>S_R_350!L17+(S_R_390!$A$1-S_R_350!$A$1)/(S_R_420!$A$1-S_R_350!$A$1)*(S_R_420!L17-S_R_350!L17)</f>
        <v>7.73</v>
      </c>
      <c r="M17" s="96">
        <f>S_R_350!M17+(S_R_390!$A$1-S_R_350!$A$1)/(S_R_420!$A$1-S_R_350!$A$1)*(S_R_420!M17-S_R_350!M17)</f>
        <v>281.36</v>
      </c>
      <c r="N17" s="96">
        <f>S_R_350!N17+(S_R_390!$A$1-S_R_350!$A$1)/(S_R_420!$A$1-S_R_350!$A$1)*(S_R_420!N17-S_R_350!N17)</f>
        <v>35.17</v>
      </c>
      <c r="O17" s="96">
        <f>S_R_350!O17+(S_R_390!$A$1-S_R_350!$A$1)/(S_R_420!$A$1-S_R_350!$A$1)*(S_R_420!O17-S_R_350!O17)</f>
        <v>6.03</v>
      </c>
      <c r="P17" s="96">
        <f>S_R_350!P17+(S_R_390!$A$1-S_R_350!$A$1)/(S_R_420!$A$1-S_R_350!$A$1)*(S_R_420!P17-S_R_350!P17)</f>
        <v>8</v>
      </c>
      <c r="Q17" s="96"/>
      <c r="R17" s="96"/>
      <c r="S17" s="96"/>
      <c r="T17" s="96"/>
      <c r="U17" s="96"/>
      <c r="V17" s="96">
        <f>S_R_350!V17+(S_R_390!$A$1-S_R_350!$A$1)/(S_R_420!$A$1-S_R_350!$A$1)*(S_R_420!V17-S_R_350!V17)</f>
        <v>7.73</v>
      </c>
      <c r="W17" s="96">
        <f>S_R_350!W17+(S_R_390!$A$1-S_R_350!$A$1)/(S_R_420!$A$1-S_R_350!$A$1)*(S_R_420!W17-S_R_350!W17)</f>
        <v>26.64</v>
      </c>
      <c r="X17" s="96">
        <f>S_R_350!X17+(S_R_390!$A$1-S_R_350!$A$1)/(S_R_420!$A$1-S_R_350!$A$1)*(S_R_420!X17-S_R_350!X17)</f>
        <v>7.63</v>
      </c>
      <c r="Y17" s="96">
        <f>S_R_350!Y17+(S_R_390!$A$1-S_R_350!$A$1)/(S_R_420!$A$1-S_R_350!$A$1)*(S_R_420!Y17-S_R_350!Y17)</f>
        <v>1.85</v>
      </c>
      <c r="Z17" s="97">
        <f>S_R_350!Z17+(S_R_390!$A$1-S_R_350!$A$1)/(S_R_420!$A$1-S_R_350!$A$1)*(S_R_420!Z17-S_R_350!Z17)</f>
        <v>2.0099999999999998</v>
      </c>
      <c r="AB17" s="219">
        <v>6.06</v>
      </c>
      <c r="AC17" s="220">
        <v>7.73</v>
      </c>
      <c r="AD17" s="220">
        <v>1.85</v>
      </c>
      <c r="AE17" s="220">
        <v>7.73</v>
      </c>
      <c r="AF17" s="220">
        <v>281.36</v>
      </c>
      <c r="AG17" s="220">
        <v>35.17</v>
      </c>
      <c r="AH17" s="220">
        <v>6.03</v>
      </c>
      <c r="AI17" s="220">
        <v>8</v>
      </c>
      <c r="AJ17" s="221"/>
      <c r="AK17" s="221"/>
      <c r="AL17" s="221"/>
      <c r="AM17" s="221"/>
      <c r="AN17" s="221"/>
      <c r="AO17" s="220">
        <v>7.73</v>
      </c>
      <c r="AP17" s="220">
        <v>26.64</v>
      </c>
      <c r="AQ17" s="220">
        <v>7.61</v>
      </c>
      <c r="AR17" s="220">
        <v>1.85</v>
      </c>
      <c r="AS17" s="220">
        <v>2.0099999999999998</v>
      </c>
    </row>
    <row r="18" spans="1:45" ht="15" customHeight="1" thickBot="1" x14ac:dyDescent="0.3">
      <c r="A18" s="73" t="str">
        <f t="shared" si="7"/>
        <v>SIGMA160x3,0</v>
      </c>
      <c r="B18" s="12" t="str">
        <f t="shared" si="8"/>
        <v>160</v>
      </c>
      <c r="C18" s="5">
        <f t="shared" si="9"/>
        <v>55</v>
      </c>
      <c r="D18" s="5">
        <f t="shared" si="10"/>
        <v>55</v>
      </c>
      <c r="E18" s="5">
        <f t="shared" si="11"/>
        <v>24</v>
      </c>
      <c r="F18" s="135" t="str">
        <f t="shared" si="12"/>
        <v>SIGMA160</v>
      </c>
      <c r="G18" s="82" t="s">
        <v>96</v>
      </c>
      <c r="H18" s="124">
        <v>3</v>
      </c>
      <c r="I18" s="98">
        <v>7.31</v>
      </c>
      <c r="J18" s="98">
        <f>S_R_350!J18+(S_R_390!$A$1-S_R_350!$A$1)/(S_R_420!$A$1-S_R_350!$A$1)*(S_R_420!J18-S_R_350!J18)</f>
        <v>9.32</v>
      </c>
      <c r="K18" s="98">
        <f>S_R_350!K18+(S_R_390!$A$1-S_R_350!$A$1)/(S_R_420!$A$1-S_R_350!$A$1)*(S_R_420!K18-S_R_350!K18)</f>
        <v>1.86</v>
      </c>
      <c r="L18" s="98">
        <f>S_R_350!L18+(S_R_390!$A$1-S_R_350!$A$1)/(S_R_420!$A$1-S_R_350!$A$1)*(S_R_420!L18-S_R_350!L18)</f>
        <v>9.32</v>
      </c>
      <c r="M18" s="98">
        <f>S_R_350!M18+(S_R_390!$A$1-S_R_350!$A$1)/(S_R_420!$A$1-S_R_350!$A$1)*(S_R_420!M18-S_R_350!M18)</f>
        <v>335.92</v>
      </c>
      <c r="N18" s="98">
        <f>S_R_350!N18+(S_R_390!$A$1-S_R_350!$A$1)/(S_R_420!$A$1-S_R_350!$A$1)*(S_R_420!N18-S_R_350!N18)</f>
        <v>41.99</v>
      </c>
      <c r="O18" s="98">
        <f>S_R_350!O18+(S_R_390!$A$1-S_R_350!$A$1)/(S_R_420!$A$1-S_R_350!$A$1)*(S_R_420!O18-S_R_350!O18)</f>
        <v>6</v>
      </c>
      <c r="P18" s="98">
        <f>S_R_350!P18+(S_R_390!$A$1-S_R_350!$A$1)/(S_R_420!$A$1-S_R_350!$A$1)*(S_R_420!P18-S_R_350!P18)</f>
        <v>8</v>
      </c>
      <c r="Q18" s="98"/>
      <c r="R18" s="98"/>
      <c r="S18" s="98"/>
      <c r="T18" s="98"/>
      <c r="U18" s="98"/>
      <c r="V18" s="98">
        <f>S_R_350!V18+(S_R_390!$A$1-S_R_350!$A$1)/(S_R_420!$A$1-S_R_350!$A$1)*(S_R_420!V18-S_R_350!V18)</f>
        <v>9.32</v>
      </c>
      <c r="W18" s="98">
        <f>S_R_350!W18+(S_R_390!$A$1-S_R_350!$A$1)/(S_R_420!$A$1-S_R_350!$A$1)*(S_R_420!W18-S_R_350!W18)</f>
        <v>32.270000000000003</v>
      </c>
      <c r="X18" s="98">
        <f>S_R_350!X18+(S_R_390!$A$1-S_R_350!$A$1)/(S_R_420!$A$1-S_R_350!$A$1)*(S_R_420!X18-S_R_350!X18)</f>
        <v>9.3699999999999992</v>
      </c>
      <c r="Y18" s="98">
        <f>S_R_350!Y18+(S_R_390!$A$1-S_R_350!$A$1)/(S_R_420!$A$1-S_R_350!$A$1)*(S_R_420!Y18-S_R_350!Y18)</f>
        <v>1.86</v>
      </c>
      <c r="Z18" s="99">
        <f>S_R_350!Z18+(S_R_390!$A$1-S_R_350!$A$1)/(S_R_420!$A$1-S_R_350!$A$1)*(S_R_420!Z18-S_R_350!Z18)</f>
        <v>2.06</v>
      </c>
      <c r="AB18" s="219">
        <v>7.31</v>
      </c>
      <c r="AC18" s="220">
        <v>9.32</v>
      </c>
      <c r="AD18" s="220">
        <v>1.86</v>
      </c>
      <c r="AE18" s="220">
        <v>9.32</v>
      </c>
      <c r="AF18" s="220">
        <v>335.92</v>
      </c>
      <c r="AG18" s="220">
        <v>41.99</v>
      </c>
      <c r="AH18" s="220">
        <v>6</v>
      </c>
      <c r="AI18" s="220">
        <v>8</v>
      </c>
      <c r="AJ18" s="221"/>
      <c r="AK18" s="221"/>
      <c r="AL18" s="221"/>
      <c r="AM18" s="221"/>
      <c r="AN18" s="221"/>
      <c r="AO18" s="220">
        <v>9.32</v>
      </c>
      <c r="AP18" s="220">
        <v>32.270000000000003</v>
      </c>
      <c r="AQ18" s="220">
        <v>9.35</v>
      </c>
      <c r="AR18" s="220">
        <v>1.86</v>
      </c>
      <c r="AS18" s="220">
        <v>2.06</v>
      </c>
    </row>
    <row r="19" spans="1:45" ht="15" customHeight="1" thickBot="1" x14ac:dyDescent="0.3">
      <c r="A19" s="71" t="str">
        <f t="shared" si="7"/>
        <v>SIGMA180x1,5</v>
      </c>
      <c r="B19" s="10" t="str">
        <f t="shared" si="8"/>
        <v>180</v>
      </c>
      <c r="C19" s="15">
        <f t="shared" si="9"/>
        <v>55</v>
      </c>
      <c r="D19" s="15">
        <f t="shared" si="10"/>
        <v>55</v>
      </c>
      <c r="E19" s="1">
        <f t="shared" si="11"/>
        <v>18</v>
      </c>
      <c r="F19" s="133" t="str">
        <f t="shared" si="12"/>
        <v>SIGMA180</v>
      </c>
      <c r="G19" s="80" t="s">
        <v>97</v>
      </c>
      <c r="H19" s="122">
        <v>1.5</v>
      </c>
      <c r="I19" s="94">
        <v>3.84</v>
      </c>
      <c r="J19" s="94">
        <f>S_R_350!J19+(S_R_390!$A$1-S_R_350!$A$1)/(S_R_420!$A$1-S_R_350!$A$1)*(S_R_420!J19-S_R_350!J19)</f>
        <v>4.6185714285714283</v>
      </c>
      <c r="K19" s="94">
        <f>S_R_350!K19+(S_R_390!$A$1-S_R_350!$A$1)/(S_R_420!$A$1-S_R_350!$A$1)*(S_R_420!K19-S_R_350!K19)</f>
        <v>1.8557142857142859</v>
      </c>
      <c r="L19" s="94">
        <f>S_R_350!L19+(S_R_390!$A$1-S_R_350!$A$1)/(S_R_420!$A$1-S_R_350!$A$1)*(S_R_420!L19-S_R_350!L19)</f>
        <v>4.6014285714285714</v>
      </c>
      <c r="M19" s="94">
        <f>S_R_350!M19+(S_R_390!$A$1-S_R_350!$A$1)/(S_R_420!$A$1-S_R_350!$A$1)*(S_R_420!M19-S_R_350!M19)</f>
        <v>213.51285714285714</v>
      </c>
      <c r="N19" s="94">
        <f>S_R_350!N19+(S_R_390!$A$1-S_R_350!$A$1)/(S_R_420!$A$1-S_R_350!$A$1)*(S_R_420!N19-S_R_350!N19)</f>
        <v>22.818571428571428</v>
      </c>
      <c r="O19" s="94">
        <f>S_R_350!O19+(S_R_390!$A$1-S_R_350!$A$1)/(S_R_420!$A$1-S_R_350!$A$1)*(S_R_420!O19-S_R_350!O19)</f>
        <v>6.8</v>
      </c>
      <c r="P19" s="94">
        <f>S_R_350!P19+(S_R_390!$A$1-S_R_350!$A$1)/(S_R_420!$A$1-S_R_350!$A$1)*(S_R_420!P19-S_R_350!P19)</f>
        <v>8.637142857142857</v>
      </c>
      <c r="Q19" s="94"/>
      <c r="R19" s="94"/>
      <c r="S19" s="94"/>
      <c r="T19" s="94"/>
      <c r="U19" s="94"/>
      <c r="V19" s="94">
        <f>S_R_350!V19+(S_R_390!$A$1-S_R_350!$A$1)/(S_R_420!$A$1-S_R_350!$A$1)*(S_R_420!V19-S_R_350!V19)</f>
        <v>4.6714285714285717</v>
      </c>
      <c r="W19" s="94">
        <f>S_R_350!W19+(S_R_390!$A$1-S_R_350!$A$1)/(S_R_420!$A$1-S_R_350!$A$1)*(S_R_420!W19-S_R_350!W19)</f>
        <v>15.987142857142858</v>
      </c>
      <c r="X19" s="94">
        <f>S_R_350!X19+(S_R_390!$A$1-S_R_350!$A$1)/(S_R_420!$A$1-S_R_350!$A$1)*(S_R_420!X19-S_R_350!X19)</f>
        <v>4.3657142857142857</v>
      </c>
      <c r="Y19" s="94">
        <f>S_R_350!Y19+(S_R_390!$A$1-S_R_350!$A$1)/(S_R_420!$A$1-S_R_350!$A$1)*(S_R_420!Y19-S_R_350!Y19)</f>
        <v>1.8457142857142859</v>
      </c>
      <c r="Z19" s="95">
        <f>S_R_350!Z19+(S_R_390!$A$1-S_R_350!$A$1)/(S_R_420!$A$1-S_R_350!$A$1)*(S_R_420!Z19-S_R_350!Z19)</f>
        <v>1.8414285714285714</v>
      </c>
      <c r="AB19" s="219">
        <v>3.84</v>
      </c>
      <c r="AC19" s="219">
        <v>4.58</v>
      </c>
      <c r="AD19" s="219">
        <v>1.85</v>
      </c>
      <c r="AE19" s="219">
        <v>4.5999999999999996</v>
      </c>
      <c r="AF19" s="219">
        <v>213.51</v>
      </c>
      <c r="AG19" s="219">
        <v>22.79</v>
      </c>
      <c r="AH19" s="219">
        <v>6.81</v>
      </c>
      <c r="AI19" s="219">
        <v>8.6300000000000008</v>
      </c>
      <c r="AJ19" s="221"/>
      <c r="AK19" s="221"/>
      <c r="AL19" s="221"/>
      <c r="AM19" s="221"/>
      <c r="AN19" s="221"/>
      <c r="AO19" s="219">
        <v>4.67</v>
      </c>
      <c r="AP19" s="219">
        <v>15.98</v>
      </c>
      <c r="AQ19" s="219">
        <v>4.3600000000000003</v>
      </c>
      <c r="AR19" s="219">
        <v>1.85</v>
      </c>
      <c r="AS19" s="219">
        <v>1.82</v>
      </c>
    </row>
    <row r="20" spans="1:45" ht="15" customHeight="1" thickBot="1" x14ac:dyDescent="0.3">
      <c r="A20" s="72" t="str">
        <f t="shared" si="7"/>
        <v>SIGMA180x2,0</v>
      </c>
      <c r="B20" s="11" t="str">
        <f t="shared" si="8"/>
        <v>180</v>
      </c>
      <c r="C20" s="3">
        <f t="shared" si="9"/>
        <v>55</v>
      </c>
      <c r="D20" s="3">
        <f t="shared" si="10"/>
        <v>55</v>
      </c>
      <c r="E20" s="3">
        <f t="shared" si="11"/>
        <v>20</v>
      </c>
      <c r="F20" s="134" t="str">
        <f t="shared" si="12"/>
        <v>SIGMA180</v>
      </c>
      <c r="G20" s="81" t="s">
        <v>98</v>
      </c>
      <c r="H20" s="123">
        <v>2</v>
      </c>
      <c r="I20" s="96">
        <v>5.14</v>
      </c>
      <c r="J20" s="96">
        <f>S_R_350!J20+(S_R_390!$A$1-S_R_350!$A$1)/(S_R_420!$A$1-S_R_350!$A$1)*(S_R_420!J20-S_R_350!J20)</f>
        <v>6.55</v>
      </c>
      <c r="K20" s="96">
        <f>S_R_350!K20+(S_R_390!$A$1-S_R_350!$A$1)/(S_R_420!$A$1-S_R_350!$A$1)*(S_R_420!K20-S_R_350!K20)</f>
        <v>1.84</v>
      </c>
      <c r="L20" s="96">
        <f>S_R_350!L20+(S_R_390!$A$1-S_R_350!$A$1)/(S_R_420!$A$1-S_R_350!$A$1)*(S_R_420!L20-S_R_350!L20)</f>
        <v>6.55</v>
      </c>
      <c r="M20" s="96">
        <f>S_R_350!M20+(S_R_390!$A$1-S_R_350!$A$1)/(S_R_420!$A$1-S_R_350!$A$1)*(S_R_420!M20-S_R_350!M20)</f>
        <v>298.36</v>
      </c>
      <c r="N20" s="96">
        <f>S_R_350!N20+(S_R_390!$A$1-S_R_350!$A$1)/(S_R_420!$A$1-S_R_350!$A$1)*(S_R_420!N20-S_R_350!N20)</f>
        <v>33.15</v>
      </c>
      <c r="O20" s="96">
        <f>S_R_350!O20+(S_R_390!$A$1-S_R_350!$A$1)/(S_R_420!$A$1-S_R_350!$A$1)*(S_R_420!O20-S_R_350!O20)</f>
        <v>6.74</v>
      </c>
      <c r="P20" s="96">
        <f>S_R_350!P20+(S_R_390!$A$1-S_R_350!$A$1)/(S_R_420!$A$1-S_R_350!$A$1)*(S_R_420!P20-S_R_350!P20)</f>
        <v>9</v>
      </c>
      <c r="Q20" s="96"/>
      <c r="R20" s="96"/>
      <c r="S20" s="96"/>
      <c r="T20" s="96"/>
      <c r="U20" s="96"/>
      <c r="V20" s="96">
        <f>S_R_350!V20+(S_R_390!$A$1-S_R_350!$A$1)/(S_R_420!$A$1-S_R_350!$A$1)*(S_R_420!V20-S_R_350!V20)</f>
        <v>6.55</v>
      </c>
      <c r="W20" s="96">
        <f>S_R_350!W20+(S_R_390!$A$1-S_R_350!$A$1)/(S_R_420!$A$1-S_R_350!$A$1)*(S_R_420!W20-S_R_350!W20)</f>
        <v>22.37</v>
      </c>
      <c r="X20" s="96">
        <f>S_R_350!X20+(S_R_390!$A$1-S_R_350!$A$1)/(S_R_420!$A$1-S_R_350!$A$1)*(S_R_420!X20-S_R_350!X20)</f>
        <v>6.12</v>
      </c>
      <c r="Y20" s="96">
        <f>S_R_350!Y20+(S_R_390!$A$1-S_R_350!$A$1)/(S_R_420!$A$1-S_R_350!$A$1)*(S_R_420!Y20-S_R_350!Y20)</f>
        <v>1.84</v>
      </c>
      <c r="Z20" s="97">
        <f>S_R_350!Z20+(S_R_390!$A$1-S_R_350!$A$1)/(S_R_420!$A$1-S_R_350!$A$1)*(S_R_420!Z20-S_R_350!Z20)</f>
        <v>1.84</v>
      </c>
      <c r="AB20" s="219">
        <v>5.14</v>
      </c>
      <c r="AC20" s="220">
        <v>6.55</v>
      </c>
      <c r="AD20" s="220">
        <v>1.84</v>
      </c>
      <c r="AE20" s="220">
        <v>6.55</v>
      </c>
      <c r="AF20" s="220">
        <v>298.36</v>
      </c>
      <c r="AG20" s="220">
        <v>33.15</v>
      </c>
      <c r="AH20" s="220">
        <v>6.74</v>
      </c>
      <c r="AI20" s="220">
        <v>9</v>
      </c>
      <c r="AJ20" s="221"/>
      <c r="AK20" s="221"/>
      <c r="AL20" s="221"/>
      <c r="AM20" s="221"/>
      <c r="AN20" s="221"/>
      <c r="AO20" s="220">
        <v>6.55</v>
      </c>
      <c r="AP20" s="220">
        <v>22.37</v>
      </c>
      <c r="AQ20" s="220">
        <v>6.11</v>
      </c>
      <c r="AR20" s="220">
        <v>1.84</v>
      </c>
      <c r="AS20" s="220">
        <v>1.84</v>
      </c>
    </row>
    <row r="21" spans="1:45" ht="15" customHeight="1" thickBot="1" x14ac:dyDescent="0.3">
      <c r="A21" s="72" t="str">
        <f t="shared" si="7"/>
        <v>SIGMA180x2,5</v>
      </c>
      <c r="B21" s="11" t="str">
        <f t="shared" si="8"/>
        <v>180</v>
      </c>
      <c r="C21" s="3">
        <f t="shared" si="9"/>
        <v>55</v>
      </c>
      <c r="D21" s="3">
        <f t="shared" si="10"/>
        <v>55</v>
      </c>
      <c r="E21" s="3">
        <f t="shared" si="11"/>
        <v>22</v>
      </c>
      <c r="F21" s="134" t="str">
        <f t="shared" si="12"/>
        <v>SIGMA180</v>
      </c>
      <c r="G21" s="81" t="s">
        <v>99</v>
      </c>
      <c r="H21" s="123">
        <v>2.5</v>
      </c>
      <c r="I21" s="96">
        <v>6.45</v>
      </c>
      <c r="J21" s="96">
        <f>S_R_350!J21+(S_R_390!$A$1-S_R_350!$A$1)/(S_R_420!$A$1-S_R_350!$A$1)*(S_R_420!J21-S_R_350!J21)</f>
        <v>8.23</v>
      </c>
      <c r="K21" s="96">
        <f>S_R_350!K21+(S_R_390!$A$1-S_R_350!$A$1)/(S_R_420!$A$1-S_R_350!$A$1)*(S_R_420!K21-S_R_350!K21)</f>
        <v>1.85</v>
      </c>
      <c r="L21" s="96">
        <f>S_R_350!L21+(S_R_390!$A$1-S_R_350!$A$1)/(S_R_420!$A$1-S_R_350!$A$1)*(S_R_420!L21-S_R_350!L21)</f>
        <v>8.23</v>
      </c>
      <c r="M21" s="96">
        <f>S_R_350!M21+(S_R_390!$A$1-S_R_350!$A$1)/(S_R_420!$A$1-S_R_350!$A$1)*(S_R_420!M21-S_R_350!M21)</f>
        <v>371.86</v>
      </c>
      <c r="N21" s="96">
        <f>S_R_350!N21+(S_R_390!$A$1-S_R_350!$A$1)/(S_R_420!$A$1-S_R_350!$A$1)*(S_R_420!N21-S_R_350!N21)</f>
        <v>41.31</v>
      </c>
      <c r="O21" s="96">
        <f>S_R_350!O21+(S_R_390!$A$1-S_R_350!$A$1)/(S_R_420!$A$1-S_R_350!$A$1)*(S_R_420!O21-S_R_350!O21)</f>
        <v>6.72</v>
      </c>
      <c r="P21" s="96">
        <f>S_R_350!P21+(S_R_390!$A$1-S_R_350!$A$1)/(S_R_420!$A$1-S_R_350!$A$1)*(S_R_420!P21-S_R_350!P21)</f>
        <v>9</v>
      </c>
      <c r="Q21" s="96"/>
      <c r="R21" s="96"/>
      <c r="S21" s="96"/>
      <c r="T21" s="96"/>
      <c r="U21" s="96"/>
      <c r="V21" s="96">
        <f>S_R_350!V21+(S_R_390!$A$1-S_R_350!$A$1)/(S_R_420!$A$1-S_R_350!$A$1)*(S_R_420!V21-S_R_350!V21)</f>
        <v>8.23</v>
      </c>
      <c r="W21" s="96">
        <f>S_R_350!W21+(S_R_390!$A$1-S_R_350!$A$1)/(S_R_420!$A$1-S_R_350!$A$1)*(S_R_420!W21-S_R_350!W21)</f>
        <v>28.31</v>
      </c>
      <c r="X21" s="96">
        <f>S_R_350!X21+(S_R_390!$A$1-S_R_350!$A$1)/(S_R_420!$A$1-S_R_350!$A$1)*(S_R_420!X21-S_R_350!X21)</f>
        <v>7.85</v>
      </c>
      <c r="Y21" s="96">
        <f>S_R_350!Y21+(S_R_390!$A$1-S_R_350!$A$1)/(S_R_420!$A$1-S_R_350!$A$1)*(S_R_420!Y21-S_R_350!Y21)</f>
        <v>1.85</v>
      </c>
      <c r="Z21" s="97">
        <f>S_R_350!Z21+(S_R_390!$A$1-S_R_350!$A$1)/(S_R_420!$A$1-S_R_350!$A$1)*(S_R_420!Z21-S_R_350!Z21)</f>
        <v>1.89</v>
      </c>
      <c r="AB21" s="219">
        <v>6.45</v>
      </c>
      <c r="AC21" s="220">
        <v>8.23</v>
      </c>
      <c r="AD21" s="220">
        <v>1.85</v>
      </c>
      <c r="AE21" s="220">
        <v>8.23</v>
      </c>
      <c r="AF21" s="220">
        <v>371.86</v>
      </c>
      <c r="AG21" s="220">
        <v>41.31</v>
      </c>
      <c r="AH21" s="220">
        <v>6.72</v>
      </c>
      <c r="AI21" s="220">
        <v>9</v>
      </c>
      <c r="AJ21" s="221"/>
      <c r="AK21" s="221"/>
      <c r="AL21" s="221"/>
      <c r="AM21" s="221"/>
      <c r="AN21" s="221"/>
      <c r="AO21" s="220">
        <v>8.23</v>
      </c>
      <c r="AP21" s="220">
        <v>28.31</v>
      </c>
      <c r="AQ21" s="220">
        <v>7.85</v>
      </c>
      <c r="AR21" s="220">
        <v>1.85</v>
      </c>
      <c r="AS21" s="220">
        <v>1.89</v>
      </c>
    </row>
    <row r="22" spans="1:45" ht="15" customHeight="1" thickBot="1" x14ac:dyDescent="0.3">
      <c r="A22" s="126" t="str">
        <f t="shared" si="7"/>
        <v>SIGMA180x3,0</v>
      </c>
      <c r="B22" s="150" t="str">
        <f t="shared" si="8"/>
        <v>180</v>
      </c>
      <c r="C22" s="14">
        <f t="shared" si="9"/>
        <v>55</v>
      </c>
      <c r="D22" s="14">
        <f t="shared" si="10"/>
        <v>55</v>
      </c>
      <c r="E22" s="14">
        <f t="shared" si="11"/>
        <v>24</v>
      </c>
      <c r="F22" s="136" t="str">
        <f t="shared" si="12"/>
        <v>SIGMA180</v>
      </c>
      <c r="G22" s="151" t="s">
        <v>100</v>
      </c>
      <c r="H22" s="230">
        <v>3</v>
      </c>
      <c r="I22" s="108">
        <v>7.78</v>
      </c>
      <c r="J22" s="108">
        <f>S_R_350!J22+(S_R_390!$A$1-S_R_350!$A$1)/(S_R_420!$A$1-S_R_350!$A$1)*(S_R_420!J22-S_R_350!J22)</f>
        <v>9.92</v>
      </c>
      <c r="K22" s="108">
        <f>S_R_350!K22+(S_R_390!$A$1-S_R_350!$A$1)/(S_R_420!$A$1-S_R_350!$A$1)*(S_R_420!K22-S_R_350!K22)</f>
        <v>1.85</v>
      </c>
      <c r="L22" s="108">
        <f>S_R_350!L22+(S_R_390!$A$1-S_R_350!$A$1)/(S_R_420!$A$1-S_R_350!$A$1)*(S_R_420!L22-S_R_350!L22)</f>
        <v>9.92</v>
      </c>
      <c r="M22" s="108">
        <f>S_R_350!M22+(S_R_390!$A$1-S_R_350!$A$1)/(S_R_420!$A$1-S_R_350!$A$1)*(S_R_420!M22-S_R_350!M22)</f>
        <v>444.65</v>
      </c>
      <c r="N22" s="108">
        <f>S_R_350!N22+(S_R_390!$A$1-S_R_350!$A$1)/(S_R_420!$A$1-S_R_350!$A$1)*(S_R_420!N22-S_R_350!N22)</f>
        <v>49.4</v>
      </c>
      <c r="O22" s="108">
        <f>S_R_350!O22+(S_R_390!$A$1-S_R_350!$A$1)/(S_R_420!$A$1-S_R_350!$A$1)*(S_R_420!O22-S_R_350!O22)</f>
        <v>6.69</v>
      </c>
      <c r="P22" s="108">
        <f>S_R_350!P22+(S_R_390!$A$1-S_R_350!$A$1)/(S_R_420!$A$1-S_R_350!$A$1)*(S_R_420!P22-S_R_350!P22)</f>
        <v>9</v>
      </c>
      <c r="Q22" s="108"/>
      <c r="R22" s="108"/>
      <c r="S22" s="108"/>
      <c r="T22" s="108"/>
      <c r="U22" s="108"/>
      <c r="V22" s="108">
        <f>S_R_350!V22+(S_R_390!$A$1-S_R_350!$A$1)/(S_R_420!$A$1-S_R_350!$A$1)*(S_R_420!V22-S_R_350!V22)</f>
        <v>9.92</v>
      </c>
      <c r="W22" s="108">
        <f>S_R_350!W22+(S_R_390!$A$1-S_R_350!$A$1)/(S_R_420!$A$1-S_R_350!$A$1)*(S_R_420!W22-S_R_350!W22)</f>
        <v>34.32</v>
      </c>
      <c r="X22" s="108">
        <f>S_R_350!X22+(S_R_390!$A$1-S_R_350!$A$1)/(S_R_420!$A$1-S_R_350!$A$1)*(S_R_420!X22-S_R_350!X22)</f>
        <v>9.64</v>
      </c>
      <c r="Y22" s="108">
        <f>S_R_350!Y22+(S_R_390!$A$1-S_R_350!$A$1)/(S_R_420!$A$1-S_R_350!$A$1)*(S_R_420!Y22-S_R_350!Y22)</f>
        <v>1.85</v>
      </c>
      <c r="Z22" s="109">
        <f>S_R_350!Z22+(S_R_390!$A$1-S_R_350!$A$1)/(S_R_420!$A$1-S_R_350!$A$1)*(S_R_420!Z22-S_R_350!Z22)</f>
        <v>1.94</v>
      </c>
      <c r="AB22" s="219">
        <v>7.78</v>
      </c>
      <c r="AC22" s="220">
        <v>9.92</v>
      </c>
      <c r="AD22" s="220">
        <v>1.85</v>
      </c>
      <c r="AE22" s="220">
        <v>9.92</v>
      </c>
      <c r="AF22" s="220">
        <v>444.65</v>
      </c>
      <c r="AG22" s="220">
        <v>49.4</v>
      </c>
      <c r="AH22" s="220">
        <v>6.69</v>
      </c>
      <c r="AI22" s="220">
        <v>9</v>
      </c>
      <c r="AJ22" s="221"/>
      <c r="AK22" s="221"/>
      <c r="AL22" s="221"/>
      <c r="AM22" s="221"/>
      <c r="AN22" s="221"/>
      <c r="AO22" s="220">
        <v>9.92</v>
      </c>
      <c r="AP22" s="220">
        <v>34.32</v>
      </c>
      <c r="AQ22" s="220">
        <v>9.64</v>
      </c>
      <c r="AR22" s="220">
        <v>1.85</v>
      </c>
      <c r="AS22" s="220">
        <v>1.94</v>
      </c>
    </row>
    <row r="23" spans="1:45" ht="15" customHeight="1" thickBot="1" x14ac:dyDescent="0.3">
      <c r="A23" s="71" t="str">
        <f t="shared" si="7"/>
        <v>SIGMA200x1,0</v>
      </c>
      <c r="B23" s="10" t="str">
        <f t="shared" si="8"/>
        <v>200</v>
      </c>
      <c r="C23" s="1">
        <f t="shared" si="9"/>
        <v>55</v>
      </c>
      <c r="D23" s="1">
        <f t="shared" si="10"/>
        <v>55</v>
      </c>
      <c r="E23" s="1">
        <f t="shared" si="11"/>
        <v>18</v>
      </c>
      <c r="F23" s="133" t="str">
        <f t="shared" si="12"/>
        <v>SIGMA200</v>
      </c>
      <c r="G23" s="80" t="s">
        <v>101</v>
      </c>
      <c r="H23" s="122">
        <v>1</v>
      </c>
      <c r="I23" s="94">
        <v>3.6</v>
      </c>
      <c r="J23" s="94">
        <f>S_R_350!J23+(S_R_390!$A$1-S_R_350!$A$1)/(S_R_420!$A$1-S_R_350!$A$1)*(S_R_420!J23-S_R_350!J23)</f>
        <v>2.6414285714285715</v>
      </c>
      <c r="K23" s="94">
        <f>S_R_350!K23+(S_R_390!$A$1-S_R_350!$A$1)/(S_R_420!$A$1-S_R_350!$A$1)*(S_R_420!K23-S_R_350!K23)</f>
        <v>1.89</v>
      </c>
      <c r="L23" s="94">
        <f>S_R_350!L23+(S_R_390!$A$1-S_R_350!$A$1)/(S_R_420!$A$1-S_R_350!$A$1)*(S_R_420!L23-S_R_350!L23)</f>
        <v>2.8614285714285717</v>
      </c>
      <c r="M23" s="94">
        <f>S_R_350!M23+(S_R_390!$A$1-S_R_350!$A$1)/(S_R_420!$A$1-S_R_350!$A$1)*(S_R_420!M23-S_R_350!M23)</f>
        <v>148.4542857142857</v>
      </c>
      <c r="N23" s="94">
        <f>S_R_350!N23+(S_R_390!$A$1-S_R_350!$A$1)/(S_R_420!$A$1-S_R_350!$A$1)*(S_R_420!N23-S_R_350!N23)</f>
        <v>14.841428571428573</v>
      </c>
      <c r="O23" s="94">
        <f>S_R_350!O23+(S_R_390!$A$1-S_R_350!$A$1)/(S_R_420!$A$1-S_R_350!$A$1)*(S_R_420!O23-S_R_350!O23)</f>
        <v>7.1914285714285713</v>
      </c>
      <c r="P23" s="94">
        <f>S_R_350!P23+(S_R_390!$A$1-S_R_350!$A$1)/(S_R_420!$A$1-S_R_350!$A$1)*(S_R_420!P23-S_R_350!P23)</f>
        <v>10</v>
      </c>
      <c r="Q23" s="94"/>
      <c r="R23" s="94"/>
      <c r="S23" s="94"/>
      <c r="T23" s="94"/>
      <c r="U23" s="94"/>
      <c r="V23" s="94">
        <f>S_R_350!V23+(S_R_390!$A$1-S_R_350!$A$1)/(S_R_420!$A$1-S_R_350!$A$1)*(S_R_420!V23-S_R_350!V23)</f>
        <v>3.0157142857142856</v>
      </c>
      <c r="W23" s="94">
        <f>S_R_350!W23+(S_R_390!$A$1-S_R_350!$A$1)/(S_R_420!$A$1-S_R_350!$A$1)*(S_R_420!W23-S_R_350!W23)</f>
        <v>10.765714285714285</v>
      </c>
      <c r="X23" s="94">
        <f>S_R_350!X23+(S_R_390!$A$1-S_R_350!$A$1)/(S_R_420!$A$1-S_R_350!$A$1)*(S_R_420!X23-S_R_350!X23)</f>
        <v>3.0128571428571429</v>
      </c>
      <c r="Y23" s="94">
        <f>S_R_350!Y23+(S_R_390!$A$1-S_R_350!$A$1)/(S_R_420!$A$1-S_R_350!$A$1)*(S_R_420!Y23-S_R_350!Y23)</f>
        <v>1.88</v>
      </c>
      <c r="Z23" s="95">
        <f>S_R_350!Z23+(S_R_390!$A$1-S_R_350!$A$1)/(S_R_420!$A$1-S_R_350!$A$1)*(S_R_420!Z23-S_R_350!Z23)</f>
        <v>1.9371428571428571</v>
      </c>
      <c r="AB23" s="219">
        <v>2.84</v>
      </c>
      <c r="AC23" s="220">
        <v>2.71</v>
      </c>
      <c r="AD23" s="220">
        <v>1.89</v>
      </c>
      <c r="AE23" s="220">
        <v>2.93</v>
      </c>
      <c r="AF23" s="220">
        <v>153.13999999999999</v>
      </c>
      <c r="AG23" s="220">
        <v>15.31</v>
      </c>
      <c r="AH23" s="220">
        <v>7.22</v>
      </c>
      <c r="AI23" s="220">
        <v>10</v>
      </c>
      <c r="AJ23" s="221"/>
      <c r="AK23" s="221"/>
      <c r="AL23" s="221"/>
      <c r="AM23" s="221"/>
      <c r="AN23" s="221"/>
      <c r="AO23" s="220">
        <v>3.05</v>
      </c>
      <c r="AP23" s="220">
        <v>10.88</v>
      </c>
      <c r="AQ23" s="220">
        <v>3.03</v>
      </c>
      <c r="AR23" s="220">
        <v>1.88</v>
      </c>
      <c r="AS23" s="220">
        <v>1.92</v>
      </c>
    </row>
    <row r="24" spans="1:45" ht="15" customHeight="1" thickBot="1" x14ac:dyDescent="0.3">
      <c r="A24" s="72" t="str">
        <f t="shared" si="7"/>
        <v>SIGMA200x1,2</v>
      </c>
      <c r="B24" s="11" t="str">
        <f t="shared" si="8"/>
        <v>200</v>
      </c>
      <c r="C24" s="3">
        <f t="shared" si="9"/>
        <v>55</v>
      </c>
      <c r="D24" s="3">
        <f t="shared" si="10"/>
        <v>55</v>
      </c>
      <c r="E24" s="3">
        <f t="shared" si="11"/>
        <v>18</v>
      </c>
      <c r="F24" s="134" t="str">
        <f t="shared" si="12"/>
        <v>SIGMA200</v>
      </c>
      <c r="G24" s="81" t="s">
        <v>101</v>
      </c>
      <c r="H24" s="123">
        <v>1.2</v>
      </c>
      <c r="I24" s="96">
        <v>3.6</v>
      </c>
      <c r="J24" s="96">
        <f>S_R_350!J24+(S_R_390!$A$1-S_R_350!$A$1)/(S_R_420!$A$1-S_R_350!$A$1)*(S_R_420!J24-S_R_350!J24)</f>
        <v>3.4785714285714286</v>
      </c>
      <c r="K24" s="96">
        <f>S_R_350!K24+(S_R_390!$A$1-S_R_350!$A$1)/(S_R_420!$A$1-S_R_350!$A$1)*(S_R_420!K24-S_R_350!K24)</f>
        <v>1.8942857142857141</v>
      </c>
      <c r="L24" s="96">
        <f>S_R_350!L24+(S_R_390!$A$1-S_R_350!$A$1)/(S_R_420!$A$1-S_R_350!$A$1)*(S_R_420!L24-S_R_350!L24)</f>
        <v>3.7242857142857142</v>
      </c>
      <c r="M24" s="96">
        <f>S_R_350!M24+(S_R_390!$A$1-S_R_350!$A$1)/(S_R_420!$A$1-S_R_350!$A$1)*(S_R_420!M24-S_R_350!M24)</f>
        <v>198.70285714285714</v>
      </c>
      <c r="N24" s="96">
        <f>S_R_350!N24+(S_R_390!$A$1-S_R_350!$A$1)/(S_R_420!$A$1-S_R_350!$A$1)*(S_R_420!N24-S_R_350!N24)</f>
        <v>19.865714285714287</v>
      </c>
      <c r="O24" s="96">
        <f>S_R_350!O24+(S_R_390!$A$1-S_R_350!$A$1)/(S_R_420!$A$1-S_R_350!$A$1)*(S_R_420!O24-S_R_350!O24)</f>
        <v>7.2914285714285709</v>
      </c>
      <c r="P24" s="96">
        <f>S_R_350!P24+(S_R_390!$A$1-S_R_350!$A$1)/(S_R_420!$A$1-S_R_350!$A$1)*(S_R_420!P24-S_R_350!P24)</f>
        <v>10</v>
      </c>
      <c r="Q24" s="96"/>
      <c r="R24" s="96"/>
      <c r="S24" s="96"/>
      <c r="T24" s="96"/>
      <c r="U24" s="96"/>
      <c r="V24" s="96">
        <f>S_R_350!V24+(S_R_390!$A$1-S_R_350!$A$1)/(S_R_420!$A$1-S_R_350!$A$1)*(S_R_420!V24-S_R_350!V24)</f>
        <v>3.75</v>
      </c>
      <c r="W24" s="96">
        <f>S_R_350!W24+(S_R_390!$A$1-S_R_350!$A$1)/(S_R_420!$A$1-S_R_350!$A$1)*(S_R_420!W24-S_R_350!W24)</f>
        <v>13.378571428571428</v>
      </c>
      <c r="X24" s="96">
        <f>S_R_350!X24+(S_R_390!$A$1-S_R_350!$A$1)/(S_R_420!$A$1-S_R_350!$A$1)*(S_R_420!X24-S_R_350!X24)</f>
        <v>3.6885714285714286</v>
      </c>
      <c r="Y24" s="96">
        <f>S_R_350!Y24+(S_R_390!$A$1-S_R_350!$A$1)/(S_R_420!$A$1-S_R_350!$A$1)*(S_R_420!Y24-S_R_350!Y24)</f>
        <v>1.88</v>
      </c>
      <c r="Z24" s="97">
        <f>S_R_350!Z24+(S_R_390!$A$1-S_R_350!$A$1)/(S_R_420!$A$1-S_R_350!$A$1)*(S_R_420!Z24-S_R_350!Z24)</f>
        <v>1.8728571428571428</v>
      </c>
      <c r="AB24" s="219">
        <v>3.38</v>
      </c>
      <c r="AC24" s="220">
        <v>3.57</v>
      </c>
      <c r="AD24" s="220">
        <v>1.9</v>
      </c>
      <c r="AE24" s="220">
        <v>3.81</v>
      </c>
      <c r="AF24" s="220">
        <v>204.68</v>
      </c>
      <c r="AG24" s="220">
        <v>20.46</v>
      </c>
      <c r="AH24" s="220">
        <v>7.32</v>
      </c>
      <c r="AI24" s="220">
        <v>10</v>
      </c>
      <c r="AJ24" s="221"/>
      <c r="AK24" s="221"/>
      <c r="AL24" s="221"/>
      <c r="AM24" s="221"/>
      <c r="AN24" s="221"/>
      <c r="AO24" s="220">
        <v>3.79</v>
      </c>
      <c r="AP24" s="220">
        <v>13.51</v>
      </c>
      <c r="AQ24" s="220">
        <v>3.7</v>
      </c>
      <c r="AR24" s="220">
        <v>1.88</v>
      </c>
      <c r="AS24" s="220">
        <v>1.85</v>
      </c>
    </row>
    <row r="25" spans="1:45" ht="15" customHeight="1" thickBot="1" x14ac:dyDescent="0.3">
      <c r="A25" s="72" t="str">
        <f t="shared" si="7"/>
        <v>SIGMA200x1,5</v>
      </c>
      <c r="B25" s="11" t="str">
        <f t="shared" si="8"/>
        <v>200</v>
      </c>
      <c r="C25" s="3">
        <f t="shared" si="9"/>
        <v>55</v>
      </c>
      <c r="D25" s="3">
        <f t="shared" si="10"/>
        <v>55</v>
      </c>
      <c r="E25" s="3">
        <f t="shared" si="11"/>
        <v>18</v>
      </c>
      <c r="F25" s="134" t="str">
        <f t="shared" si="12"/>
        <v>SIGMA200</v>
      </c>
      <c r="G25" s="81" t="s">
        <v>101</v>
      </c>
      <c r="H25" s="123">
        <v>1.5</v>
      </c>
      <c r="I25" s="96">
        <v>4.07</v>
      </c>
      <c r="J25" s="96">
        <f>S_R_350!J25+(S_R_390!$A$1-S_R_350!$A$1)/(S_R_420!$A$1-S_R_350!$A$1)*(S_R_420!J25-S_R_350!J25)</f>
        <v>4.7128571428571426</v>
      </c>
      <c r="K25" s="96">
        <f>S_R_350!K25+(S_R_390!$A$1-S_R_350!$A$1)/(S_R_420!$A$1-S_R_350!$A$1)*(S_R_420!K25-S_R_350!K25)</f>
        <v>1.8514285714285714</v>
      </c>
      <c r="L25" s="96">
        <f>S_R_350!L25+(S_R_390!$A$1-S_R_350!$A$1)/(S_R_420!$A$1-S_R_350!$A$1)*(S_R_420!L25-S_R_350!L25)</f>
        <v>4.765714285714286</v>
      </c>
      <c r="M25" s="96">
        <f>S_R_350!M25+(S_R_390!$A$1-S_R_350!$A$1)/(S_R_420!$A$1-S_R_350!$A$1)*(S_R_420!M25-S_R_350!M25)</f>
        <v>269.55571428571432</v>
      </c>
      <c r="N25" s="96">
        <f>S_R_350!N25+(S_R_390!$A$1-S_R_350!$A$1)/(S_R_420!$A$1-S_R_350!$A$1)*(S_R_420!N25-S_R_350!N25)</f>
        <v>25.568571428571431</v>
      </c>
      <c r="O25" s="96">
        <f>S_R_350!O25+(S_R_390!$A$1-S_R_350!$A$1)/(S_R_420!$A$1-S_R_350!$A$1)*(S_R_420!O25-S_R_350!O25)</f>
        <v>7.5142857142857142</v>
      </c>
      <c r="P25" s="96">
        <f>S_R_350!P25+(S_R_390!$A$1-S_R_350!$A$1)/(S_R_420!$A$1-S_R_350!$A$1)*(S_R_420!P25-S_R_350!P25)</f>
        <v>9.4557142857142846</v>
      </c>
      <c r="Q25" s="96"/>
      <c r="R25" s="96"/>
      <c r="S25" s="96"/>
      <c r="T25" s="96"/>
      <c r="U25" s="96"/>
      <c r="V25" s="96">
        <f>S_R_350!V25+(S_R_390!$A$1-S_R_350!$A$1)/(S_R_420!$A$1-S_R_350!$A$1)*(S_R_420!V25-S_R_350!V25)</f>
        <v>4.76</v>
      </c>
      <c r="W25" s="96">
        <f>S_R_350!W25+(S_R_390!$A$1-S_R_350!$A$1)/(S_R_420!$A$1-S_R_350!$A$1)*(S_R_420!W25-S_R_350!W25)</f>
        <v>16.264285714285712</v>
      </c>
      <c r="X25" s="96">
        <f>S_R_350!X25+(S_R_390!$A$1-S_R_350!$A$1)/(S_R_420!$A$1-S_R_350!$A$1)*(S_R_420!X25-S_R_350!X25)</f>
        <v>4.4000000000000004</v>
      </c>
      <c r="Y25" s="96">
        <f>S_R_350!Y25+(S_R_390!$A$1-S_R_350!$A$1)/(S_R_420!$A$1-S_R_350!$A$1)*(S_R_420!Y25-S_R_350!Y25)</f>
        <v>1.84</v>
      </c>
      <c r="Z25" s="97">
        <f>S_R_350!Z25+(S_R_390!$A$1-S_R_350!$A$1)/(S_R_420!$A$1-S_R_350!$A$1)*(S_R_420!Z25-S_R_350!Z25)</f>
        <v>1.8071428571428572</v>
      </c>
      <c r="AB25" s="219">
        <v>4.07</v>
      </c>
      <c r="AC25" s="219">
        <v>4.66</v>
      </c>
      <c r="AD25" s="219">
        <v>1.87</v>
      </c>
      <c r="AE25" s="219">
        <v>4.76</v>
      </c>
      <c r="AF25" s="219">
        <v>269.11</v>
      </c>
      <c r="AG25" s="219">
        <v>25.47</v>
      </c>
      <c r="AH25" s="219">
        <v>7.52</v>
      </c>
      <c r="AI25" s="219">
        <v>9.43</v>
      </c>
      <c r="AJ25" s="221"/>
      <c r="AK25" s="221"/>
      <c r="AL25" s="221"/>
      <c r="AM25" s="221"/>
      <c r="AN25" s="221"/>
      <c r="AO25" s="219">
        <v>4.76</v>
      </c>
      <c r="AP25" s="219">
        <v>16.260000000000002</v>
      </c>
      <c r="AQ25" s="219">
        <v>4.4000000000000004</v>
      </c>
      <c r="AR25" s="219">
        <v>1.83</v>
      </c>
      <c r="AS25" s="219">
        <v>1.79</v>
      </c>
    </row>
    <row r="26" spans="1:45" ht="15" customHeight="1" thickBot="1" x14ac:dyDescent="0.3">
      <c r="A26" s="72" t="str">
        <f t="shared" si="7"/>
        <v>SIGMA200x2,0</v>
      </c>
      <c r="B26" s="11" t="str">
        <f t="shared" si="8"/>
        <v>200</v>
      </c>
      <c r="C26" s="3">
        <f t="shared" si="9"/>
        <v>55</v>
      </c>
      <c r="D26" s="3">
        <f t="shared" si="10"/>
        <v>55</v>
      </c>
      <c r="E26" s="3">
        <f t="shared" si="11"/>
        <v>20</v>
      </c>
      <c r="F26" s="134" t="str">
        <f t="shared" si="12"/>
        <v>SIGMA200</v>
      </c>
      <c r="G26" s="81" t="s">
        <v>102</v>
      </c>
      <c r="H26" s="123">
        <v>2</v>
      </c>
      <c r="I26" s="96">
        <v>5.45</v>
      </c>
      <c r="J26" s="96">
        <f>S_R_350!J26+(S_R_390!$A$1-S_R_350!$A$1)/(S_R_420!$A$1-S_R_350!$A$1)*(S_R_420!J26-S_R_350!J26)</f>
        <v>6.8514285714285714</v>
      </c>
      <c r="K26" s="96">
        <f>S_R_350!K26+(S_R_390!$A$1-S_R_350!$A$1)/(S_R_420!$A$1-S_R_350!$A$1)*(S_R_420!K26-S_R_350!K26)</f>
        <v>1.8357142857142859</v>
      </c>
      <c r="L26" s="96">
        <f>S_R_350!L26+(S_R_390!$A$1-S_R_350!$A$1)/(S_R_420!$A$1-S_R_350!$A$1)*(S_R_420!L26-S_R_350!L26)</f>
        <v>6.8814285714285717</v>
      </c>
      <c r="M26" s="96">
        <f>S_R_350!M26+(S_R_390!$A$1-S_R_350!$A$1)/(S_R_420!$A$1-S_R_350!$A$1)*(S_R_420!M26-S_R_350!M26)</f>
        <v>380.92714285714288</v>
      </c>
      <c r="N26" s="96">
        <f>S_R_350!N26+(S_R_390!$A$1-S_R_350!$A$1)/(S_R_420!$A$1-S_R_350!$A$1)*(S_R_420!N26-S_R_350!N26)</f>
        <v>37.875714285714288</v>
      </c>
      <c r="O26" s="96">
        <f>S_R_350!O26+(S_R_390!$A$1-S_R_350!$A$1)/(S_R_420!$A$1-S_R_350!$A$1)*(S_R_420!O26-S_R_350!O26)</f>
        <v>7.4314285714285715</v>
      </c>
      <c r="P26" s="96">
        <f>S_R_350!P26+(S_R_390!$A$1-S_R_350!$A$1)/(S_R_420!$A$1-S_R_350!$A$1)*(S_R_420!P26-S_R_350!P26)</f>
        <v>9.9428571428571431</v>
      </c>
      <c r="Q26" s="96"/>
      <c r="R26" s="96"/>
      <c r="S26" s="96"/>
      <c r="T26" s="96"/>
      <c r="U26" s="96"/>
      <c r="V26" s="96">
        <f>S_R_350!V26+(S_R_390!$A$1-S_R_350!$A$1)/(S_R_420!$A$1-S_R_350!$A$1)*(S_R_420!V26-S_R_350!V26)</f>
        <v>6.8514285714285714</v>
      </c>
      <c r="W26" s="96">
        <f>S_R_350!W26+(S_R_390!$A$1-S_R_350!$A$1)/(S_R_420!$A$1-S_R_350!$A$1)*(S_R_420!W26-S_R_350!W26)</f>
        <v>23.255714285714284</v>
      </c>
      <c r="X26" s="96">
        <f>S_R_350!X26+(S_R_390!$A$1-S_R_350!$A$1)/(S_R_420!$A$1-S_R_350!$A$1)*(S_R_420!X26-S_R_350!X26)</f>
        <v>6.2271428571428569</v>
      </c>
      <c r="Y26" s="96">
        <f>S_R_350!Y26+(S_R_390!$A$1-S_R_350!$A$1)/(S_R_420!$A$1-S_R_350!$A$1)*(S_R_420!Y26-S_R_350!Y26)</f>
        <v>1.8357142857142859</v>
      </c>
      <c r="Z26" s="97">
        <f>S_R_350!Z26+(S_R_390!$A$1-S_R_350!$A$1)/(S_R_420!$A$1-S_R_350!$A$1)*(S_R_420!Z26-S_R_350!Z26)</f>
        <v>1.7671428571428571</v>
      </c>
      <c r="AB26" s="219">
        <v>5.45</v>
      </c>
      <c r="AC26" s="219">
        <v>6.81</v>
      </c>
      <c r="AD26" s="219">
        <v>1.86</v>
      </c>
      <c r="AE26" s="219">
        <v>6.88</v>
      </c>
      <c r="AF26" s="219">
        <v>382.21</v>
      </c>
      <c r="AG26" s="219">
        <v>37.869999999999997</v>
      </c>
      <c r="AH26" s="219">
        <v>7.44</v>
      </c>
      <c r="AI26" s="219">
        <v>9.9499999999999993</v>
      </c>
      <c r="AJ26" s="221"/>
      <c r="AK26" s="221"/>
      <c r="AL26" s="221"/>
      <c r="AM26" s="221"/>
      <c r="AN26" s="221"/>
      <c r="AO26" s="219">
        <v>6.51</v>
      </c>
      <c r="AP26" s="219">
        <v>23.25</v>
      </c>
      <c r="AQ26" s="219">
        <v>6.22</v>
      </c>
      <c r="AR26" s="219">
        <v>1.86</v>
      </c>
      <c r="AS26" s="219">
        <v>1.84</v>
      </c>
    </row>
    <row r="27" spans="1:45" ht="15" customHeight="1" thickBot="1" x14ac:dyDescent="0.3">
      <c r="A27" s="72" t="str">
        <f t="shared" si="7"/>
        <v>SIGMA200x2,5</v>
      </c>
      <c r="B27" s="11" t="str">
        <f t="shared" si="8"/>
        <v>200</v>
      </c>
      <c r="C27" s="3">
        <f t="shared" si="9"/>
        <v>55</v>
      </c>
      <c r="D27" s="3">
        <f t="shared" si="10"/>
        <v>55</v>
      </c>
      <c r="E27" s="3">
        <f t="shared" si="11"/>
        <v>22</v>
      </c>
      <c r="F27" s="134" t="str">
        <f t="shared" si="12"/>
        <v>SIGMA200</v>
      </c>
      <c r="G27" s="81" t="s">
        <v>103</v>
      </c>
      <c r="H27" s="123">
        <v>2.5</v>
      </c>
      <c r="I27" s="96">
        <v>6.85</v>
      </c>
      <c r="J27" s="96">
        <f>S_R_350!J27+(S_R_390!$A$1-S_R_350!$A$1)/(S_R_420!$A$1-S_R_350!$A$1)*(S_R_420!J27-S_R_350!J27)</f>
        <v>8.73</v>
      </c>
      <c r="K27" s="96">
        <f>S_R_350!K27+(S_R_390!$A$1-S_R_350!$A$1)/(S_R_420!$A$1-S_R_350!$A$1)*(S_R_420!K27-S_R_350!K27)</f>
        <v>1.84</v>
      </c>
      <c r="L27" s="96">
        <f>S_R_350!L27+(S_R_390!$A$1-S_R_350!$A$1)/(S_R_420!$A$1-S_R_350!$A$1)*(S_R_420!L27-S_R_350!L27)</f>
        <v>8.73</v>
      </c>
      <c r="M27" s="96">
        <f>S_R_350!M27+(S_R_390!$A$1-S_R_350!$A$1)/(S_R_420!$A$1-S_R_350!$A$1)*(S_R_420!M27-S_R_350!M27)</f>
        <v>478.11</v>
      </c>
      <c r="N27" s="96">
        <f>S_R_350!N27+(S_R_390!$A$1-S_R_350!$A$1)/(S_R_420!$A$1-S_R_350!$A$1)*(S_R_420!N27-S_R_350!N27)</f>
        <v>47.81</v>
      </c>
      <c r="O27" s="96">
        <f>S_R_350!O27+(S_R_390!$A$1-S_R_350!$A$1)/(S_R_420!$A$1-S_R_350!$A$1)*(S_R_420!O27-S_R_350!O27)</f>
        <v>7.39</v>
      </c>
      <c r="P27" s="96">
        <f>S_R_350!P27+(S_R_390!$A$1-S_R_350!$A$1)/(S_R_420!$A$1-S_R_350!$A$1)*(S_R_420!P27-S_R_350!P27)</f>
        <v>10</v>
      </c>
      <c r="Q27" s="96"/>
      <c r="R27" s="96"/>
      <c r="S27" s="96"/>
      <c r="T27" s="96"/>
      <c r="U27" s="96"/>
      <c r="V27" s="96">
        <f>S_R_350!V27+(S_R_390!$A$1-S_R_350!$A$1)/(S_R_420!$A$1-S_R_350!$A$1)*(S_R_420!V27-S_R_350!V27)</f>
        <v>8.73</v>
      </c>
      <c r="W27" s="96">
        <f>S_R_350!W27+(S_R_390!$A$1-S_R_350!$A$1)/(S_R_420!$A$1-S_R_350!$A$1)*(S_R_420!W27-S_R_350!W27)</f>
        <v>29.79</v>
      </c>
      <c r="X27" s="96">
        <f>S_R_350!X27+(S_R_390!$A$1-S_R_350!$A$1)/(S_R_420!$A$1-S_R_350!$A$1)*(S_R_420!X27-S_R_350!X27)</f>
        <v>8.0299999999999994</v>
      </c>
      <c r="Y27" s="96">
        <f>S_R_350!Y27+(S_R_390!$A$1-S_R_350!$A$1)/(S_R_420!$A$1-S_R_350!$A$1)*(S_R_420!Y27-S_R_350!Y27)</f>
        <v>1.84</v>
      </c>
      <c r="Z27" s="97">
        <f>S_R_350!Z27+(S_R_390!$A$1-S_R_350!$A$1)/(S_R_420!$A$1-S_R_350!$A$1)*(S_R_420!Z27-S_R_350!Z27)</f>
        <v>1.79</v>
      </c>
      <c r="AB27" s="219">
        <v>6.85</v>
      </c>
      <c r="AC27" s="220">
        <v>8.73</v>
      </c>
      <c r="AD27" s="220">
        <v>1.84</v>
      </c>
      <c r="AE27" s="220">
        <v>8.73</v>
      </c>
      <c r="AF27" s="220">
        <v>478.11</v>
      </c>
      <c r="AG27" s="220">
        <v>47.81</v>
      </c>
      <c r="AH27" s="220">
        <v>7.39</v>
      </c>
      <c r="AI27" s="220">
        <v>10</v>
      </c>
      <c r="AJ27" s="221"/>
      <c r="AK27" s="221"/>
      <c r="AL27" s="221"/>
      <c r="AM27" s="221"/>
      <c r="AN27" s="221"/>
      <c r="AO27" s="220">
        <v>8.73</v>
      </c>
      <c r="AP27" s="220">
        <v>29.79</v>
      </c>
      <c r="AQ27" s="220">
        <v>8.0299999999999994</v>
      </c>
      <c r="AR27" s="220">
        <v>1.84</v>
      </c>
      <c r="AS27" s="220">
        <v>1.79</v>
      </c>
    </row>
    <row r="28" spans="1:45" ht="15" customHeight="1" thickBot="1" x14ac:dyDescent="0.3">
      <c r="A28" s="73" t="str">
        <f t="shared" si="7"/>
        <v>SIGMA200x3,0</v>
      </c>
      <c r="B28" s="12" t="str">
        <f t="shared" si="8"/>
        <v>200</v>
      </c>
      <c r="C28" s="5">
        <f t="shared" si="9"/>
        <v>55</v>
      </c>
      <c r="D28" s="5">
        <f t="shared" si="10"/>
        <v>55</v>
      </c>
      <c r="E28" s="5">
        <f t="shared" si="11"/>
        <v>24</v>
      </c>
      <c r="F28" s="135" t="str">
        <f t="shared" si="12"/>
        <v>SIGMA200</v>
      </c>
      <c r="G28" s="82" t="s">
        <v>104</v>
      </c>
      <c r="H28" s="124">
        <v>3</v>
      </c>
      <c r="I28" s="98">
        <v>8.25</v>
      </c>
      <c r="J28" s="98">
        <f>S_R_350!J28+(S_R_390!$A$1-S_R_350!$A$1)/(S_R_420!$A$1-S_R_350!$A$1)*(S_R_420!J28-S_R_350!J28)</f>
        <v>10.52</v>
      </c>
      <c r="K28" s="98">
        <f>S_R_350!K28+(S_R_390!$A$1-S_R_350!$A$1)/(S_R_420!$A$1-S_R_350!$A$1)*(S_R_420!K28-S_R_350!K28)</f>
        <v>1.85</v>
      </c>
      <c r="L28" s="98">
        <f>S_R_350!L28+(S_R_390!$A$1-S_R_350!$A$1)/(S_R_420!$A$1-S_R_350!$A$1)*(S_R_420!L28-S_R_350!L28)</f>
        <v>10.52</v>
      </c>
      <c r="M28" s="98">
        <f>S_R_350!M28+(S_R_390!$A$1-S_R_350!$A$1)/(S_R_420!$A$1-S_R_350!$A$1)*(S_R_420!M28-S_R_350!M28)</f>
        <v>572.38</v>
      </c>
      <c r="N28" s="98">
        <f>S_R_350!N28+(S_R_390!$A$1-S_R_350!$A$1)/(S_R_420!$A$1-S_R_350!$A$1)*(S_R_420!N28-S_R_350!N28)</f>
        <v>57.23</v>
      </c>
      <c r="O28" s="98">
        <f>S_R_350!O28+(S_R_390!$A$1-S_R_350!$A$1)/(S_R_420!$A$1-S_R_350!$A$1)*(S_R_420!O28-S_R_350!O28)</f>
        <v>7.37</v>
      </c>
      <c r="P28" s="98">
        <f>S_R_350!P28+(S_R_390!$A$1-S_R_350!$A$1)/(S_R_420!$A$1-S_R_350!$A$1)*(S_R_420!P28-S_R_350!P28)</f>
        <v>10</v>
      </c>
      <c r="Q28" s="98"/>
      <c r="R28" s="98"/>
      <c r="S28" s="98"/>
      <c r="T28" s="98"/>
      <c r="U28" s="98"/>
      <c r="V28" s="98">
        <f>S_R_350!V28+(S_R_390!$A$1-S_R_350!$A$1)/(S_R_420!$A$1-S_R_350!$A$1)*(S_R_420!V28-S_R_350!V28)</f>
        <v>10.52</v>
      </c>
      <c r="W28" s="98">
        <f>S_R_350!W28+(S_R_390!$A$1-S_R_350!$A$1)/(S_R_420!$A$1-S_R_350!$A$1)*(S_R_420!W28-S_R_350!W28)</f>
        <v>36.14</v>
      </c>
      <c r="X28" s="98">
        <f>S_R_350!X28+(S_R_390!$A$1-S_R_350!$A$1)/(S_R_420!$A$1-S_R_350!$A$1)*(S_R_420!X28-S_R_350!X28)</f>
        <v>9.8699999999999992</v>
      </c>
      <c r="Y28" s="98">
        <f>S_R_350!Y28+(S_R_390!$A$1-S_R_350!$A$1)/(S_R_420!$A$1-S_R_350!$A$1)*(S_R_420!Y28-S_R_350!Y28)</f>
        <v>1.85</v>
      </c>
      <c r="Z28" s="99">
        <f>S_R_350!Z28+(S_R_390!$A$1-S_R_350!$A$1)/(S_R_420!$A$1-S_R_350!$A$1)*(S_R_420!Z28-S_R_350!Z28)</f>
        <v>1.84</v>
      </c>
      <c r="AB28" s="219">
        <v>8.25</v>
      </c>
      <c r="AC28" s="220">
        <v>10.52</v>
      </c>
      <c r="AD28" s="220">
        <v>1.85</v>
      </c>
      <c r="AE28" s="220">
        <v>10.52</v>
      </c>
      <c r="AF28" s="220">
        <v>572.38</v>
      </c>
      <c r="AG28" s="220">
        <v>57.23</v>
      </c>
      <c r="AH28" s="220">
        <v>7.37</v>
      </c>
      <c r="AI28" s="220">
        <v>10</v>
      </c>
      <c r="AJ28" s="221"/>
      <c r="AK28" s="221"/>
      <c r="AL28" s="221"/>
      <c r="AM28" s="221"/>
      <c r="AN28" s="221"/>
      <c r="AO28" s="220">
        <v>10.52</v>
      </c>
      <c r="AP28" s="220">
        <v>36.14</v>
      </c>
      <c r="AQ28" s="220">
        <v>9.84</v>
      </c>
      <c r="AR28" s="220">
        <v>1.85</v>
      </c>
      <c r="AS28" s="220">
        <v>1.84</v>
      </c>
    </row>
    <row r="29" spans="1:45" ht="15" customHeight="1" thickBot="1" x14ac:dyDescent="0.3">
      <c r="A29" s="71" t="str">
        <f t="shared" si="7"/>
        <v>SIGMA220x1,5</v>
      </c>
      <c r="B29" s="10" t="str">
        <f>LEFT(G29,3)</f>
        <v>220</v>
      </c>
      <c r="C29" s="1">
        <f t="shared" si="9"/>
        <v>55</v>
      </c>
      <c r="D29" s="1">
        <f t="shared" si="10"/>
        <v>55</v>
      </c>
      <c r="E29" s="1">
        <f t="shared" si="11"/>
        <v>18</v>
      </c>
      <c r="F29" s="133" t="str">
        <f t="shared" si="12"/>
        <v>SIGMA220</v>
      </c>
      <c r="G29" s="80" t="s">
        <v>105</v>
      </c>
      <c r="H29" s="122">
        <v>1.5</v>
      </c>
      <c r="I29" s="94">
        <v>4.3099999999999996</v>
      </c>
      <c r="J29" s="94">
        <f>S_R_350!J29+(S_R_390!$A$1-S_R_350!$A$1)/(S_R_420!$A$1-S_R_350!$A$1)*(S_R_420!J29-S_R_350!J29)</f>
        <v>4.7771428571428576</v>
      </c>
      <c r="K29" s="94">
        <f>S_R_350!K29+(S_R_390!$A$1-S_R_350!$A$1)/(S_R_420!$A$1-S_R_350!$A$1)*(S_R_420!K29-S_R_350!K29)</f>
        <v>1.8457142857142859</v>
      </c>
      <c r="L29" s="94">
        <f>S_R_350!L29+(S_R_390!$A$1-S_R_350!$A$1)/(S_R_420!$A$1-S_R_350!$A$1)*(S_R_420!L29-S_R_350!L29)</f>
        <v>4.9257142857142862</v>
      </c>
      <c r="M29" s="94">
        <f>S_R_350!M29+(S_R_390!$A$1-S_R_350!$A$1)/(S_R_420!$A$1-S_R_350!$A$1)*(S_R_420!M29-S_R_350!M29)</f>
        <v>332.9628571428571</v>
      </c>
      <c r="N29" s="94">
        <f>S_R_350!N29+(S_R_390!$A$1-S_R_350!$A$1)/(S_R_420!$A$1-S_R_350!$A$1)*(S_R_420!N29-S_R_350!N29)</f>
        <v>28.348571428571429</v>
      </c>
      <c r="O29" s="94">
        <f>S_R_350!O29+(S_R_390!$A$1-S_R_350!$A$1)/(S_R_420!$A$1-S_R_350!$A$1)*(S_R_420!O29-S_R_350!O29)</f>
        <v>8.2142857142857153</v>
      </c>
      <c r="P29" s="94">
        <f>S_R_350!P29+(S_R_390!$A$1-S_R_350!$A$1)/(S_R_420!$A$1-S_R_350!$A$1)*(S_R_420!P29-S_R_350!P29)</f>
        <v>10.254285714285714</v>
      </c>
      <c r="Q29" s="94"/>
      <c r="R29" s="94"/>
      <c r="S29" s="94"/>
      <c r="T29" s="94"/>
      <c r="U29" s="94"/>
      <c r="V29" s="94">
        <f>S_R_350!V29+(S_R_390!$A$1-S_R_350!$A$1)/(S_R_420!$A$1-S_R_350!$A$1)*(S_R_420!V29-S_R_350!V29)</f>
        <v>4.83</v>
      </c>
      <c r="W29" s="94">
        <f>S_R_350!W29+(S_R_390!$A$1-S_R_350!$A$1)/(S_R_420!$A$1-S_R_350!$A$1)*(S_R_420!W29-S_R_350!W29)</f>
        <v>16.457142857142856</v>
      </c>
      <c r="X29" s="94">
        <f>S_R_350!X29+(S_R_390!$A$1-S_R_350!$A$1)/(S_R_420!$A$1-S_R_350!$A$1)*(S_R_420!X29-S_R_350!X29)</f>
        <v>4.43</v>
      </c>
      <c r="Y29" s="94">
        <f>S_R_350!Y29+(S_R_390!$A$1-S_R_350!$A$1)/(S_R_420!$A$1-S_R_350!$A$1)*(S_R_420!Y29-S_R_350!Y29)</f>
        <v>1.84</v>
      </c>
      <c r="Z29" s="95">
        <f>S_R_350!Z29+(S_R_390!$A$1-S_R_350!$A$1)/(S_R_420!$A$1-S_R_350!$A$1)*(S_R_420!Z29-S_R_350!Z29)</f>
        <v>1.7871428571428571</v>
      </c>
      <c r="AB29" s="219">
        <v>4.3099999999999996</v>
      </c>
      <c r="AC29" s="219">
        <v>4.72</v>
      </c>
      <c r="AD29" s="219">
        <v>1.87</v>
      </c>
      <c r="AE29" s="219">
        <v>4.92</v>
      </c>
      <c r="AF29" s="219">
        <v>331.74</v>
      </c>
      <c r="AG29" s="219">
        <v>28.17</v>
      </c>
      <c r="AH29" s="219">
        <v>8.2100000000000009</v>
      </c>
      <c r="AI29" s="219">
        <v>10.220000000000001</v>
      </c>
      <c r="AJ29" s="221"/>
      <c r="AK29" s="221"/>
      <c r="AL29" s="221"/>
      <c r="AM29" s="221"/>
      <c r="AN29" s="221"/>
      <c r="AO29" s="219">
        <v>4.83</v>
      </c>
      <c r="AP29" s="219">
        <v>16.45</v>
      </c>
      <c r="AQ29" s="219">
        <v>4.43</v>
      </c>
      <c r="AR29" s="219">
        <v>1.85</v>
      </c>
      <c r="AS29" s="219">
        <v>1.77</v>
      </c>
    </row>
    <row r="30" spans="1:45" ht="15" customHeight="1" thickBot="1" x14ac:dyDescent="0.3">
      <c r="A30" s="72" t="str">
        <f t="shared" si="7"/>
        <v>SIGMA220x2,0</v>
      </c>
      <c r="B30" s="11" t="str">
        <f t="shared" ref="B30:B38" si="13">LEFT(G30,3)</f>
        <v>220</v>
      </c>
      <c r="C30" s="3">
        <f t="shared" si="9"/>
        <v>55</v>
      </c>
      <c r="D30" s="3">
        <f t="shared" si="10"/>
        <v>55</v>
      </c>
      <c r="E30" s="3">
        <f t="shared" si="11"/>
        <v>20</v>
      </c>
      <c r="F30" s="134" t="str">
        <f t="shared" si="12"/>
        <v>SIGMA220</v>
      </c>
      <c r="G30" s="81" t="s">
        <v>106</v>
      </c>
      <c r="H30" s="123">
        <v>2</v>
      </c>
      <c r="I30" s="96">
        <v>5.77</v>
      </c>
      <c r="J30" s="96">
        <f>S_R_350!J30+(S_R_390!$A$1-S_R_350!$A$1)/(S_R_420!$A$1-S_R_350!$A$1)*(S_R_420!J30-S_R_350!J30)</f>
        <v>7.0042857142857144</v>
      </c>
      <c r="K30" s="96">
        <f>S_R_350!K30+(S_R_390!$A$1-S_R_350!$A$1)/(S_R_420!$A$1-S_R_350!$A$1)*(S_R_420!K30-S_R_350!K30)</f>
        <v>1.83</v>
      </c>
      <c r="L30" s="96">
        <f>S_R_350!L30+(S_R_390!$A$1-S_R_350!$A$1)/(S_R_420!$A$1-S_R_350!$A$1)*(S_R_420!L30-S_R_350!L30)</f>
        <v>7.1242857142857137</v>
      </c>
      <c r="M30" s="96">
        <f>S_R_350!M30+(S_R_390!$A$1-S_R_350!$A$1)/(S_R_420!$A$1-S_R_350!$A$1)*(S_R_420!M30-S_R_350!M30)</f>
        <v>472.00142857142856</v>
      </c>
      <c r="N30" s="96">
        <f>S_R_350!N30+(S_R_390!$A$1-S_R_350!$A$1)/(S_R_420!$A$1-S_R_350!$A$1)*(S_R_420!N30-S_R_350!N30)</f>
        <v>42.135714285714286</v>
      </c>
      <c r="O30" s="96">
        <f>S_R_350!O30+(S_R_390!$A$1-S_R_350!$A$1)/(S_R_420!$A$1-S_R_350!$A$1)*(S_R_420!O30-S_R_350!O30)</f>
        <v>8.1328571428571426</v>
      </c>
      <c r="P30" s="96">
        <f>S_R_350!P30+(S_R_390!$A$1-S_R_350!$A$1)/(S_R_420!$A$1-S_R_350!$A$1)*(S_R_420!P30-S_R_350!P30)</f>
        <v>10.8</v>
      </c>
      <c r="Q30" s="96"/>
      <c r="R30" s="96"/>
      <c r="S30" s="96"/>
      <c r="T30" s="96"/>
      <c r="U30" s="96"/>
      <c r="V30" s="96">
        <f>S_R_350!V30+(S_R_390!$A$1-S_R_350!$A$1)/(S_R_420!$A$1-S_R_350!$A$1)*(S_R_420!V30-S_R_350!V30)</f>
        <v>7.0042857142857144</v>
      </c>
      <c r="W30" s="96">
        <f>S_R_350!W30+(S_R_390!$A$1-S_R_350!$A$1)/(S_R_420!$A$1-S_R_350!$A$1)*(S_R_420!W30-S_R_350!W30)</f>
        <v>23.677142857142858</v>
      </c>
      <c r="X30" s="96">
        <f>S_R_350!X30+(S_R_390!$A$1-S_R_350!$A$1)/(S_R_420!$A$1-S_R_350!$A$1)*(S_R_420!X30-S_R_350!X30)</f>
        <v>6.2814285714285711</v>
      </c>
      <c r="Y30" s="96">
        <f>S_R_350!Y30+(S_R_390!$A$1-S_R_350!$A$1)/(S_R_420!$A$1-S_R_350!$A$1)*(S_R_420!Y30-S_R_350!Y30)</f>
        <v>1.83</v>
      </c>
      <c r="Z30" s="97">
        <f>S_R_350!Z30+(S_R_390!$A$1-S_R_350!$A$1)/(S_R_420!$A$1-S_R_350!$A$1)*(S_R_420!Z30-S_R_350!Z30)</f>
        <v>1.7328571428571429</v>
      </c>
      <c r="AB30" s="219">
        <v>5.77</v>
      </c>
      <c r="AC30" s="219">
        <v>6.95</v>
      </c>
      <c r="AD30" s="219">
        <v>1.85</v>
      </c>
      <c r="AE30" s="219">
        <v>7.12</v>
      </c>
      <c r="AF30" s="219">
        <v>471.55</v>
      </c>
      <c r="AG30" s="219">
        <v>42.04</v>
      </c>
      <c r="AH30" s="219">
        <v>8.14</v>
      </c>
      <c r="AI30" s="219">
        <v>10.78</v>
      </c>
      <c r="AJ30" s="221"/>
      <c r="AK30" s="221"/>
      <c r="AL30" s="221"/>
      <c r="AM30" s="221"/>
      <c r="AN30" s="221"/>
      <c r="AO30" s="219">
        <v>7</v>
      </c>
      <c r="AP30" s="219">
        <v>23.67</v>
      </c>
      <c r="AQ30" s="219">
        <v>6.28</v>
      </c>
      <c r="AR30" s="219">
        <v>1.84</v>
      </c>
      <c r="AS30" s="219">
        <v>1.7</v>
      </c>
    </row>
    <row r="31" spans="1:45" ht="15" customHeight="1" thickBot="1" x14ac:dyDescent="0.3">
      <c r="A31" s="72" t="str">
        <f t="shared" si="7"/>
        <v>SIGMA220x2,5</v>
      </c>
      <c r="B31" s="11" t="str">
        <f t="shared" si="13"/>
        <v>220</v>
      </c>
      <c r="C31" s="3">
        <f t="shared" si="9"/>
        <v>55</v>
      </c>
      <c r="D31" s="3">
        <f t="shared" si="10"/>
        <v>55</v>
      </c>
      <c r="E31" s="3">
        <f t="shared" si="11"/>
        <v>22</v>
      </c>
      <c r="F31" s="134" t="str">
        <f t="shared" si="12"/>
        <v>SIGMA220</v>
      </c>
      <c r="G31" s="81" t="s">
        <v>107</v>
      </c>
      <c r="H31" s="123">
        <v>2.5</v>
      </c>
      <c r="I31" s="96">
        <v>7.24</v>
      </c>
      <c r="J31" s="96">
        <f>S_R_350!J31+(S_R_390!$A$1-S_R_350!$A$1)/(S_R_420!$A$1-S_R_350!$A$1)*(S_R_420!J31-S_R_350!J31)</f>
        <v>9.19</v>
      </c>
      <c r="K31" s="96">
        <f>S_R_350!K31+(S_R_390!$A$1-S_R_350!$A$1)/(S_R_420!$A$1-S_R_350!$A$1)*(S_R_420!K31-S_R_350!K31)</f>
        <v>1.83</v>
      </c>
      <c r="L31" s="96">
        <f>S_R_350!L31+(S_R_390!$A$1-S_R_350!$A$1)/(S_R_420!$A$1-S_R_350!$A$1)*(S_R_420!L31-S_R_350!L31)</f>
        <v>9.23</v>
      </c>
      <c r="M31" s="96">
        <f>S_R_350!M31+(S_R_390!$A$1-S_R_350!$A$1)/(S_R_420!$A$1-S_R_350!$A$1)*(S_R_420!M31-S_R_350!M31)</f>
        <v>601.11</v>
      </c>
      <c r="N31" s="96">
        <f>S_R_350!N31+(S_R_390!$A$1-S_R_350!$A$1)/(S_R_420!$A$1-S_R_350!$A$1)*(S_R_420!N31-S_R_350!N31)</f>
        <v>54.64</v>
      </c>
      <c r="O31" s="96">
        <f>S_R_350!O31+(S_R_390!$A$1-S_R_350!$A$1)/(S_R_420!$A$1-S_R_350!$A$1)*(S_R_420!O31-S_R_350!O31)</f>
        <v>8.06</v>
      </c>
      <c r="P31" s="96">
        <f>S_R_350!P31+(S_R_390!$A$1-S_R_350!$A$1)/(S_R_420!$A$1-S_R_350!$A$1)*(S_R_420!P31-S_R_350!P31)</f>
        <v>11</v>
      </c>
      <c r="Q31" s="96"/>
      <c r="R31" s="96"/>
      <c r="S31" s="96"/>
      <c r="T31" s="96"/>
      <c r="U31" s="96"/>
      <c r="V31" s="96">
        <f>S_R_350!V31+(S_R_390!$A$1-S_R_350!$A$1)/(S_R_420!$A$1-S_R_350!$A$1)*(S_R_420!V31-S_R_350!V31)</f>
        <v>9.19</v>
      </c>
      <c r="W31" s="96">
        <f>S_R_350!W31+(S_R_390!$A$1-S_R_350!$A$1)/(S_R_420!$A$1-S_R_350!$A$1)*(S_R_420!W31-S_R_350!W31)</f>
        <v>31.008571428571429</v>
      </c>
      <c r="X31" s="96">
        <f>S_R_350!X31+(S_R_390!$A$1-S_R_350!$A$1)/(S_R_420!$A$1-S_R_350!$A$1)*(S_R_420!X31-S_R_350!X31)</f>
        <v>8.1785714285714288</v>
      </c>
      <c r="Y31" s="96">
        <f>S_R_350!Y31+(S_R_390!$A$1-S_R_350!$A$1)/(S_R_420!$A$1-S_R_350!$A$1)*(S_R_420!Y31-S_R_350!Y31)</f>
        <v>1.83</v>
      </c>
      <c r="Z31" s="97">
        <f>S_R_350!Z31+(S_R_390!$A$1-S_R_350!$A$1)/(S_R_420!$A$1-S_R_350!$A$1)*(S_R_420!Z31-S_R_350!Z31)</f>
        <v>1.7057142857142857</v>
      </c>
      <c r="AB31" s="219">
        <v>7.24</v>
      </c>
      <c r="AC31" s="220">
        <v>9.19</v>
      </c>
      <c r="AD31" s="220">
        <v>1.83</v>
      </c>
      <c r="AE31" s="220">
        <v>9.23</v>
      </c>
      <c r="AF31" s="220">
        <v>601.11</v>
      </c>
      <c r="AG31" s="220">
        <v>54.64</v>
      </c>
      <c r="AH31" s="220">
        <v>8.06</v>
      </c>
      <c r="AI31" s="220">
        <v>11</v>
      </c>
      <c r="AJ31" s="221"/>
      <c r="AK31" s="221"/>
      <c r="AL31" s="221"/>
      <c r="AM31" s="221"/>
      <c r="AN31" s="221"/>
      <c r="AO31" s="220">
        <v>9.19</v>
      </c>
      <c r="AP31" s="220">
        <v>31</v>
      </c>
      <c r="AQ31" s="220">
        <v>8.17</v>
      </c>
      <c r="AR31" s="220">
        <v>1.83</v>
      </c>
      <c r="AS31" s="220">
        <v>1.7</v>
      </c>
    </row>
    <row r="32" spans="1:45" ht="15" customHeight="1" thickBot="1" x14ac:dyDescent="0.3">
      <c r="A32" s="126" t="str">
        <f t="shared" si="7"/>
        <v>SIGMA220x3,0</v>
      </c>
      <c r="B32" s="150" t="str">
        <f t="shared" si="13"/>
        <v>220</v>
      </c>
      <c r="C32" s="14">
        <f t="shared" si="9"/>
        <v>55</v>
      </c>
      <c r="D32" s="14">
        <f t="shared" si="10"/>
        <v>55</v>
      </c>
      <c r="E32" s="14">
        <f t="shared" si="11"/>
        <v>24</v>
      </c>
      <c r="F32" s="136" t="str">
        <f t="shared" si="12"/>
        <v>SIGMA220</v>
      </c>
      <c r="G32" s="151" t="s">
        <v>108</v>
      </c>
      <c r="H32" s="230">
        <v>3</v>
      </c>
      <c r="I32" s="108">
        <v>8.7200000000000006</v>
      </c>
      <c r="J32" s="108">
        <f>S_R_350!J32+(S_R_390!$A$1-S_R_350!$A$1)/(S_R_420!$A$1-S_R_350!$A$1)*(S_R_420!J32-S_R_350!J32)</f>
        <v>11.12</v>
      </c>
      <c r="K32" s="108">
        <f>S_R_350!K32+(S_R_390!$A$1-S_R_350!$A$1)/(S_R_420!$A$1-S_R_350!$A$1)*(S_R_420!K32-S_R_350!K32)</f>
        <v>1.84</v>
      </c>
      <c r="L32" s="108">
        <f>S_R_350!L32+(S_R_390!$A$1-S_R_350!$A$1)/(S_R_420!$A$1-S_R_350!$A$1)*(S_R_420!L32-S_R_350!L32)</f>
        <v>11.12</v>
      </c>
      <c r="M32" s="108">
        <f>S_R_350!M32+(S_R_390!$A$1-S_R_350!$A$1)/(S_R_420!$A$1-S_R_350!$A$1)*(S_R_420!M32-S_R_350!M32)</f>
        <v>720.3</v>
      </c>
      <c r="N32" s="108">
        <f>S_R_350!N32+(S_R_390!$A$1-S_R_350!$A$1)/(S_R_420!$A$1-S_R_350!$A$1)*(S_R_420!N32-S_R_350!N32)</f>
        <v>65.48</v>
      </c>
      <c r="O32" s="108">
        <f>S_R_350!O32+(S_R_390!$A$1-S_R_350!$A$1)/(S_R_420!$A$1-S_R_350!$A$1)*(S_R_420!O32-S_R_350!O32)</f>
        <v>8.0399999999999991</v>
      </c>
      <c r="P32" s="108">
        <f>S_R_350!P32+(S_R_390!$A$1-S_R_350!$A$1)/(S_R_420!$A$1-S_R_350!$A$1)*(S_R_420!P32-S_R_350!P32)</f>
        <v>11</v>
      </c>
      <c r="Q32" s="108"/>
      <c r="R32" s="108"/>
      <c r="S32" s="108"/>
      <c r="T32" s="108"/>
      <c r="U32" s="108"/>
      <c r="V32" s="108">
        <f>S_R_350!V32+(S_R_390!$A$1-S_R_350!$A$1)/(S_R_420!$A$1-S_R_350!$A$1)*(S_R_420!V32-S_R_350!V32)</f>
        <v>11.12</v>
      </c>
      <c r="W32" s="108">
        <f>S_R_350!W32+(S_R_390!$A$1-S_R_350!$A$1)/(S_R_420!$A$1-S_R_350!$A$1)*(S_R_420!W32-S_R_350!W32)</f>
        <v>37.770000000000003</v>
      </c>
      <c r="X32" s="108">
        <f>S_R_350!X32+(S_R_390!$A$1-S_R_350!$A$1)/(S_R_420!$A$1-S_R_350!$A$1)*(S_R_420!X32-S_R_350!X32)</f>
        <v>10.06</v>
      </c>
      <c r="Y32" s="108">
        <f>S_R_350!Y32+(S_R_390!$A$1-S_R_350!$A$1)/(S_R_420!$A$1-S_R_350!$A$1)*(S_R_420!Y32-S_R_350!Y32)</f>
        <v>1.84</v>
      </c>
      <c r="Z32" s="109">
        <f>S_R_350!Z32+(S_R_390!$A$1-S_R_350!$A$1)/(S_R_420!$A$1-S_R_350!$A$1)*(S_R_420!Z32-S_R_350!Z32)</f>
        <v>1.75</v>
      </c>
      <c r="AB32" s="219">
        <v>8.7200000000000006</v>
      </c>
      <c r="AC32" s="220">
        <v>11.12</v>
      </c>
      <c r="AD32" s="220">
        <v>1.84</v>
      </c>
      <c r="AE32" s="220">
        <v>11.12</v>
      </c>
      <c r="AF32" s="220">
        <v>720.3</v>
      </c>
      <c r="AG32" s="220">
        <v>65.48</v>
      </c>
      <c r="AH32" s="220">
        <v>8.0399999999999991</v>
      </c>
      <c r="AI32" s="220">
        <v>11</v>
      </c>
      <c r="AJ32" s="221"/>
      <c r="AK32" s="221"/>
      <c r="AL32" s="221"/>
      <c r="AM32" s="221"/>
      <c r="AN32" s="221"/>
      <c r="AO32" s="220">
        <v>11.12</v>
      </c>
      <c r="AP32" s="220">
        <v>37.770000000000003</v>
      </c>
      <c r="AQ32" s="220">
        <v>10.039999999999999</v>
      </c>
      <c r="AR32" s="220">
        <v>1.84</v>
      </c>
      <c r="AS32" s="220">
        <v>1.75</v>
      </c>
    </row>
    <row r="33" spans="1:45" ht="15" customHeight="1" thickBot="1" x14ac:dyDescent="0.3">
      <c r="A33" s="71" t="str">
        <f t="shared" si="7"/>
        <v>SIGMA250x1,0</v>
      </c>
      <c r="B33" s="10" t="str">
        <f t="shared" si="13"/>
        <v>250</v>
      </c>
      <c r="C33" s="1">
        <f t="shared" si="9"/>
        <v>66</v>
      </c>
      <c r="D33" s="1">
        <f t="shared" si="10"/>
        <v>66</v>
      </c>
      <c r="E33" s="1">
        <f t="shared" si="11"/>
        <v>20</v>
      </c>
      <c r="F33" s="133" t="str">
        <f t="shared" si="12"/>
        <v>SIGMA250</v>
      </c>
      <c r="G33" s="80" t="s">
        <v>109</v>
      </c>
      <c r="H33" s="122">
        <v>1</v>
      </c>
      <c r="I33" s="94">
        <v>3.6</v>
      </c>
      <c r="J33" s="94">
        <f>S_R_350!J33+(S_R_390!$A$1-S_R_350!$A$1)/(S_R_420!$A$1-S_R_350!$A$1)*(S_R_420!J33-S_R_350!J33)</f>
        <v>2.74</v>
      </c>
      <c r="K33" s="94">
        <f>S_R_350!K33+(S_R_390!$A$1-S_R_350!$A$1)/(S_R_420!$A$1-S_R_350!$A$1)*(S_R_420!K33-S_R_350!K33)</f>
        <v>2.38</v>
      </c>
      <c r="L33" s="94">
        <f>S_R_350!L33+(S_R_390!$A$1-S_R_350!$A$1)/(S_R_420!$A$1-S_R_350!$A$1)*(S_R_420!L33-S_R_350!L33)</f>
        <v>3.0257142857142858</v>
      </c>
      <c r="M33" s="94">
        <f>S_R_350!M33+(S_R_390!$A$1-S_R_350!$A$1)/(S_R_420!$A$1-S_R_350!$A$1)*(S_R_420!M33-S_R_350!M33)</f>
        <v>243.54428571428571</v>
      </c>
      <c r="N33" s="94">
        <f>S_R_350!N33+(S_R_390!$A$1-S_R_350!$A$1)/(S_R_420!$A$1-S_R_350!$A$1)*(S_R_420!N33-S_R_350!N33)</f>
        <v>19.481428571428573</v>
      </c>
      <c r="O33" s="94">
        <f>S_R_350!O33+(S_R_390!$A$1-S_R_350!$A$1)/(S_R_420!$A$1-S_R_350!$A$1)*(S_R_420!O33-S_R_350!O33)</f>
        <v>8.9657142857142862</v>
      </c>
      <c r="P33" s="94">
        <f>S_R_350!P33+(S_R_390!$A$1-S_R_350!$A$1)/(S_R_420!$A$1-S_R_350!$A$1)*(S_R_420!P33-S_R_350!P33)</f>
        <v>12.5</v>
      </c>
      <c r="Q33" s="94"/>
      <c r="R33" s="94"/>
      <c r="S33" s="94"/>
      <c r="T33" s="94"/>
      <c r="U33" s="94"/>
      <c r="V33" s="94">
        <f>S_R_350!V33+(S_R_390!$A$1-S_R_350!$A$1)/(S_R_420!$A$1-S_R_350!$A$1)*(S_R_420!V33-S_R_350!V33)</f>
        <v>3.3157142857142858</v>
      </c>
      <c r="W33" s="94">
        <f>S_R_350!W33+(S_R_390!$A$1-S_R_350!$A$1)/(S_R_420!$A$1-S_R_350!$A$1)*(S_R_420!W33-S_R_350!W33)</f>
        <v>18.491428571428571</v>
      </c>
      <c r="X33" s="94">
        <f>S_R_350!X33+(S_R_390!$A$1-S_R_350!$A$1)/(S_R_420!$A$1-S_R_350!$A$1)*(S_R_420!X33-S_R_350!X33)</f>
        <v>4.3371428571428572</v>
      </c>
      <c r="Y33" s="94">
        <f>S_R_350!Y33+(S_R_390!$A$1-S_R_350!$A$1)/(S_R_420!$A$1-S_R_350!$A$1)*(S_R_420!Y33-S_R_350!Y33)</f>
        <v>2.35</v>
      </c>
      <c r="Z33" s="95">
        <f>S_R_350!Z33+(S_R_390!$A$1-S_R_350!$A$1)/(S_R_420!$A$1-S_R_350!$A$1)*(S_R_420!Z33-S_R_350!Z33)</f>
        <v>2.3428571428571425</v>
      </c>
      <c r="AB33" s="219">
        <v>3.46</v>
      </c>
      <c r="AC33" s="220">
        <v>2.82</v>
      </c>
      <c r="AD33" s="220">
        <v>2.38</v>
      </c>
      <c r="AE33" s="220">
        <v>3.1</v>
      </c>
      <c r="AF33" s="220">
        <v>251.39</v>
      </c>
      <c r="AG33" s="220">
        <v>20.11</v>
      </c>
      <c r="AH33" s="220">
        <v>9</v>
      </c>
      <c r="AI33" s="220">
        <v>12.5</v>
      </c>
      <c r="AJ33" s="221"/>
      <c r="AK33" s="221"/>
      <c r="AL33" s="221"/>
      <c r="AM33" s="221"/>
      <c r="AN33" s="221"/>
      <c r="AO33" s="220">
        <v>3.35</v>
      </c>
      <c r="AP33" s="220">
        <v>18.68</v>
      </c>
      <c r="AQ33" s="220">
        <v>4.3600000000000003</v>
      </c>
      <c r="AR33" s="220">
        <v>2.35</v>
      </c>
      <c r="AS33" s="220">
        <v>2.3199999999999998</v>
      </c>
    </row>
    <row r="34" spans="1:45" ht="15" customHeight="1" thickBot="1" x14ac:dyDescent="0.3">
      <c r="A34" s="72" t="str">
        <f t="shared" si="7"/>
        <v>SIGMA250x1,2</v>
      </c>
      <c r="B34" s="11" t="str">
        <f t="shared" si="13"/>
        <v>250</v>
      </c>
      <c r="C34" s="3">
        <f t="shared" si="9"/>
        <v>66</v>
      </c>
      <c r="D34" s="3">
        <f t="shared" si="10"/>
        <v>66</v>
      </c>
      <c r="E34" s="3">
        <f t="shared" si="11"/>
        <v>20</v>
      </c>
      <c r="F34" s="134" t="str">
        <f t="shared" si="12"/>
        <v>SIGMA250</v>
      </c>
      <c r="G34" s="81" t="s">
        <v>109</v>
      </c>
      <c r="H34" s="123">
        <v>1.2</v>
      </c>
      <c r="I34" s="96">
        <v>3.6</v>
      </c>
      <c r="J34" s="96">
        <f>S_R_350!J34+(S_R_390!$A$1-S_R_350!$A$1)/(S_R_420!$A$1-S_R_350!$A$1)*(S_R_420!J34-S_R_350!J34)</f>
        <v>3.6471428571428572</v>
      </c>
      <c r="K34" s="96">
        <f>S_R_350!K34+(S_R_390!$A$1-S_R_350!$A$1)/(S_R_420!$A$1-S_R_350!$A$1)*(S_R_420!K34-S_R_350!K34)</f>
        <v>2.38</v>
      </c>
      <c r="L34" s="96">
        <f>S_R_350!L34+(S_R_390!$A$1-S_R_350!$A$1)/(S_R_420!$A$1-S_R_350!$A$1)*(S_R_420!L34-S_R_350!L34)</f>
        <v>3.9671428571428575</v>
      </c>
      <c r="M34" s="96">
        <f>S_R_350!M34+(S_R_390!$A$1-S_R_350!$A$1)/(S_R_420!$A$1-S_R_350!$A$1)*(S_R_420!M34-S_R_350!M34)</f>
        <v>327.4614285714286</v>
      </c>
      <c r="N34" s="96">
        <f>S_R_350!N34+(S_R_390!$A$1-S_R_350!$A$1)/(S_R_420!$A$1-S_R_350!$A$1)*(S_R_420!N34-S_R_350!N34)</f>
        <v>26.194285714285712</v>
      </c>
      <c r="O34" s="96">
        <f>S_R_350!O34+(S_R_390!$A$1-S_R_350!$A$1)/(S_R_420!$A$1-S_R_350!$A$1)*(S_R_420!O34-S_R_350!O34)</f>
        <v>9.0714285714285712</v>
      </c>
      <c r="P34" s="96">
        <f>S_R_350!P34+(S_R_390!$A$1-S_R_350!$A$1)/(S_R_420!$A$1-S_R_350!$A$1)*(S_R_420!P34-S_R_350!P34)</f>
        <v>12.5</v>
      </c>
      <c r="Q34" s="96"/>
      <c r="R34" s="96"/>
      <c r="S34" s="96"/>
      <c r="T34" s="96"/>
      <c r="U34" s="96"/>
      <c r="V34" s="96">
        <f>S_R_350!V34+(S_R_390!$A$1-S_R_350!$A$1)/(S_R_420!$A$1-S_R_350!$A$1)*(S_R_420!V34-S_R_350!V34)</f>
        <v>4.1342857142857143</v>
      </c>
      <c r="W34" s="96">
        <f>S_R_350!W34+(S_R_390!$A$1-S_R_350!$A$1)/(S_R_420!$A$1-S_R_350!$A$1)*(S_R_420!W34-S_R_350!W34)</f>
        <v>22.925714285714285</v>
      </c>
      <c r="X34" s="96">
        <f>S_R_350!X34+(S_R_390!$A$1-S_R_350!$A$1)/(S_R_420!$A$1-S_R_350!$A$1)*(S_R_420!X34-S_R_350!X34)</f>
        <v>5.2771428571428567</v>
      </c>
      <c r="Y34" s="96">
        <f>S_R_350!Y34+(S_R_390!$A$1-S_R_350!$A$1)/(S_R_420!$A$1-S_R_350!$A$1)*(S_R_420!Y34-S_R_350!Y34)</f>
        <v>2.35</v>
      </c>
      <c r="Z34" s="97">
        <f>S_R_350!Z34+(S_R_390!$A$1-S_R_350!$A$1)/(S_R_420!$A$1-S_R_350!$A$1)*(S_R_420!Z34-S_R_350!Z34)</f>
        <v>2.2585714285714285</v>
      </c>
      <c r="AB34" s="219">
        <v>4.1100000000000003</v>
      </c>
      <c r="AC34" s="220">
        <v>3.75</v>
      </c>
      <c r="AD34" s="220">
        <v>2.38</v>
      </c>
      <c r="AE34" s="220">
        <v>4.07</v>
      </c>
      <c r="AF34" s="220">
        <v>338.01</v>
      </c>
      <c r="AG34" s="220">
        <v>27.04</v>
      </c>
      <c r="AH34" s="220">
        <v>9.1</v>
      </c>
      <c r="AI34" s="220">
        <v>12.5</v>
      </c>
      <c r="AJ34" s="221"/>
      <c r="AK34" s="221"/>
      <c r="AL34" s="221"/>
      <c r="AM34" s="221"/>
      <c r="AN34" s="221"/>
      <c r="AO34" s="220">
        <v>4.18</v>
      </c>
      <c r="AP34" s="220">
        <v>23.16</v>
      </c>
      <c r="AQ34" s="220">
        <v>5.3</v>
      </c>
      <c r="AR34" s="220">
        <v>2.35</v>
      </c>
      <c r="AS34" s="220">
        <v>2.23</v>
      </c>
    </row>
    <row r="35" spans="1:45" ht="15" customHeight="1" thickBot="1" x14ac:dyDescent="0.3">
      <c r="A35" s="72" t="str">
        <f t="shared" si="7"/>
        <v>SIGMA250x2,0</v>
      </c>
      <c r="B35" s="11" t="str">
        <f t="shared" si="13"/>
        <v>250</v>
      </c>
      <c r="C35" s="3">
        <f t="shared" si="9"/>
        <v>66</v>
      </c>
      <c r="D35" s="3">
        <f t="shared" si="10"/>
        <v>66</v>
      </c>
      <c r="E35" s="3">
        <f t="shared" si="11"/>
        <v>20</v>
      </c>
      <c r="F35" s="134" t="str">
        <f t="shared" si="12"/>
        <v>SIGMA250</v>
      </c>
      <c r="G35" s="81" t="s">
        <v>109</v>
      </c>
      <c r="H35" s="123">
        <v>2</v>
      </c>
      <c r="I35" s="96">
        <v>6.58</v>
      </c>
      <c r="J35" s="96">
        <f>S_R_350!J35+(S_R_390!$A$1-S_R_350!$A$1)/(S_R_420!$A$1-S_R_350!$A$1)*(S_R_420!J35-S_R_350!J35)</f>
        <v>7.5714285714285712</v>
      </c>
      <c r="K35" s="96">
        <f>S_R_350!K35+(S_R_390!$A$1-S_R_350!$A$1)/(S_R_420!$A$1-S_R_350!$A$1)*(S_R_420!K35-S_R_350!K35)</f>
        <v>2.2214285714285715</v>
      </c>
      <c r="L35" s="96">
        <f>S_R_350!L35+(S_R_390!$A$1-S_R_350!$A$1)/(S_R_420!$A$1-S_R_350!$A$1)*(S_R_420!L35-S_R_350!L35)</f>
        <v>7.8657142857142857</v>
      </c>
      <c r="M35" s="96">
        <f>S_R_350!M35+(S_R_390!$A$1-S_R_350!$A$1)/(S_R_420!$A$1-S_R_350!$A$1)*(S_R_420!M35-S_R_350!M35)</f>
        <v>692.36857142857139</v>
      </c>
      <c r="N35" s="96">
        <f>S_R_350!N35+(S_R_390!$A$1-S_R_350!$A$1)/(S_R_420!$A$1-S_R_350!$A$1)*(S_R_420!N35-S_R_350!N35)</f>
        <v>53.327142857142853</v>
      </c>
      <c r="O35" s="96">
        <f>S_R_350!O35+(S_R_390!$A$1-S_R_350!$A$1)/(S_R_420!$A$1-S_R_350!$A$1)*(S_R_420!O35-S_R_350!O35)</f>
        <v>9.3757142857142863</v>
      </c>
      <c r="P35" s="96">
        <f>S_R_350!P35+(S_R_390!$A$1-S_R_350!$A$1)/(S_R_420!$A$1-S_R_350!$A$1)*(S_R_420!P35-S_R_350!P35)</f>
        <v>12.014285714285714</v>
      </c>
      <c r="Q35" s="96"/>
      <c r="R35" s="96"/>
      <c r="S35" s="96"/>
      <c r="T35" s="96"/>
      <c r="U35" s="96"/>
      <c r="V35" s="96">
        <f>S_R_350!V35+(S_R_390!$A$1-S_R_350!$A$1)/(S_R_420!$A$1-S_R_350!$A$1)*(S_R_420!V35-S_R_350!V35)</f>
        <v>7.5942857142857143</v>
      </c>
      <c r="W35" s="96">
        <f>S_R_350!W35+(S_R_390!$A$1-S_R_350!$A$1)/(S_R_420!$A$1-S_R_350!$A$1)*(S_R_420!W35-S_R_350!W35)</f>
        <v>37.498571428571424</v>
      </c>
      <c r="X35" s="96">
        <f>S_R_350!X35+(S_R_390!$A$1-S_R_350!$A$1)/(S_R_420!$A$1-S_R_350!$A$1)*(S_R_420!X35-S_R_350!X35)</f>
        <v>8.2085714285714282</v>
      </c>
      <c r="Y35" s="96">
        <f>S_R_350!Y35+(S_R_390!$A$1-S_R_350!$A$1)/(S_R_420!$A$1-S_R_350!$A$1)*(S_R_420!Y35-S_R_350!Y35)</f>
        <v>2.2157142857142857</v>
      </c>
      <c r="Z35" s="97">
        <f>S_R_350!Z35+(S_R_390!$A$1-S_R_350!$A$1)/(S_R_420!$A$1-S_R_350!$A$1)*(S_R_420!Z35-S_R_350!Z35)</f>
        <v>2.0328571428571425</v>
      </c>
      <c r="AB35" s="219">
        <v>6.58</v>
      </c>
      <c r="AC35" s="219">
        <v>7.42</v>
      </c>
      <c r="AD35" s="219">
        <v>2.2000000000000002</v>
      </c>
      <c r="AE35" s="219">
        <v>7.86</v>
      </c>
      <c r="AF35" s="219">
        <v>690.25</v>
      </c>
      <c r="AG35" s="219">
        <v>53.07</v>
      </c>
      <c r="AH35" s="219">
        <v>9.3699999999999992</v>
      </c>
      <c r="AI35" s="219">
        <v>11.99</v>
      </c>
      <c r="AJ35" s="221"/>
      <c r="AK35" s="221"/>
      <c r="AL35" s="221"/>
      <c r="AM35" s="221"/>
      <c r="AN35" s="221"/>
      <c r="AO35" s="219">
        <v>7.59</v>
      </c>
      <c r="AP35" s="219">
        <v>37.49</v>
      </c>
      <c r="AQ35" s="219">
        <v>8.1999999999999993</v>
      </c>
      <c r="AR35" s="219">
        <v>2.23</v>
      </c>
      <c r="AS35" s="219">
        <v>2</v>
      </c>
    </row>
    <row r="36" spans="1:45" ht="15" customHeight="1" thickBot="1" x14ac:dyDescent="0.3">
      <c r="A36" s="72" t="str">
        <f t="shared" si="7"/>
        <v>SIGMA250x2,5</v>
      </c>
      <c r="B36" s="11" t="str">
        <f t="shared" si="13"/>
        <v>250</v>
      </c>
      <c r="C36" s="3">
        <f t="shared" si="9"/>
        <v>67</v>
      </c>
      <c r="D36" s="3">
        <f t="shared" si="10"/>
        <v>67</v>
      </c>
      <c r="E36" s="3">
        <f t="shared" si="11"/>
        <v>20</v>
      </c>
      <c r="F36" s="134" t="str">
        <f t="shared" si="12"/>
        <v>SIGMA250</v>
      </c>
      <c r="G36" s="81" t="s">
        <v>110</v>
      </c>
      <c r="H36" s="123">
        <v>2.5</v>
      </c>
      <c r="I36" s="96">
        <v>8.2200000000000006</v>
      </c>
      <c r="J36" s="96">
        <f>S_R_350!J36+(S_R_390!$A$1-S_R_350!$A$1)/(S_R_420!$A$1-S_R_350!$A$1)*(S_R_420!J36-S_R_350!J36)</f>
        <v>10.054285714285715</v>
      </c>
      <c r="K36" s="96">
        <f>S_R_350!K36+(S_R_390!$A$1-S_R_350!$A$1)/(S_R_420!$A$1-S_R_350!$A$1)*(S_R_420!K36-S_R_350!K36)</f>
        <v>2.21</v>
      </c>
      <c r="L36" s="96">
        <f>S_R_350!L36+(S_R_390!$A$1-S_R_350!$A$1)/(S_R_420!$A$1-S_R_350!$A$1)*(S_R_420!L36-S_R_350!L36)</f>
        <v>10.371428571428572</v>
      </c>
      <c r="M36" s="96">
        <f>S_R_350!M36+(S_R_390!$A$1-S_R_350!$A$1)/(S_R_420!$A$1-S_R_350!$A$1)*(S_R_420!M36-S_R_350!M36)</f>
        <v>894.47428571428566</v>
      </c>
      <c r="N36" s="96">
        <f>S_R_350!N36+(S_R_390!$A$1-S_R_350!$A$1)/(S_R_420!$A$1-S_R_350!$A$1)*(S_R_420!N36-S_R_350!N36)</f>
        <v>71.122857142857143</v>
      </c>
      <c r="O36" s="96">
        <f>S_R_350!O36+(S_R_390!$A$1-S_R_350!$A$1)/(S_R_420!$A$1-S_R_350!$A$1)*(S_R_420!O36-S_R_350!O36)</f>
        <v>9.2771428571428558</v>
      </c>
      <c r="P36" s="96">
        <f>S_R_350!P36+(S_R_390!$A$1-S_R_350!$A$1)/(S_R_420!$A$1-S_R_350!$A$1)*(S_R_420!P36-S_R_350!P36)</f>
        <v>12.425714285714285</v>
      </c>
      <c r="Q36" s="96"/>
      <c r="R36" s="96"/>
      <c r="S36" s="96"/>
      <c r="T36" s="96"/>
      <c r="U36" s="96"/>
      <c r="V36" s="96">
        <f>S_R_350!V36+(S_R_390!$A$1-S_R_350!$A$1)/(S_R_420!$A$1-S_R_350!$A$1)*(S_R_420!V36-S_R_350!V36)</f>
        <v>10.054285714285715</v>
      </c>
      <c r="W36" s="96">
        <f>S_R_350!W36+(S_R_390!$A$1-S_R_350!$A$1)/(S_R_420!$A$1-S_R_350!$A$1)*(S_R_420!W36-S_R_350!W36)</f>
        <v>49.327142857142853</v>
      </c>
      <c r="X36" s="96">
        <f>S_R_350!X36+(S_R_390!$A$1-S_R_350!$A$1)/(S_R_420!$A$1-S_R_350!$A$1)*(S_R_420!X36-S_R_350!X36)</f>
        <v>10.42</v>
      </c>
      <c r="Y36" s="96">
        <f>S_R_350!Y36+(S_R_390!$A$1-S_R_350!$A$1)/(S_R_420!$A$1-S_R_350!$A$1)*(S_R_420!Y36-S_R_350!Y36)</f>
        <v>2.21</v>
      </c>
      <c r="Z36" s="97">
        <f>S_R_350!Z36+(S_R_390!$A$1-S_R_350!$A$1)/(S_R_420!$A$1-S_R_350!$A$1)*(S_R_420!Z36-S_R_350!Z36)</f>
        <v>1.9685714285714286</v>
      </c>
      <c r="AB36" s="219">
        <v>8.2200000000000006</v>
      </c>
      <c r="AC36" s="219">
        <v>9.98</v>
      </c>
      <c r="AD36" s="219">
        <v>2.23</v>
      </c>
      <c r="AE36" s="219">
        <v>10.37</v>
      </c>
      <c r="AF36" s="219">
        <v>894.47</v>
      </c>
      <c r="AG36" s="219">
        <v>71.12</v>
      </c>
      <c r="AH36" s="219">
        <v>9.2899999999999991</v>
      </c>
      <c r="AI36" s="219">
        <v>12.43</v>
      </c>
      <c r="AJ36" s="221"/>
      <c r="AK36" s="221"/>
      <c r="AL36" s="221"/>
      <c r="AM36" s="221"/>
      <c r="AN36" s="221"/>
      <c r="AO36" s="219">
        <v>10.050000000000001</v>
      </c>
      <c r="AP36" s="219">
        <v>49.32</v>
      </c>
      <c r="AQ36" s="219">
        <v>10.42</v>
      </c>
      <c r="AR36" s="219">
        <v>2.2200000000000002</v>
      </c>
      <c r="AS36" s="219">
        <v>1.93</v>
      </c>
    </row>
    <row r="37" spans="1:45" ht="15" customHeight="1" thickBot="1" x14ac:dyDescent="0.3">
      <c r="A37" s="72" t="str">
        <f t="shared" si="7"/>
        <v>SIGMA250x3,0</v>
      </c>
      <c r="B37" s="11" t="str">
        <f t="shared" si="13"/>
        <v>250</v>
      </c>
      <c r="C37" s="3">
        <f t="shared" si="9"/>
        <v>68</v>
      </c>
      <c r="D37" s="3">
        <f t="shared" si="10"/>
        <v>68</v>
      </c>
      <c r="E37" s="3">
        <f t="shared" si="11"/>
        <v>20</v>
      </c>
      <c r="F37" s="134" t="str">
        <f t="shared" si="12"/>
        <v>SIGMA250</v>
      </c>
      <c r="G37" s="81" t="s">
        <v>111</v>
      </c>
      <c r="H37" s="123">
        <v>3</v>
      </c>
      <c r="I37" s="96">
        <v>9.85</v>
      </c>
      <c r="J37" s="96">
        <f>S_R_350!J37+(S_R_390!$A$1-S_R_350!$A$1)/(S_R_420!$A$1-S_R_350!$A$1)*(S_R_420!J37-S_R_350!J37)</f>
        <v>12.502857142857144</v>
      </c>
      <c r="K37" s="96">
        <f>S_R_350!K37+(S_R_390!$A$1-S_R_350!$A$1)/(S_R_420!$A$1-S_R_350!$A$1)*(S_R_420!K37-S_R_350!K37)</f>
        <v>2.21</v>
      </c>
      <c r="L37" s="96">
        <f>S_R_350!L37+(S_R_390!$A$1-S_R_350!$A$1)/(S_R_420!$A$1-S_R_350!$A$1)*(S_R_420!L37-S_R_350!L37)</f>
        <v>12.56</v>
      </c>
      <c r="M37" s="96">
        <f>S_R_350!M37+(S_R_390!$A$1-S_R_350!$A$1)/(S_R_420!$A$1-S_R_350!$A$1)*(S_R_420!M37-S_R_350!M37)</f>
        <v>1076.17</v>
      </c>
      <c r="N37" s="96">
        <f>S_R_350!N37+(S_R_390!$A$1-S_R_350!$A$1)/(S_R_420!$A$1-S_R_350!$A$1)*(S_R_420!N37-S_R_350!N37)</f>
        <v>86.09</v>
      </c>
      <c r="O37" s="96">
        <f>S_R_350!O37+(S_R_390!$A$1-S_R_350!$A$1)/(S_R_420!$A$1-S_R_350!$A$1)*(S_R_420!O37-S_R_350!O37)</f>
        <v>9.25</v>
      </c>
      <c r="P37" s="96">
        <f>S_R_350!P37+(S_R_390!$A$1-S_R_350!$A$1)/(S_R_420!$A$1-S_R_350!$A$1)*(S_R_420!P37-S_R_350!P37)</f>
        <v>12.5</v>
      </c>
      <c r="Q37" s="96"/>
      <c r="R37" s="96"/>
      <c r="S37" s="96"/>
      <c r="T37" s="96"/>
      <c r="U37" s="96"/>
      <c r="V37" s="96">
        <f>S_R_350!V37+(S_R_390!$A$1-S_R_350!$A$1)/(S_R_420!$A$1-S_R_350!$A$1)*(S_R_420!V37-S_R_350!V37)</f>
        <v>12.502857142857144</v>
      </c>
      <c r="W37" s="96">
        <f>S_R_350!W37+(S_R_390!$A$1-S_R_350!$A$1)/(S_R_420!$A$1-S_R_350!$A$1)*(S_R_420!W37-S_R_350!W37)</f>
        <v>61.257142857142853</v>
      </c>
      <c r="X37" s="96">
        <f>S_R_350!X37+(S_R_390!$A$1-S_R_350!$A$1)/(S_R_420!$A$1-S_R_350!$A$1)*(S_R_420!X37-S_R_350!X37)</f>
        <v>12.592857142857143</v>
      </c>
      <c r="Y37" s="96">
        <f>S_R_350!Y37+(S_R_390!$A$1-S_R_350!$A$1)/(S_R_420!$A$1-S_R_350!$A$1)*(S_R_420!Y37-S_R_350!Y37)</f>
        <v>2.21</v>
      </c>
      <c r="Z37" s="97">
        <f>S_R_350!Z37+(S_R_390!$A$1-S_R_350!$A$1)/(S_R_420!$A$1-S_R_350!$A$1)*(S_R_420!Z37-S_R_350!Z37)</f>
        <v>1.9357142857142857</v>
      </c>
      <c r="AB37" s="219">
        <v>9.85</v>
      </c>
      <c r="AC37" s="220">
        <v>12.5</v>
      </c>
      <c r="AD37" s="220">
        <v>2.21</v>
      </c>
      <c r="AE37" s="220">
        <v>12.56</v>
      </c>
      <c r="AF37" s="220">
        <v>1076.17</v>
      </c>
      <c r="AG37" s="220">
        <v>86.09</v>
      </c>
      <c r="AH37" s="220">
        <v>9.25</v>
      </c>
      <c r="AI37" s="220">
        <v>12.5</v>
      </c>
      <c r="AJ37" s="221"/>
      <c r="AK37" s="221"/>
      <c r="AL37" s="221"/>
      <c r="AM37" s="221"/>
      <c r="AN37" s="221"/>
      <c r="AO37" s="220">
        <v>12.5</v>
      </c>
      <c r="AP37" s="220">
        <v>61.25</v>
      </c>
      <c r="AQ37" s="220">
        <v>12.59</v>
      </c>
      <c r="AR37" s="220">
        <v>2.21</v>
      </c>
      <c r="AS37" s="220">
        <v>1.93</v>
      </c>
    </row>
    <row r="38" spans="1:45" ht="15" customHeight="1" thickBot="1" x14ac:dyDescent="0.3">
      <c r="A38" s="73" t="str">
        <f t="shared" si="7"/>
        <v>SIGMA250x3,5</v>
      </c>
      <c r="B38" s="12" t="str">
        <f t="shared" si="13"/>
        <v>250</v>
      </c>
      <c r="C38" s="5">
        <f t="shared" si="9"/>
        <v>69</v>
      </c>
      <c r="D38" s="5">
        <f t="shared" si="10"/>
        <v>69</v>
      </c>
      <c r="E38" s="5">
        <f t="shared" si="11"/>
        <v>20</v>
      </c>
      <c r="F38" s="135" t="str">
        <f t="shared" si="12"/>
        <v>SIGMA250</v>
      </c>
      <c r="G38" s="82" t="s">
        <v>112</v>
      </c>
      <c r="H38" s="124">
        <v>3.5</v>
      </c>
      <c r="I38" s="98">
        <v>11.48</v>
      </c>
      <c r="J38" s="98">
        <f>S_R_350!J38+(S_R_390!$A$1-S_R_350!$A$1)/(S_R_420!$A$1-S_R_350!$A$1)*(S_R_420!J38-S_R_350!J38)</f>
        <v>14.64</v>
      </c>
      <c r="K38" s="98">
        <f>S_R_350!K38+(S_R_390!$A$1-S_R_350!$A$1)/(S_R_420!$A$1-S_R_350!$A$1)*(S_R_420!K38-S_R_350!K38)</f>
        <v>2.2200000000000002</v>
      </c>
      <c r="L38" s="98">
        <f>S_R_350!L38+(S_R_390!$A$1-S_R_350!$A$1)/(S_R_420!$A$1-S_R_350!$A$1)*(S_R_420!L38-S_R_350!L38)</f>
        <v>14.64</v>
      </c>
      <c r="M38" s="98">
        <f>S_R_350!M38+(S_R_390!$A$1-S_R_350!$A$1)/(S_R_420!$A$1-S_R_350!$A$1)*(S_R_420!M38-S_R_350!M38)</f>
        <v>1250.68</v>
      </c>
      <c r="N38" s="98">
        <f>S_R_350!N38+(S_R_390!$A$1-S_R_350!$A$1)/(S_R_420!$A$1-S_R_350!$A$1)*(S_R_420!N38-S_R_350!N38)</f>
        <v>100.05</v>
      </c>
      <c r="O38" s="98">
        <f>S_R_350!O38+(S_R_390!$A$1-S_R_350!$A$1)/(S_R_420!$A$1-S_R_350!$A$1)*(S_R_420!O38-S_R_350!O38)</f>
        <v>9.24</v>
      </c>
      <c r="P38" s="98">
        <f>S_R_350!P38+(S_R_390!$A$1-S_R_350!$A$1)/(S_R_420!$A$1-S_R_350!$A$1)*(S_R_420!P38-S_R_350!P38)</f>
        <v>12.5</v>
      </c>
      <c r="Q38" s="98"/>
      <c r="R38" s="98"/>
      <c r="S38" s="98"/>
      <c r="T38" s="98"/>
      <c r="U38" s="98"/>
      <c r="V38" s="98">
        <f>S_R_350!V38+(S_R_390!$A$1-S_R_350!$A$1)/(S_R_420!$A$1-S_R_350!$A$1)*(S_R_420!V38-S_R_350!V38)</f>
        <v>14.64</v>
      </c>
      <c r="W38" s="98">
        <f>S_R_350!W38+(S_R_390!$A$1-S_R_350!$A$1)/(S_R_420!$A$1-S_R_350!$A$1)*(S_R_420!W38-S_R_350!W38)</f>
        <v>72.37</v>
      </c>
      <c r="X38" s="98">
        <f>S_R_350!X38+(S_R_390!$A$1-S_R_350!$A$1)/(S_R_420!$A$1-S_R_350!$A$1)*(S_R_420!X38-S_R_350!X38)</f>
        <v>14.66</v>
      </c>
      <c r="Y38" s="98">
        <f>S_R_350!Y38+(S_R_390!$A$1-S_R_350!$A$1)/(S_R_420!$A$1-S_R_350!$A$1)*(S_R_420!Y38-S_R_350!Y38)</f>
        <v>2.2200000000000002</v>
      </c>
      <c r="Z38" s="99">
        <f>S_R_350!Z38+(S_R_390!$A$1-S_R_350!$A$1)/(S_R_420!$A$1-S_R_350!$A$1)*(S_R_420!Z38-S_R_350!Z38)</f>
        <v>1.97</v>
      </c>
      <c r="AB38" s="219">
        <v>11.48</v>
      </c>
      <c r="AC38" s="220">
        <v>14.64</v>
      </c>
      <c r="AD38" s="220">
        <v>2.2200000000000002</v>
      </c>
      <c r="AE38" s="220">
        <v>14.64</v>
      </c>
      <c r="AF38" s="220">
        <v>1250.68</v>
      </c>
      <c r="AG38" s="220">
        <v>100.05</v>
      </c>
      <c r="AH38" s="220">
        <v>9.24</v>
      </c>
      <c r="AI38" s="220">
        <v>12.5</v>
      </c>
      <c r="AJ38" s="221"/>
      <c r="AK38" s="221"/>
      <c r="AL38" s="221"/>
      <c r="AM38" s="221"/>
      <c r="AN38" s="221"/>
      <c r="AO38" s="220">
        <v>14.64</v>
      </c>
      <c r="AP38" s="220">
        <v>72.37</v>
      </c>
      <c r="AQ38" s="220">
        <v>14.65</v>
      </c>
      <c r="AR38" s="220">
        <v>2.2200000000000002</v>
      </c>
      <c r="AS38" s="220">
        <v>1.97</v>
      </c>
    </row>
    <row r="39" spans="1:45" ht="15" customHeight="1" thickBot="1" x14ac:dyDescent="0.3">
      <c r="A39" s="71" t="str">
        <f t="shared" ref="A39:A51" si="14">CONCATENATE(F39,"x",(IF(H39=INT(H39),CONCATENATE(H39,",",0),H39)))</f>
        <v>SIGMA300x2,0</v>
      </c>
      <c r="B39" s="10" t="str">
        <f t="shared" ref="B39:B51" si="15">LEFT(G39,3)</f>
        <v>300</v>
      </c>
      <c r="C39" s="1">
        <f t="shared" ref="C39:C51" si="16">VALUE(MID(G39,(SEARCH("/",G39,1)+1),(SEARCH("/",G39,(SEARCH("/",G39,1)+1))-SEARCH("/",G39,1)-1)))</f>
        <v>91</v>
      </c>
      <c r="D39" s="1">
        <f t="shared" ref="D39:D51" si="17">VALUE(MID(G39,(SEARCH("/",G39,(SEARCH("/",G39,1)+1))+1),(SEARCH("/",G39,SEARCH("/",G39,(SEARCH("/",G39,1)+1))+1))-(SEARCH("/",G39,(SEARCH("/",G39,1)+1))+1)))</f>
        <v>91</v>
      </c>
      <c r="E39" s="1">
        <f t="shared" ref="E39:E51" si="18">VALUE(MID(G39,(SEARCH("/",G39,SEARCH("/",G39,(SEARCH("/",G39,1)+1))+1)+1),4))</f>
        <v>20</v>
      </c>
      <c r="F39" s="133" t="str">
        <f t="shared" ref="F39:F51" si="19">CONCATENATE("SIGMA",LEFT(G39,3))</f>
        <v>SIGMA300</v>
      </c>
      <c r="G39" s="80" t="s">
        <v>113</v>
      </c>
      <c r="H39" s="122">
        <v>2</v>
      </c>
      <c r="I39" s="94">
        <v>8.15</v>
      </c>
      <c r="J39" s="94">
        <f>S_R_350!J39+(S_R_390!$A$1-S_R_350!$A$1)/(S_R_420!$A$1-S_R_350!$A$1)*(S_R_420!J39-S_R_350!J39)</f>
        <v>8.0928571428571434</v>
      </c>
      <c r="K39" s="94">
        <f>S_R_350!K39+(S_R_390!$A$1-S_R_350!$A$1)/(S_R_420!$A$1-S_R_350!$A$1)*(S_R_420!K39-S_R_350!K39)</f>
        <v>3.1871428571428573</v>
      </c>
      <c r="L39" s="94">
        <f>S_R_350!L39+(S_R_390!$A$1-S_R_350!$A$1)/(S_R_420!$A$1-S_R_350!$A$1)*(S_R_420!L39-S_R_350!L39)</f>
        <v>8.9814285714285713</v>
      </c>
      <c r="M39" s="94">
        <f>S_R_350!M39+(S_R_390!$A$1-S_R_350!$A$1)/(S_R_420!$A$1-S_R_350!$A$1)*(S_R_420!M39-S_R_350!M39)</f>
        <v>1171.9985714285713</v>
      </c>
      <c r="N39" s="94">
        <f>S_R_350!N39+(S_R_390!$A$1-S_R_350!$A$1)/(S_R_420!$A$1-S_R_350!$A$1)*(S_R_420!N39-S_R_350!N39)</f>
        <v>70.888571428571424</v>
      </c>
      <c r="O39" s="94">
        <f>S_R_350!O39+(S_R_390!$A$1-S_R_350!$A$1)/(S_R_420!$A$1-S_R_350!$A$1)*(S_R_420!O39-S_R_350!O39)</f>
        <v>11.412857142857144</v>
      </c>
      <c r="P39" s="94">
        <f>S_R_350!P39+(S_R_390!$A$1-S_R_350!$A$1)/(S_R_420!$A$1-S_R_350!$A$1)*(S_R_420!P39-S_R_350!P39)</f>
        <v>13.465714285714286</v>
      </c>
      <c r="Q39" s="94"/>
      <c r="R39" s="94"/>
      <c r="S39" s="94"/>
      <c r="T39" s="94"/>
      <c r="U39" s="94"/>
      <c r="V39" s="94">
        <f>S_R_350!V39+(S_R_390!$A$1-S_R_350!$A$1)/(S_R_420!$A$1-S_R_350!$A$1)*(S_R_420!V39-S_R_350!V39)</f>
        <v>8.4485714285714284</v>
      </c>
      <c r="W39" s="94">
        <f>S_R_350!W39+(S_R_390!$A$1-S_R_350!$A$1)/(S_R_420!$A$1-S_R_350!$A$1)*(S_R_420!W39-S_R_350!W39)</f>
        <v>83.814285714285717</v>
      </c>
      <c r="X39" s="94">
        <f>S_R_350!X39+(S_R_390!$A$1-S_R_350!$A$1)/(S_R_420!$A$1-S_R_350!$A$1)*(S_R_420!X39-S_R_350!X39)</f>
        <v>13.225714285714286</v>
      </c>
      <c r="Y39" s="94">
        <f>S_R_350!Y39+(S_R_390!$A$1-S_R_350!$A$1)/(S_R_420!$A$1-S_R_350!$A$1)*(S_R_420!Y39-S_R_350!Y39)</f>
        <v>3.1414285714285715</v>
      </c>
      <c r="Z39" s="95">
        <f>S_R_350!Z39+(S_R_390!$A$1-S_R_350!$A$1)/(S_R_420!$A$1-S_R_350!$A$1)*(S_R_420!Z39-S_R_350!Z39)</f>
        <v>2.7685714285714287</v>
      </c>
      <c r="AB39" s="219">
        <v>8.15</v>
      </c>
      <c r="AC39" s="219">
        <v>7.99</v>
      </c>
      <c r="AD39" s="219">
        <v>3.18</v>
      </c>
      <c r="AE39" s="219">
        <v>8.92</v>
      </c>
      <c r="AF39" s="219">
        <v>1107.94</v>
      </c>
      <c r="AG39" s="219">
        <v>70.02</v>
      </c>
      <c r="AH39" s="219">
        <v>11.39</v>
      </c>
      <c r="AI39" s="219">
        <v>13.4</v>
      </c>
      <c r="AJ39" s="221"/>
      <c r="AK39" s="221"/>
      <c r="AL39" s="221"/>
      <c r="AM39" s="221"/>
      <c r="AN39" s="221"/>
      <c r="AO39" s="219">
        <v>8.44</v>
      </c>
      <c r="AP39" s="219">
        <v>83.81</v>
      </c>
      <c r="AQ39" s="219">
        <v>13.22</v>
      </c>
      <c r="AR39" s="219">
        <v>3.11</v>
      </c>
      <c r="AS39" s="219">
        <v>2.8</v>
      </c>
    </row>
    <row r="40" spans="1:45" ht="15" customHeight="1" thickBot="1" x14ac:dyDescent="0.3">
      <c r="A40" s="72" t="str">
        <f t="shared" si="14"/>
        <v>SIGMA300x2,5</v>
      </c>
      <c r="B40" s="11" t="str">
        <f t="shared" si="15"/>
        <v>300</v>
      </c>
      <c r="C40" s="3">
        <f t="shared" si="16"/>
        <v>92</v>
      </c>
      <c r="D40" s="3">
        <f t="shared" si="17"/>
        <v>92</v>
      </c>
      <c r="E40" s="3">
        <f t="shared" si="18"/>
        <v>20</v>
      </c>
      <c r="F40" s="134" t="str">
        <f t="shared" si="19"/>
        <v>SIGMA300</v>
      </c>
      <c r="G40" s="81" t="s">
        <v>114</v>
      </c>
      <c r="H40" s="123">
        <v>2.5</v>
      </c>
      <c r="I40" s="96">
        <v>10.18</v>
      </c>
      <c r="J40" s="96">
        <f>S_R_350!J40+(S_R_390!$A$1-S_R_350!$A$1)/(S_R_420!$A$1-S_R_350!$A$1)*(S_R_420!J40-S_R_350!J40)</f>
        <v>11.304285714285713</v>
      </c>
      <c r="K40" s="96">
        <f>S_R_350!K40+(S_R_390!$A$1-S_R_350!$A$1)/(S_R_420!$A$1-S_R_350!$A$1)*(S_R_420!K40-S_R_350!K40)</f>
        <v>3.117142857142857</v>
      </c>
      <c r="L40" s="96">
        <f>S_R_350!L40+(S_R_390!$A$1-S_R_350!$A$1)/(S_R_420!$A$1-S_R_350!$A$1)*(S_R_420!L40-S_R_350!L40)</f>
        <v>12.124285714285715</v>
      </c>
      <c r="M40" s="96">
        <f>S_R_350!M40+(S_R_390!$A$1-S_R_350!$A$1)/(S_R_420!$A$1-S_R_350!$A$1)*(S_R_420!M40-S_R_350!M40)</f>
        <v>1579.5085714285715</v>
      </c>
      <c r="N40" s="96">
        <f>S_R_350!N40+(S_R_390!$A$1-S_R_350!$A$1)/(S_R_420!$A$1-S_R_350!$A$1)*(S_R_420!N40-S_R_350!N40)</f>
        <v>100.68428571428571</v>
      </c>
      <c r="O40" s="96">
        <f>S_R_350!O40+(S_R_390!$A$1-S_R_350!$A$1)/(S_R_420!$A$1-S_R_350!$A$1)*(S_R_420!O40-S_R_350!O40)</f>
        <v>11.41</v>
      </c>
      <c r="P40" s="96">
        <f>S_R_350!P40+(S_R_390!$A$1-S_R_350!$A$1)/(S_R_420!$A$1-S_R_350!$A$1)*(S_R_420!P40-S_R_350!P40)</f>
        <v>14.311428571428571</v>
      </c>
      <c r="Q40" s="96"/>
      <c r="R40" s="96"/>
      <c r="S40" s="96"/>
      <c r="T40" s="96"/>
      <c r="U40" s="96"/>
      <c r="V40" s="96">
        <f>S_R_350!V40+(S_R_390!$A$1-S_R_350!$A$1)/(S_R_420!$A$1-S_R_350!$A$1)*(S_R_420!V40-S_R_350!V40)</f>
        <v>11.481428571428571</v>
      </c>
      <c r="W40" s="96">
        <f>S_R_350!W40+(S_R_390!$A$1-S_R_350!$A$1)/(S_R_420!$A$1-S_R_350!$A$1)*(S_R_420!W40-S_R_350!W40)</f>
        <v>110.99857142857144</v>
      </c>
      <c r="X40" s="96">
        <f>S_R_350!X40+(S_R_390!$A$1-S_R_350!$A$1)/(S_R_420!$A$1-S_R_350!$A$1)*(S_R_420!X40-S_R_350!X40)</f>
        <v>17.03857142857143</v>
      </c>
      <c r="Y40" s="96">
        <f>S_R_350!Y40+(S_R_390!$A$1-S_R_350!$A$1)/(S_R_420!$A$1-S_R_350!$A$1)*(S_R_420!Y40-S_R_350!Y40)</f>
        <v>3.1014285714285714</v>
      </c>
      <c r="Z40" s="97">
        <f>S_R_350!Z40+(S_R_390!$A$1-S_R_350!$A$1)/(S_R_420!$A$1-S_R_350!$A$1)*(S_R_420!Z40-S_R_350!Z40)</f>
        <v>2.6885714285714286</v>
      </c>
      <c r="AB40" s="219">
        <v>10.18</v>
      </c>
      <c r="AC40" s="219">
        <v>11.19</v>
      </c>
      <c r="AD40" s="219">
        <v>3.14</v>
      </c>
      <c r="AE40" s="219">
        <v>12.09</v>
      </c>
      <c r="AF40" s="219">
        <v>1569.14</v>
      </c>
      <c r="AG40" s="219">
        <v>99.69</v>
      </c>
      <c r="AH40" s="219">
        <v>11.39</v>
      </c>
      <c r="AI40" s="219">
        <v>14.26</v>
      </c>
      <c r="AJ40" s="221"/>
      <c r="AK40" s="221"/>
      <c r="AL40" s="221"/>
      <c r="AM40" s="221"/>
      <c r="AN40" s="221"/>
      <c r="AO40" s="219">
        <v>11.48</v>
      </c>
      <c r="AP40" s="219">
        <v>110.88</v>
      </c>
      <c r="AQ40" s="219">
        <v>17.04</v>
      </c>
      <c r="AR40" s="219">
        <v>3.1</v>
      </c>
      <c r="AS40" s="219">
        <v>2.68</v>
      </c>
    </row>
    <row r="41" spans="1:45" ht="15" customHeight="1" thickBot="1" x14ac:dyDescent="0.3">
      <c r="A41" s="72" t="str">
        <f t="shared" si="14"/>
        <v>SIGMA300x3,0</v>
      </c>
      <c r="B41" s="11" t="str">
        <f t="shared" si="15"/>
        <v>300</v>
      </c>
      <c r="C41" s="3">
        <f t="shared" si="16"/>
        <v>93</v>
      </c>
      <c r="D41" s="3">
        <f t="shared" si="17"/>
        <v>93</v>
      </c>
      <c r="E41" s="3">
        <f t="shared" si="18"/>
        <v>20</v>
      </c>
      <c r="F41" s="134" t="str">
        <f t="shared" si="19"/>
        <v>SIGMA300</v>
      </c>
      <c r="G41" s="81" t="s">
        <v>115</v>
      </c>
      <c r="H41" s="123">
        <v>3</v>
      </c>
      <c r="I41" s="96">
        <v>12.21</v>
      </c>
      <c r="J41" s="96">
        <f>S_R_350!J41+(S_R_390!$A$1-S_R_350!$A$1)/(S_R_420!$A$1-S_R_350!$A$1)*(S_R_420!J41-S_R_350!J41)</f>
        <v>14.648571428571428</v>
      </c>
      <c r="K41" s="96">
        <f>S_R_350!K41+(S_R_390!$A$1-S_R_350!$A$1)/(S_R_420!$A$1-S_R_350!$A$1)*(S_R_420!K41-S_R_350!K41)</f>
        <v>3.0757142857142856</v>
      </c>
      <c r="L41" s="96">
        <f>S_R_350!L41+(S_R_390!$A$1-S_R_350!$A$1)/(S_R_420!$A$1-S_R_350!$A$1)*(S_R_420!L41-S_R_350!L41)</f>
        <v>15.394285714285715</v>
      </c>
      <c r="M41" s="96">
        <f>S_R_350!M41+(S_R_390!$A$1-S_R_350!$A$1)/(S_R_420!$A$1-S_R_350!$A$1)*(S_R_420!M41-S_R_350!M41)</f>
        <v>1987.3785714285714</v>
      </c>
      <c r="N41" s="96">
        <f>S_R_350!N41+(S_R_390!$A$1-S_R_350!$A$1)/(S_R_420!$A$1-S_R_350!$A$1)*(S_R_420!N41-S_R_350!N41)</f>
        <v>131.63714285714286</v>
      </c>
      <c r="O41" s="96">
        <f>S_R_350!O41+(S_R_390!$A$1-S_R_350!$A$1)/(S_R_420!$A$1-S_R_350!$A$1)*(S_R_420!O41-S_R_350!O41)</f>
        <v>11.352857142857143</v>
      </c>
      <c r="P41" s="96">
        <f>S_R_350!P41+(S_R_390!$A$1-S_R_350!$A$1)/(S_R_420!$A$1-S_R_350!$A$1)*(S_R_420!P41-S_R_350!P41)</f>
        <v>14.902857142857142</v>
      </c>
      <c r="Q41" s="96"/>
      <c r="R41" s="96"/>
      <c r="S41" s="96"/>
      <c r="T41" s="96"/>
      <c r="U41" s="96"/>
      <c r="V41" s="96">
        <f>S_R_350!V41+(S_R_390!$A$1-S_R_350!$A$1)/(S_R_420!$A$1-S_R_350!$A$1)*(S_R_420!V41-S_R_350!V41)</f>
        <v>14.654285714285715</v>
      </c>
      <c r="W41" s="96">
        <f>S_R_350!W41+(S_R_390!$A$1-S_R_350!$A$1)/(S_R_420!$A$1-S_R_350!$A$1)*(S_R_420!W41-S_R_350!W41)</f>
        <v>139.20000000000002</v>
      </c>
      <c r="X41" s="96">
        <f>S_R_350!X41+(S_R_390!$A$1-S_R_350!$A$1)/(S_R_420!$A$1-S_R_350!$A$1)*(S_R_420!X41-S_R_350!X41)</f>
        <v>20.864285714285714</v>
      </c>
      <c r="Y41" s="96">
        <f>S_R_350!Y41+(S_R_390!$A$1-S_R_350!$A$1)/(S_R_420!$A$1-S_R_350!$A$1)*(S_R_420!Y41-S_R_350!Y41)</f>
        <v>3.0757142857142856</v>
      </c>
      <c r="Z41" s="97">
        <f>S_R_350!Z41+(S_R_390!$A$1-S_R_350!$A$1)/(S_R_420!$A$1-S_R_350!$A$1)*(S_R_420!Z41-S_R_350!Z41)</f>
        <v>2.6342857142857143</v>
      </c>
      <c r="AB41" s="219">
        <v>12.21</v>
      </c>
      <c r="AC41" s="219">
        <v>14.57</v>
      </c>
      <c r="AD41" s="219">
        <v>3.1</v>
      </c>
      <c r="AE41" s="219">
        <v>15.39</v>
      </c>
      <c r="AF41" s="219">
        <v>1987.37</v>
      </c>
      <c r="AG41" s="219">
        <v>131.63</v>
      </c>
      <c r="AH41" s="219">
        <v>11.36</v>
      </c>
      <c r="AI41" s="219">
        <v>14.91</v>
      </c>
      <c r="AJ41" s="221"/>
      <c r="AK41" s="221"/>
      <c r="AL41" s="221"/>
      <c r="AM41" s="221"/>
      <c r="AN41" s="221"/>
      <c r="AO41" s="219">
        <v>14.65</v>
      </c>
      <c r="AP41" s="219">
        <v>139.19999999999999</v>
      </c>
      <c r="AQ41" s="219">
        <v>20.86</v>
      </c>
      <c r="AR41" s="219">
        <v>3.08</v>
      </c>
      <c r="AS41" s="219">
        <v>2.59</v>
      </c>
    </row>
    <row r="42" spans="1:45" ht="15" customHeight="1" thickBot="1" x14ac:dyDescent="0.3">
      <c r="A42" s="73" t="str">
        <f t="shared" si="14"/>
        <v>SIGMA300x3,5</v>
      </c>
      <c r="B42" s="12" t="str">
        <f t="shared" si="15"/>
        <v>300</v>
      </c>
      <c r="C42" s="14">
        <f t="shared" si="16"/>
        <v>94</v>
      </c>
      <c r="D42" s="14">
        <f t="shared" si="17"/>
        <v>94</v>
      </c>
      <c r="E42" s="14">
        <f t="shared" si="18"/>
        <v>20</v>
      </c>
      <c r="F42" s="136" t="str">
        <f t="shared" si="19"/>
        <v>SIGMA300</v>
      </c>
      <c r="G42" s="82" t="s">
        <v>116</v>
      </c>
      <c r="H42" s="124">
        <v>3.5</v>
      </c>
      <c r="I42" s="98">
        <v>14.23</v>
      </c>
      <c r="J42" s="98">
        <f>S_R_350!J42+(S_R_390!$A$1-S_R_350!$A$1)/(S_R_420!$A$1-S_R_350!$A$1)*(S_R_420!J42-S_R_350!J42)</f>
        <v>17.762857142857143</v>
      </c>
      <c r="K42" s="98">
        <f>S_R_350!K42+(S_R_390!$A$1-S_R_350!$A$1)/(S_R_420!$A$1-S_R_350!$A$1)*(S_R_420!K42-S_R_350!K42)</f>
        <v>3.0657142857142858</v>
      </c>
      <c r="L42" s="98">
        <f>S_R_350!L42+(S_R_390!$A$1-S_R_350!$A$1)/(S_R_420!$A$1-S_R_350!$A$1)*(S_R_420!L42-S_R_350!L42)</f>
        <v>18.14</v>
      </c>
      <c r="M42" s="98">
        <f>S_R_350!M42+(S_R_390!$A$1-S_R_350!$A$1)/(S_R_420!$A$1-S_R_350!$A$1)*(S_R_420!M42-S_R_350!M42)</f>
        <v>2327.27</v>
      </c>
      <c r="N42" s="98">
        <f>S_R_350!N42+(S_R_390!$A$1-S_R_350!$A$1)/(S_R_420!$A$1-S_R_350!$A$1)*(S_R_420!N42-S_R_350!N42)</f>
        <v>155.15</v>
      </c>
      <c r="O42" s="98">
        <f>S_R_350!O42+(S_R_390!$A$1-S_R_350!$A$1)/(S_R_420!$A$1-S_R_350!$A$1)*(S_R_420!O42-S_R_350!O42)</f>
        <v>11.32</v>
      </c>
      <c r="P42" s="98">
        <f>S_R_350!P42+(S_R_390!$A$1-S_R_350!$A$1)/(S_R_420!$A$1-S_R_350!$A$1)*(S_R_420!P42-S_R_350!P42)</f>
        <v>15</v>
      </c>
      <c r="Q42" s="98"/>
      <c r="R42" s="98"/>
      <c r="S42" s="98"/>
      <c r="T42" s="98"/>
      <c r="U42" s="98"/>
      <c r="V42" s="98">
        <f>S_R_350!V42+(S_R_390!$A$1-S_R_350!$A$1)/(S_R_420!$A$1-S_R_350!$A$1)*(S_R_420!V42-S_R_350!V42)</f>
        <v>17.762857142857143</v>
      </c>
      <c r="W42" s="98">
        <f>S_R_350!W42+(S_R_390!$A$1-S_R_350!$A$1)/(S_R_420!$A$1-S_R_350!$A$1)*(S_R_420!W42-S_R_350!W42)</f>
        <v>167.44714285714286</v>
      </c>
      <c r="X42" s="98">
        <f>S_R_350!X42+(S_R_390!$A$1-S_R_350!$A$1)/(S_R_420!$A$1-S_R_350!$A$1)*(S_R_420!X42-S_R_350!X42)</f>
        <v>24.529999999999998</v>
      </c>
      <c r="Y42" s="98">
        <f>S_R_350!Y42+(S_R_390!$A$1-S_R_350!$A$1)/(S_R_420!$A$1-S_R_350!$A$1)*(S_R_420!Y42-S_R_350!Y42)</f>
        <v>3.0657142857142858</v>
      </c>
      <c r="Z42" s="99">
        <f>S_R_350!Z42+(S_R_390!$A$1-S_R_350!$A$1)/(S_R_420!$A$1-S_R_350!$A$1)*(S_R_420!Z42-S_R_350!Z42)</f>
        <v>2.5785714285714287</v>
      </c>
      <c r="AB42" s="219">
        <v>14.23</v>
      </c>
      <c r="AC42" s="219">
        <v>17.690000000000001</v>
      </c>
      <c r="AD42" s="219">
        <v>3.09</v>
      </c>
      <c r="AE42" s="220">
        <v>18.14</v>
      </c>
      <c r="AF42" s="220">
        <v>2327.27</v>
      </c>
      <c r="AG42" s="220">
        <v>155.15</v>
      </c>
      <c r="AH42" s="220">
        <v>11.32</v>
      </c>
      <c r="AI42" s="220">
        <v>15</v>
      </c>
      <c r="AJ42" s="221"/>
      <c r="AK42" s="221"/>
      <c r="AL42" s="221"/>
      <c r="AM42" s="221"/>
      <c r="AN42" s="221"/>
      <c r="AO42" s="219">
        <v>17.760000000000002</v>
      </c>
      <c r="AP42" s="219">
        <v>167.44</v>
      </c>
      <c r="AQ42" s="219">
        <v>24.53</v>
      </c>
      <c r="AR42" s="219">
        <v>3.16</v>
      </c>
      <c r="AS42" s="219">
        <v>2.5299999999999998</v>
      </c>
    </row>
    <row r="43" spans="1:45" s="198" customFormat="1" ht="15" customHeight="1" thickBot="1" x14ac:dyDescent="0.3">
      <c r="A43" s="129" t="str">
        <f t="shared" si="14"/>
        <v>SIGMA350x2,0</v>
      </c>
      <c r="B43" s="57" t="str">
        <f t="shared" si="15"/>
        <v>350</v>
      </c>
      <c r="C43" s="59">
        <f t="shared" si="16"/>
        <v>100</v>
      </c>
      <c r="D43" s="59">
        <f t="shared" si="17"/>
        <v>100</v>
      </c>
      <c r="E43" s="59">
        <f t="shared" si="18"/>
        <v>20</v>
      </c>
      <c r="F43" s="58" t="str">
        <f t="shared" si="19"/>
        <v>SIGMA350</v>
      </c>
      <c r="G43" s="127" t="s">
        <v>117</v>
      </c>
      <c r="H43" s="130">
        <v>2</v>
      </c>
      <c r="I43" s="131">
        <v>9.2200000000000006</v>
      </c>
      <c r="J43" s="94">
        <f>S_R_350!J43+(S_R_390!$A$1-S_R_350!$A$1)/(S_R_420!$A$1-S_R_350!$A$1)*(S_R_420!J43-S_R_350!J43)</f>
        <v>8.2899999999999991</v>
      </c>
      <c r="K43" s="94">
        <f>S_R_350!K43+(S_R_390!$A$1-S_R_350!$A$1)/(S_R_420!$A$1-S_R_350!$A$1)*(S_R_420!K43-S_R_350!K43)</f>
        <v>3.5428571428571427</v>
      </c>
      <c r="L43" s="94">
        <f>S_R_350!L43+(S_R_390!$A$1-S_R_350!$A$1)/(S_R_420!$A$1-S_R_350!$A$1)*(S_R_420!L43-S_R_350!L43)</f>
        <v>9.6757142857142853</v>
      </c>
      <c r="M43" s="94">
        <f>S_R_350!M43+(S_R_390!$A$1-S_R_350!$A$1)/(S_R_420!$A$1-S_R_350!$A$1)*(S_R_420!M43-S_R_350!M43)</f>
        <v>1697.0928571428572</v>
      </c>
      <c r="N43" s="94">
        <f>S_R_350!N43+(S_R_390!$A$1-S_R_350!$A$1)/(S_R_420!$A$1-S_R_350!$A$1)*(S_R_420!N43-S_R_350!N43)</f>
        <v>85.328571428571436</v>
      </c>
      <c r="O43" s="94">
        <f>S_R_350!O43+(S_R_390!$A$1-S_R_350!$A$1)/(S_R_420!$A$1-S_R_350!$A$1)*(S_R_420!O43-S_R_350!O43)</f>
        <v>13.235714285714286</v>
      </c>
      <c r="P43" s="94">
        <f>S_R_350!P43+(S_R_390!$A$1-S_R_350!$A$1)/(S_R_420!$A$1-S_R_350!$A$1)*(S_R_420!P43-S_R_350!P43)</f>
        <v>15.107142857142858</v>
      </c>
      <c r="Q43" s="94"/>
      <c r="R43" s="94"/>
      <c r="S43" s="94"/>
      <c r="T43" s="94"/>
      <c r="U43" s="94"/>
      <c r="V43" s="94">
        <f>S_R_350!V43+(S_R_390!$A$1-S_R_350!$A$1)/(S_R_420!$A$1-S_R_350!$A$1)*(S_R_420!V43-S_R_350!V43)</f>
        <v>8.781428571428572</v>
      </c>
      <c r="W43" s="94">
        <f>S_R_350!W43+(S_R_390!$A$1-S_R_350!$A$1)/(S_R_420!$A$1-S_R_350!$A$1)*(S_R_420!W43-S_R_350!W43)</f>
        <v>106.80428571428571</v>
      </c>
      <c r="X43" s="94">
        <f>S_R_350!X43+(S_R_390!$A$1-S_R_350!$A$1)/(S_R_420!$A$1-S_R_350!$A$1)*(S_R_420!X43-S_R_350!X43)</f>
        <v>15.292857142857143</v>
      </c>
      <c r="Y43" s="94">
        <f>S_R_350!Y43+(S_R_390!$A$1-S_R_350!$A$1)/(S_R_420!$A$1-S_R_350!$A$1)*(S_R_420!Y43-S_R_350!Y43)</f>
        <v>3.4814285714285718</v>
      </c>
      <c r="Z43" s="95">
        <f>S_R_350!Z43+(S_R_390!$A$1-S_R_350!$A$1)/(S_R_420!$A$1-S_R_350!$A$1)*(S_R_420!Z43-S_R_350!Z43)</f>
        <v>3.0185714285714287</v>
      </c>
      <c r="AB43" s="219">
        <v>9.2200000000000006</v>
      </c>
      <c r="AC43" s="219">
        <v>8.17</v>
      </c>
      <c r="AD43" s="219">
        <v>3.53</v>
      </c>
      <c r="AE43" s="219">
        <v>9.19</v>
      </c>
      <c r="AF43" s="219">
        <v>1537.85</v>
      </c>
      <c r="AG43" s="219">
        <v>84.05</v>
      </c>
      <c r="AH43" s="219">
        <v>13.2</v>
      </c>
      <c r="AI43" s="219">
        <v>15.02</v>
      </c>
      <c r="AJ43" s="231"/>
      <c r="AK43" s="231"/>
      <c r="AL43" s="231"/>
      <c r="AM43" s="231"/>
      <c r="AN43" s="231"/>
      <c r="AO43" s="219">
        <v>8.7799999999999994</v>
      </c>
      <c r="AP43" s="219">
        <v>106.8</v>
      </c>
      <c r="AQ43" s="219">
        <v>15.29</v>
      </c>
      <c r="AR43" s="219">
        <v>3.43</v>
      </c>
      <c r="AS43" s="219">
        <v>3.09</v>
      </c>
    </row>
    <row r="44" spans="1:45" ht="15" customHeight="1" thickBot="1" x14ac:dyDescent="0.3">
      <c r="A44" s="72" t="str">
        <f t="shared" si="14"/>
        <v>SIGMA350x2,5</v>
      </c>
      <c r="B44" s="11" t="str">
        <f t="shared" si="15"/>
        <v>350</v>
      </c>
      <c r="C44" s="3">
        <f t="shared" si="16"/>
        <v>100</v>
      </c>
      <c r="D44" s="3">
        <f t="shared" si="17"/>
        <v>100</v>
      </c>
      <c r="E44" s="3">
        <f t="shared" si="18"/>
        <v>22</v>
      </c>
      <c r="F44" s="134" t="str">
        <f t="shared" si="19"/>
        <v>SIGMA350</v>
      </c>
      <c r="G44" s="81" t="s">
        <v>118</v>
      </c>
      <c r="H44" s="123">
        <v>2.5</v>
      </c>
      <c r="I44" s="96">
        <v>11.56</v>
      </c>
      <c r="J44" s="96">
        <f>S_R_350!J44+(S_R_390!$A$1-S_R_350!$A$1)/(S_R_420!$A$1-S_R_350!$A$1)*(S_R_420!J44-S_R_350!J44)</f>
        <v>11.764285714285714</v>
      </c>
      <c r="K44" s="96">
        <f>S_R_350!K44+(S_R_390!$A$1-S_R_350!$A$1)/(S_R_420!$A$1-S_R_350!$A$1)*(S_R_420!K44-S_R_350!K44)</f>
        <v>3.4628571428571426</v>
      </c>
      <c r="L44" s="96">
        <f>S_R_350!L44+(S_R_390!$A$1-S_R_350!$A$1)/(S_R_420!$A$1-S_R_350!$A$1)*(S_R_420!L44-S_R_350!L44)</f>
        <v>13.122857142857143</v>
      </c>
      <c r="M44" s="96">
        <f>S_R_350!M44+(S_R_390!$A$1-S_R_350!$A$1)/(S_R_420!$A$1-S_R_350!$A$1)*(S_R_420!M44-S_R_350!M44)</f>
        <v>2316.1714285714288</v>
      </c>
      <c r="N44" s="96">
        <f>S_R_350!N44+(S_R_390!$A$1-S_R_350!$A$1)/(S_R_420!$A$1-S_R_350!$A$1)*(S_R_420!N44-S_R_350!N44)</f>
        <v>122.82714285714286</v>
      </c>
      <c r="O44" s="96">
        <f>S_R_350!O44+(S_R_390!$A$1-S_R_350!$A$1)/(S_R_420!$A$1-S_R_350!$A$1)*(S_R_420!O44-S_R_350!O44)</f>
        <v>13.278571428571428</v>
      </c>
      <c r="P44" s="96">
        <f>S_R_350!P44+(S_R_390!$A$1-S_R_350!$A$1)/(S_R_420!$A$1-S_R_350!$A$1)*(S_R_420!P44-S_R_350!P44)</f>
        <v>16.137142857142859</v>
      </c>
      <c r="Q44" s="96"/>
      <c r="R44" s="96"/>
      <c r="S44" s="96"/>
      <c r="T44" s="96"/>
      <c r="U44" s="96"/>
      <c r="V44" s="96">
        <f>S_R_350!V44+(S_R_390!$A$1-S_R_350!$A$1)/(S_R_420!$A$1-S_R_350!$A$1)*(S_R_420!V44-S_R_350!V44)</f>
        <v>12.078571428571429</v>
      </c>
      <c r="W44" s="96">
        <f>S_R_350!W44+(S_R_390!$A$1-S_R_350!$A$1)/(S_R_420!$A$1-S_R_350!$A$1)*(S_R_420!W44-S_R_350!W44)</f>
        <v>143.19714285714286</v>
      </c>
      <c r="X44" s="96">
        <f>S_R_350!X44+(S_R_390!$A$1-S_R_350!$A$1)/(S_R_420!$A$1-S_R_350!$A$1)*(S_R_420!X44-S_R_350!X44)</f>
        <v>20.3</v>
      </c>
      <c r="Y44" s="96">
        <f>S_R_350!Y44+(S_R_390!$A$1-S_R_350!$A$1)/(S_R_420!$A$1-S_R_350!$A$1)*(S_R_420!Y44-S_R_350!Y44)</f>
        <v>3.4371428571428573</v>
      </c>
      <c r="Z44" s="97">
        <f>S_R_350!Z44+(S_R_390!$A$1-S_R_350!$A$1)/(S_R_420!$A$1-S_R_350!$A$1)*(S_R_420!Z44-S_R_350!Z44)</f>
        <v>2.9485714285714288</v>
      </c>
      <c r="AB44" s="219">
        <v>11.56</v>
      </c>
      <c r="AC44" s="219">
        <v>11.62</v>
      </c>
      <c r="AD44" s="219">
        <v>3.46</v>
      </c>
      <c r="AE44" s="219">
        <v>13.07</v>
      </c>
      <c r="AF44" s="219">
        <v>2237.7399999999998</v>
      </c>
      <c r="AG44" s="219">
        <v>121.08</v>
      </c>
      <c r="AH44" s="219">
        <v>13.24</v>
      </c>
      <c r="AI44" s="219">
        <v>16.059999999999999</v>
      </c>
      <c r="AJ44" s="221"/>
      <c r="AK44" s="221"/>
      <c r="AL44" s="221"/>
      <c r="AM44" s="221"/>
      <c r="AN44" s="221"/>
      <c r="AO44" s="219">
        <v>12.07</v>
      </c>
      <c r="AP44" s="219">
        <v>143.19999999999999</v>
      </c>
      <c r="AQ44" s="219">
        <v>20.3</v>
      </c>
      <c r="AR44" s="219">
        <v>3.42</v>
      </c>
      <c r="AS44" s="219">
        <v>2.97</v>
      </c>
    </row>
    <row r="45" spans="1:45" ht="15" customHeight="1" thickBot="1" x14ac:dyDescent="0.3">
      <c r="A45" s="72" t="str">
        <f t="shared" si="14"/>
        <v>SIGMA350x3,0</v>
      </c>
      <c r="B45" s="11" t="str">
        <f t="shared" si="15"/>
        <v>350</v>
      </c>
      <c r="C45" s="3">
        <f t="shared" si="16"/>
        <v>100</v>
      </c>
      <c r="D45" s="3">
        <f t="shared" si="17"/>
        <v>100</v>
      </c>
      <c r="E45" s="3">
        <f t="shared" si="18"/>
        <v>24</v>
      </c>
      <c r="F45" s="134" t="str">
        <f t="shared" si="19"/>
        <v>SIGMA350</v>
      </c>
      <c r="G45" s="81" t="s">
        <v>119</v>
      </c>
      <c r="H45" s="123">
        <v>3</v>
      </c>
      <c r="I45" s="96">
        <v>13.9</v>
      </c>
      <c r="J45" s="96">
        <f>S_R_350!J45+(S_R_390!$A$1-S_R_350!$A$1)/(S_R_420!$A$1-S_R_350!$A$1)*(S_R_420!J45-S_R_350!J45)</f>
        <v>15.561428571428571</v>
      </c>
      <c r="K45" s="96">
        <f>S_R_350!K45+(S_R_390!$A$1-S_R_350!$A$1)/(S_R_420!$A$1-S_R_350!$A$1)*(S_R_420!K45-S_R_350!K45)</f>
        <v>3.407142857142857</v>
      </c>
      <c r="L45" s="96">
        <f>S_R_350!L45+(S_R_390!$A$1-S_R_350!$A$1)/(S_R_420!$A$1-S_R_350!$A$1)*(S_R_420!L45-S_R_350!L45)</f>
        <v>16.845714285714287</v>
      </c>
      <c r="M45" s="96">
        <f>S_R_350!M45+(S_R_390!$A$1-S_R_350!$A$1)/(S_R_420!$A$1-S_R_350!$A$1)*(S_R_420!M45-S_R_350!M45)</f>
        <v>2961.0971428571429</v>
      </c>
      <c r="N45" s="96">
        <f>S_R_350!N45+(S_R_390!$A$1-S_R_350!$A$1)/(S_R_420!$A$1-S_R_350!$A$1)*(S_R_420!N45-S_R_350!N45)</f>
        <v>164.05285714285714</v>
      </c>
      <c r="O45" s="96">
        <f>S_R_350!O45+(S_R_390!$A$1-S_R_350!$A$1)/(S_R_420!$A$1-S_R_350!$A$1)*(S_R_420!O45-S_R_350!O45)</f>
        <v>13.25</v>
      </c>
      <c r="P45" s="96">
        <f>S_R_350!P45+(S_R_390!$A$1-S_R_350!$A$1)/(S_R_420!$A$1-S_R_350!$A$1)*(S_R_420!P45-S_R_350!P45)</f>
        <v>16.944285714285712</v>
      </c>
      <c r="Q45" s="96"/>
      <c r="R45" s="96"/>
      <c r="S45" s="96"/>
      <c r="T45" s="96"/>
      <c r="U45" s="96"/>
      <c r="V45" s="96">
        <f>S_R_350!V45+(S_R_390!$A$1-S_R_350!$A$1)/(S_R_420!$A$1-S_R_350!$A$1)*(S_R_420!V45-S_R_350!V45)</f>
        <v>15.635714285714286</v>
      </c>
      <c r="W45" s="96">
        <f>S_R_350!W45+(S_R_390!$A$1-S_R_350!$A$1)/(S_R_420!$A$1-S_R_350!$A$1)*(S_R_420!W45-S_R_350!W45)</f>
        <v>181.73142857142858</v>
      </c>
      <c r="X45" s="96">
        <f>S_R_350!X45+(S_R_390!$A$1-S_R_350!$A$1)/(S_R_420!$A$1-S_R_350!$A$1)*(S_R_420!X45-S_R_350!X45)</f>
        <v>25.581428571428571</v>
      </c>
      <c r="Y45" s="96">
        <f>S_R_350!Y45+(S_R_390!$A$1-S_R_350!$A$1)/(S_R_420!$A$1-S_R_350!$A$1)*(S_R_420!Y45-S_R_350!Y45)</f>
        <v>3.4014285714285717</v>
      </c>
      <c r="Z45" s="97">
        <f>S_R_350!Z45+(S_R_390!$A$1-S_R_350!$A$1)/(S_R_420!$A$1-S_R_350!$A$1)*(S_R_420!Z45-S_R_350!Z45)</f>
        <v>2.8985714285714286</v>
      </c>
      <c r="AB45" s="219">
        <v>13.9</v>
      </c>
      <c r="AC45" s="219">
        <v>15.41</v>
      </c>
      <c r="AD45" s="219">
        <v>3.43</v>
      </c>
      <c r="AE45" s="219">
        <v>16.78</v>
      </c>
      <c r="AF45" s="219">
        <v>2939.65</v>
      </c>
      <c r="AG45" s="219">
        <v>162.28</v>
      </c>
      <c r="AH45" s="219">
        <v>13.23</v>
      </c>
      <c r="AI45" s="219">
        <v>16.89</v>
      </c>
      <c r="AJ45" s="221"/>
      <c r="AK45" s="221"/>
      <c r="AL45" s="221"/>
      <c r="AM45" s="221"/>
      <c r="AN45" s="221"/>
      <c r="AO45" s="219">
        <v>15.63</v>
      </c>
      <c r="AP45" s="219">
        <v>181.73</v>
      </c>
      <c r="AQ45" s="219">
        <v>25.58</v>
      </c>
      <c r="AR45" s="219">
        <v>3.41</v>
      </c>
      <c r="AS45" s="219">
        <v>2.87</v>
      </c>
    </row>
    <row r="46" spans="1:45" ht="15" customHeight="1" thickBot="1" x14ac:dyDescent="0.3">
      <c r="A46" s="126" t="str">
        <f t="shared" si="14"/>
        <v>SIGMA350x3,5</v>
      </c>
      <c r="B46" s="12" t="str">
        <f t="shared" si="15"/>
        <v>350</v>
      </c>
      <c r="C46" s="14">
        <f t="shared" si="16"/>
        <v>100</v>
      </c>
      <c r="D46" s="14">
        <f t="shared" si="17"/>
        <v>100</v>
      </c>
      <c r="E46" s="14">
        <f t="shared" si="18"/>
        <v>26</v>
      </c>
      <c r="F46" s="135" t="str">
        <f t="shared" si="19"/>
        <v>SIGMA350</v>
      </c>
      <c r="G46" s="82" t="s">
        <v>120</v>
      </c>
      <c r="H46" s="124">
        <v>3.5</v>
      </c>
      <c r="I46" s="98">
        <v>16.260000000000002</v>
      </c>
      <c r="J46" s="98">
        <f>S_R_350!J46+(S_R_390!$A$1-S_R_350!$A$1)/(S_R_420!$A$1-S_R_350!$A$1)*(S_R_420!J46-S_R_350!J46)</f>
        <v>19.21</v>
      </c>
      <c r="K46" s="98">
        <f>S_R_350!K46+(S_R_390!$A$1-S_R_350!$A$1)/(S_R_420!$A$1-S_R_350!$A$1)*(S_R_420!K46-S_R_350!K46)</f>
        <v>3.3857142857142857</v>
      </c>
      <c r="L46" s="98">
        <f>S_R_350!L46+(S_R_390!$A$1-S_R_350!$A$1)/(S_R_420!$A$1-S_R_350!$A$1)*(S_R_420!L46-S_R_350!L46)</f>
        <v>20.507142857142856</v>
      </c>
      <c r="M46" s="98">
        <f>S_R_350!M46+(S_R_390!$A$1-S_R_350!$A$1)/(S_R_420!$A$1-S_R_350!$A$1)*(S_R_420!M46-S_R_350!M46)</f>
        <v>3558.31</v>
      </c>
      <c r="N46" s="98">
        <f>S_R_350!N46+(S_R_390!$A$1-S_R_350!$A$1)/(S_R_420!$A$1-S_R_350!$A$1)*(S_R_420!N46-S_R_350!N46)</f>
        <v>202.06</v>
      </c>
      <c r="O46" s="98">
        <f>S_R_350!O46+(S_R_390!$A$1-S_R_350!$A$1)/(S_R_420!$A$1-S_R_350!$A$1)*(S_R_420!O46-S_R_350!O46)</f>
        <v>13.168571428571429</v>
      </c>
      <c r="P46" s="98">
        <f>S_R_350!P46+(S_R_390!$A$1-S_R_350!$A$1)/(S_R_420!$A$1-S_R_350!$A$1)*(S_R_420!P46-S_R_350!P46)</f>
        <v>17.39142857142857</v>
      </c>
      <c r="Q46" s="98"/>
      <c r="R46" s="98"/>
      <c r="S46" s="98"/>
      <c r="T46" s="98"/>
      <c r="U46" s="98"/>
      <c r="V46" s="98">
        <f>S_R_350!V46+(S_R_390!$A$1-S_R_350!$A$1)/(S_R_420!$A$1-S_R_350!$A$1)*(S_R_420!V46-S_R_350!V46)</f>
        <v>19.21</v>
      </c>
      <c r="W46" s="98">
        <f>S_R_350!W46+(S_R_390!$A$1-S_R_350!$A$1)/(S_R_420!$A$1-S_R_350!$A$1)*(S_R_420!W46-S_R_350!W46)</f>
        <v>221.16571428571427</v>
      </c>
      <c r="X46" s="98">
        <f>S_R_350!X46+(S_R_390!$A$1-S_R_350!$A$1)/(S_R_420!$A$1-S_R_350!$A$1)*(S_R_420!X46-S_R_350!X46)</f>
        <v>30.901428571428571</v>
      </c>
      <c r="Y46" s="98">
        <f>S_R_350!Y46+(S_R_390!$A$1-S_R_350!$A$1)/(S_R_420!$A$1-S_R_350!$A$1)*(S_R_420!Y46-S_R_350!Y46)</f>
        <v>3.3857142857142857</v>
      </c>
      <c r="Z46" s="99">
        <f>S_R_350!Z46+(S_R_390!$A$1-S_R_350!$A$1)/(S_R_420!$A$1-S_R_350!$A$1)*(S_R_420!Z46-S_R_350!Z46)</f>
        <v>2.84</v>
      </c>
      <c r="AB46" s="219">
        <v>16.260000000000002</v>
      </c>
      <c r="AC46" s="219">
        <v>18.54</v>
      </c>
      <c r="AD46" s="219">
        <v>3.23</v>
      </c>
      <c r="AE46" s="219">
        <v>19.96</v>
      </c>
      <c r="AF46" s="219">
        <v>3558.31</v>
      </c>
      <c r="AG46" s="219">
        <v>202.06</v>
      </c>
      <c r="AH46" s="219">
        <v>13.1</v>
      </c>
      <c r="AI46" s="219">
        <v>17.38</v>
      </c>
      <c r="AJ46" s="221"/>
      <c r="AK46" s="221"/>
      <c r="AL46" s="221"/>
      <c r="AM46" s="221"/>
      <c r="AN46" s="221"/>
      <c r="AO46" s="219">
        <v>18.77</v>
      </c>
      <c r="AP46" s="219">
        <v>221.16</v>
      </c>
      <c r="AQ46" s="219">
        <v>30.9</v>
      </c>
      <c r="AR46" s="219">
        <v>3.3</v>
      </c>
      <c r="AS46" s="219">
        <v>2.6</v>
      </c>
    </row>
    <row r="47" spans="1:45" ht="15" customHeight="1" thickBot="1" x14ac:dyDescent="0.3">
      <c r="A47" s="71" t="str">
        <f t="shared" si="14"/>
        <v>SIGMA400x2,0</v>
      </c>
      <c r="B47" s="13" t="str">
        <f t="shared" si="15"/>
        <v>400</v>
      </c>
      <c r="C47" s="1">
        <f t="shared" si="16"/>
        <v>100</v>
      </c>
      <c r="D47" s="1">
        <f t="shared" si="17"/>
        <v>100</v>
      </c>
      <c r="E47" s="1">
        <f t="shared" si="18"/>
        <v>20</v>
      </c>
      <c r="F47" s="9" t="str">
        <f t="shared" si="19"/>
        <v>SIGMA400</v>
      </c>
      <c r="G47" s="83" t="s">
        <v>121</v>
      </c>
      <c r="H47" s="125">
        <v>2</v>
      </c>
      <c r="I47" s="100">
        <v>10.01</v>
      </c>
      <c r="J47" s="94">
        <f>S_R_350!J47+(S_R_390!$A$1-S_R_350!$A$1)/(S_R_420!$A$1-S_R_350!$A$1)*(S_R_420!J47-S_R_350!J47)</f>
        <v>8.3742857142857137</v>
      </c>
      <c r="K47" s="94">
        <f>S_R_350!K47+(S_R_390!$A$1-S_R_350!$A$1)/(S_R_420!$A$1-S_R_350!$A$1)*(S_R_420!K47-S_R_350!K47)</f>
        <v>3.5385714285714287</v>
      </c>
      <c r="L47" s="94">
        <f>S_R_350!L47+(S_R_390!$A$1-S_R_350!$A$1)/(S_R_420!$A$1-S_R_350!$A$1)*(S_R_420!L47-S_R_350!L47)</f>
        <v>10.191428571428572</v>
      </c>
      <c r="M47" s="94">
        <f>S_R_350!M47+(S_R_390!$A$1-S_R_350!$A$1)/(S_R_420!$A$1-S_R_350!$A$1)*(S_R_420!M47-S_R_350!M47)</f>
        <v>2272.3228571428572</v>
      </c>
      <c r="N47" s="94">
        <f>S_R_350!N47+(S_R_390!$A$1-S_R_350!$A$1)/(S_R_420!$A$1-S_R_350!$A$1)*(S_R_420!N47-S_R_350!N47)</f>
        <v>98.445714285714288</v>
      </c>
      <c r="O47" s="94">
        <f>S_R_350!O47+(S_R_390!$A$1-S_R_350!$A$1)/(S_R_420!$A$1-S_R_350!$A$1)*(S_R_420!O47-S_R_350!O47)</f>
        <v>14.924285714285714</v>
      </c>
      <c r="P47" s="94">
        <f>S_R_350!P47+(S_R_390!$A$1-S_R_350!$A$1)/(S_R_420!$A$1-S_R_350!$A$1)*(S_R_420!P47-S_R_350!P47)</f>
        <v>16.914285714285715</v>
      </c>
      <c r="Q47" s="94"/>
      <c r="R47" s="94"/>
      <c r="S47" s="94"/>
      <c r="T47" s="94"/>
      <c r="U47" s="94"/>
      <c r="V47" s="94">
        <f>S_R_350!V47+(S_R_390!$A$1-S_R_350!$A$1)/(S_R_420!$A$1-S_R_350!$A$1)*(S_R_420!V47-S_R_350!V47)</f>
        <v>8.8657142857142865</v>
      </c>
      <c r="W47" s="94">
        <f>S_R_350!W47+(S_R_390!$A$1-S_R_350!$A$1)/(S_R_420!$A$1-S_R_350!$A$1)*(S_R_420!W47-S_R_350!W47)</f>
        <v>107.49285714285715</v>
      </c>
      <c r="X47" s="94">
        <f>S_R_350!X47+(S_R_390!$A$1-S_R_350!$A$1)/(S_R_420!$A$1-S_R_350!$A$1)*(S_R_420!X47-S_R_350!X47)</f>
        <v>15.332857142857144</v>
      </c>
      <c r="Y47" s="94">
        <f>S_R_350!Y47+(S_R_390!$A$1-S_R_350!$A$1)/(S_R_420!$A$1-S_R_350!$A$1)*(S_R_420!Y47-S_R_350!Y47)</f>
        <v>3.4771428571428573</v>
      </c>
      <c r="Z47" s="95">
        <f>S_R_350!Z47+(S_R_390!$A$1-S_R_350!$A$1)/(S_R_420!$A$1-S_R_350!$A$1)*(S_R_420!Z47-S_R_350!Z47)</f>
        <v>2.9942857142857142</v>
      </c>
      <c r="AB47" s="219">
        <v>10.01</v>
      </c>
      <c r="AC47" s="219">
        <v>8.41</v>
      </c>
      <c r="AD47" s="219">
        <v>3.56</v>
      </c>
      <c r="AE47" s="219">
        <v>9.33</v>
      </c>
      <c r="AF47" s="219">
        <v>2018.49</v>
      </c>
      <c r="AG47" s="219">
        <v>96.79</v>
      </c>
      <c r="AH47" s="219">
        <v>14.87</v>
      </c>
      <c r="AI47" s="219">
        <v>16.809999999999999</v>
      </c>
      <c r="AJ47" s="221"/>
      <c r="AK47" s="221"/>
      <c r="AL47" s="221"/>
      <c r="AM47" s="221"/>
      <c r="AN47" s="221"/>
      <c r="AO47" s="219">
        <v>8.86</v>
      </c>
      <c r="AP47" s="219">
        <v>107.5</v>
      </c>
      <c r="AQ47" s="219">
        <v>15.33</v>
      </c>
      <c r="AR47" s="219">
        <v>3.43</v>
      </c>
      <c r="AS47" s="219">
        <v>3.07</v>
      </c>
    </row>
    <row r="48" spans="1:45" ht="15" customHeight="1" thickBot="1" x14ac:dyDescent="0.3">
      <c r="A48" s="72" t="str">
        <f t="shared" si="14"/>
        <v>SIGMA400x2,5</v>
      </c>
      <c r="B48" s="11" t="str">
        <f t="shared" si="15"/>
        <v>400</v>
      </c>
      <c r="C48" s="3">
        <f t="shared" si="16"/>
        <v>100</v>
      </c>
      <c r="D48" s="3">
        <f t="shared" si="17"/>
        <v>100</v>
      </c>
      <c r="E48" s="3">
        <f t="shared" si="18"/>
        <v>22</v>
      </c>
      <c r="F48" s="134" t="str">
        <f t="shared" si="19"/>
        <v>SIGMA400</v>
      </c>
      <c r="G48" s="81" t="s">
        <v>122</v>
      </c>
      <c r="H48" s="123">
        <v>2.5</v>
      </c>
      <c r="I48" s="96">
        <v>12.54</v>
      </c>
      <c r="J48" s="96">
        <f>S_R_350!J48+(S_R_390!$A$1-S_R_350!$A$1)/(S_R_420!$A$1-S_R_350!$A$1)*(S_R_420!J48-S_R_350!J48)</f>
        <v>11.927142857142856</v>
      </c>
      <c r="K48" s="96">
        <f>S_R_350!K48+(S_R_390!$A$1-S_R_350!$A$1)/(S_R_420!$A$1-S_R_350!$A$1)*(S_R_420!K48-S_R_350!K48)</f>
        <v>3.4528571428571428</v>
      </c>
      <c r="L48" s="96">
        <f>S_R_350!L48+(S_R_390!$A$1-S_R_350!$A$1)/(S_R_420!$A$1-S_R_350!$A$1)*(S_R_420!L48-S_R_350!L48)</f>
        <v>13.782857142857143</v>
      </c>
      <c r="M48" s="96">
        <f>S_R_350!M48+(S_R_390!$A$1-S_R_350!$A$1)/(S_R_420!$A$1-S_R_350!$A$1)*(S_R_420!M48-S_R_350!M48)</f>
        <v>3108.7599999999998</v>
      </c>
      <c r="N48" s="96">
        <f>S_R_350!N48+(S_R_390!$A$1-S_R_350!$A$1)/(S_R_420!$A$1-S_R_350!$A$1)*(S_R_420!N48-S_R_350!N48)</f>
        <v>141.74</v>
      </c>
      <c r="O48" s="96">
        <f>S_R_350!O48+(S_R_390!$A$1-S_R_350!$A$1)/(S_R_420!$A$1-S_R_350!$A$1)*(S_R_420!O48-S_R_350!O48)</f>
        <v>15.007142857142856</v>
      </c>
      <c r="P48" s="96">
        <f>S_R_350!P48+(S_R_390!$A$1-S_R_350!$A$1)/(S_R_420!$A$1-S_R_350!$A$1)*(S_R_420!P48-S_R_350!P48)</f>
        <v>18.064285714285713</v>
      </c>
      <c r="Q48" s="96"/>
      <c r="R48" s="96"/>
      <c r="S48" s="96"/>
      <c r="T48" s="96"/>
      <c r="U48" s="96"/>
      <c r="V48" s="96">
        <f>S_R_350!V48+(S_R_390!$A$1-S_R_350!$A$1)/(S_R_420!$A$1-S_R_350!$A$1)*(S_R_420!V48-S_R_350!V48)</f>
        <v>12.235714285714286</v>
      </c>
      <c r="W48" s="96">
        <f>S_R_350!W48+(S_R_390!$A$1-S_R_350!$A$1)/(S_R_420!$A$1-S_R_350!$A$1)*(S_R_420!W48-S_R_350!W48)</f>
        <v>144.44999999999999</v>
      </c>
      <c r="X48" s="96">
        <f>S_R_350!X48+(S_R_390!$A$1-S_R_350!$A$1)/(S_R_420!$A$1-S_R_350!$A$1)*(S_R_420!X48-S_R_350!X48)</f>
        <v>20.368571428571428</v>
      </c>
      <c r="Y48" s="96">
        <f>S_R_350!Y48+(S_R_390!$A$1-S_R_350!$A$1)/(S_R_420!$A$1-S_R_350!$A$1)*(S_R_420!Y48-S_R_350!Y48)</f>
        <v>3.4314285714285715</v>
      </c>
      <c r="Z48" s="97">
        <f>S_R_350!Z48+(S_R_390!$A$1-S_R_350!$A$1)/(S_R_420!$A$1-S_R_350!$A$1)*(S_R_420!Z48-S_R_350!Z48)</f>
        <v>2.9142857142857141</v>
      </c>
      <c r="AB48" s="219">
        <v>12.54</v>
      </c>
      <c r="AC48" s="219">
        <v>11.92</v>
      </c>
      <c r="AD48" s="219">
        <v>3.45</v>
      </c>
      <c r="AE48" s="219">
        <v>13.39</v>
      </c>
      <c r="AF48" s="219">
        <v>2941.17</v>
      </c>
      <c r="AG48" s="219">
        <v>139.33000000000001</v>
      </c>
      <c r="AH48" s="219">
        <v>14.96</v>
      </c>
      <c r="AI48" s="219">
        <v>17.97</v>
      </c>
      <c r="AJ48" s="221"/>
      <c r="AK48" s="221"/>
      <c r="AL48" s="221"/>
      <c r="AM48" s="221"/>
      <c r="AN48" s="221"/>
      <c r="AO48" s="219">
        <v>12.23</v>
      </c>
      <c r="AP48" s="219">
        <v>144.43</v>
      </c>
      <c r="AQ48" s="219">
        <v>20.36</v>
      </c>
      <c r="AR48" s="219">
        <v>3.41</v>
      </c>
      <c r="AS48" s="219">
        <v>2.93</v>
      </c>
    </row>
    <row r="49" spans="1:45" ht="15" customHeight="1" thickBot="1" x14ac:dyDescent="0.3">
      <c r="A49" s="72" t="str">
        <f t="shared" si="14"/>
        <v>SIGMA400x3,0</v>
      </c>
      <c r="B49" s="11" t="str">
        <f t="shared" si="15"/>
        <v>400</v>
      </c>
      <c r="C49" s="3">
        <f t="shared" si="16"/>
        <v>100</v>
      </c>
      <c r="D49" s="3">
        <f t="shared" si="17"/>
        <v>100</v>
      </c>
      <c r="E49" s="3">
        <f t="shared" si="18"/>
        <v>24</v>
      </c>
      <c r="F49" s="134" t="str">
        <f t="shared" si="19"/>
        <v>SIGMA400</v>
      </c>
      <c r="G49" s="81" t="s">
        <v>123</v>
      </c>
      <c r="H49" s="123">
        <v>3</v>
      </c>
      <c r="I49" s="96">
        <v>15.08</v>
      </c>
      <c r="J49" s="96">
        <f>S_R_350!J49+(S_R_390!$A$1-S_R_350!$A$1)/(S_R_420!$A$1-S_R_350!$A$1)*(S_R_420!J49-S_R_350!J49)</f>
        <v>15.832857142857142</v>
      </c>
      <c r="K49" s="96">
        <f>S_R_350!K49+(S_R_390!$A$1-S_R_350!$A$1)/(S_R_420!$A$1-S_R_350!$A$1)*(S_R_420!K49-S_R_350!K49)</f>
        <v>3.3971428571428572</v>
      </c>
      <c r="L49" s="96">
        <f>S_R_350!L49+(S_R_390!$A$1-S_R_350!$A$1)/(S_R_420!$A$1-S_R_350!$A$1)*(S_R_420!L49-S_R_350!L49)</f>
        <v>17.66</v>
      </c>
      <c r="M49" s="96">
        <f>S_R_350!M49+(S_R_390!$A$1-S_R_350!$A$1)/(S_R_420!$A$1-S_R_350!$A$1)*(S_R_420!M49-S_R_350!M49)</f>
        <v>3981.5885714285714</v>
      </c>
      <c r="N49" s="96">
        <f>S_R_350!N49+(S_R_390!$A$1-S_R_350!$A$1)/(S_R_420!$A$1-S_R_350!$A$1)*(S_R_420!N49-S_R_350!N49)</f>
        <v>189.32857142857142</v>
      </c>
      <c r="O49" s="96">
        <f>S_R_350!O49+(S_R_390!$A$1-S_R_350!$A$1)/(S_R_420!$A$1-S_R_350!$A$1)*(S_R_420!O49-S_R_350!O49)</f>
        <v>15.01</v>
      </c>
      <c r="P49" s="96">
        <f>S_R_350!P49+(S_R_390!$A$1-S_R_350!$A$1)/(S_R_420!$A$1-S_R_350!$A$1)*(S_R_420!P49-S_R_350!P49)</f>
        <v>18.965714285714284</v>
      </c>
      <c r="Q49" s="96"/>
      <c r="R49" s="96"/>
      <c r="S49" s="96"/>
      <c r="T49" s="96"/>
      <c r="U49" s="96"/>
      <c r="V49" s="96">
        <f>S_R_350!V49+(S_R_390!$A$1-S_R_350!$A$1)/(S_R_420!$A$1-S_R_350!$A$1)*(S_R_420!V49-S_R_350!V49)</f>
        <v>15.907142857142857</v>
      </c>
      <c r="W49" s="96">
        <f>S_R_350!W49+(S_R_390!$A$1-S_R_350!$A$1)/(S_R_420!$A$1-S_R_350!$A$1)*(S_R_420!W49-S_R_350!W49)</f>
        <v>183.75714285714287</v>
      </c>
      <c r="X49" s="96">
        <f>S_R_350!X49+(S_R_390!$A$1-S_R_350!$A$1)/(S_R_420!$A$1-S_R_350!$A$1)*(S_R_420!X49-S_R_350!X49)</f>
        <v>25.695714285714285</v>
      </c>
      <c r="Y49" s="96">
        <f>S_R_350!Y49+(S_R_390!$A$1-S_R_350!$A$1)/(S_R_420!$A$1-S_R_350!$A$1)*(S_R_420!Y49-S_R_350!Y49)</f>
        <v>3.3914285714285715</v>
      </c>
      <c r="Z49" s="97">
        <f>S_R_350!Z49+(S_R_390!$A$1-S_R_350!$A$1)/(S_R_420!$A$1-S_R_350!$A$1)*(S_R_420!Z49-S_R_350!Z49)</f>
        <v>2.8542857142857141</v>
      </c>
      <c r="AB49" s="219">
        <v>15.08</v>
      </c>
      <c r="AC49" s="219">
        <v>15.88</v>
      </c>
      <c r="AD49" s="219">
        <v>3.26</v>
      </c>
      <c r="AE49" s="219">
        <v>17.59</v>
      </c>
      <c r="AF49" s="219">
        <v>3939.64</v>
      </c>
      <c r="AG49" s="219">
        <v>186.58</v>
      </c>
      <c r="AH49" s="219">
        <v>14.97</v>
      </c>
      <c r="AI49" s="219">
        <v>18.89</v>
      </c>
      <c r="AJ49" s="221"/>
      <c r="AK49" s="221"/>
      <c r="AL49" s="221"/>
      <c r="AM49" s="221"/>
      <c r="AN49" s="221"/>
      <c r="AO49" s="219">
        <v>15.9</v>
      </c>
      <c r="AP49" s="219">
        <v>183.75</v>
      </c>
      <c r="AQ49" s="219">
        <v>25.69</v>
      </c>
      <c r="AR49" s="219">
        <v>3.4</v>
      </c>
      <c r="AS49" s="219">
        <v>2.83</v>
      </c>
    </row>
    <row r="50" spans="1:45" ht="15" customHeight="1" thickBot="1" x14ac:dyDescent="0.3">
      <c r="A50" s="72" t="str">
        <f t="shared" si="14"/>
        <v>SIGMA400x3,5</v>
      </c>
      <c r="B50" s="11" t="str">
        <f t="shared" si="15"/>
        <v>400</v>
      </c>
      <c r="C50" s="3">
        <f t="shared" si="16"/>
        <v>100</v>
      </c>
      <c r="D50" s="3">
        <f t="shared" si="17"/>
        <v>100</v>
      </c>
      <c r="E50" s="3">
        <f t="shared" si="18"/>
        <v>26</v>
      </c>
      <c r="F50" s="134" t="str">
        <f t="shared" si="19"/>
        <v>SIGMA400</v>
      </c>
      <c r="G50" s="81" t="s">
        <v>124</v>
      </c>
      <c r="H50" s="123">
        <v>3.5</v>
      </c>
      <c r="I50" s="96">
        <v>17.64</v>
      </c>
      <c r="J50" s="96">
        <f>S_R_350!J50+(S_R_390!$A$1-S_R_350!$A$1)/(S_R_420!$A$1-S_R_350!$A$1)*(S_R_420!J50-S_R_350!J50)</f>
        <v>19.64</v>
      </c>
      <c r="K50" s="96">
        <f>S_R_350!K50+(S_R_390!$A$1-S_R_350!$A$1)/(S_R_420!$A$1-S_R_350!$A$1)*(S_R_420!K50-S_R_350!K50)</f>
        <v>3.3714285714285714</v>
      </c>
      <c r="L50" s="96">
        <f>S_R_350!L50+(S_R_390!$A$1-S_R_350!$A$1)/(S_R_420!$A$1-S_R_350!$A$1)*(S_R_420!L50-S_R_350!L50)</f>
        <v>21.515714285714285</v>
      </c>
      <c r="M50" s="96">
        <f>S_R_350!M50+(S_R_390!$A$1-S_R_350!$A$1)/(S_R_420!$A$1-S_R_350!$A$1)*(S_R_420!M50-S_R_350!M50)</f>
        <v>4796.1328571428567</v>
      </c>
      <c r="N50" s="96">
        <f>S_R_350!N50+(S_R_390!$A$1-S_R_350!$A$1)/(S_R_420!$A$1-S_R_350!$A$1)*(S_R_420!N50-S_R_350!N50)</f>
        <v>233.82714285714286</v>
      </c>
      <c r="O50" s="96">
        <f>S_R_350!O50+(S_R_390!$A$1-S_R_350!$A$1)/(S_R_420!$A$1-S_R_350!$A$1)*(S_R_420!O50-S_R_350!O50)</f>
        <v>14.924285714285714</v>
      </c>
      <c r="P50" s="96">
        <f>S_R_350!P50+(S_R_390!$A$1-S_R_350!$A$1)/(S_R_420!$A$1-S_R_350!$A$1)*(S_R_420!P50-S_R_350!P50)</f>
        <v>19.485714285714288</v>
      </c>
      <c r="Q50" s="96"/>
      <c r="R50" s="96"/>
      <c r="S50" s="96"/>
      <c r="T50" s="96"/>
      <c r="U50" s="96"/>
      <c r="V50" s="96">
        <f>S_R_350!V50+(S_R_390!$A$1-S_R_350!$A$1)/(S_R_420!$A$1-S_R_350!$A$1)*(S_R_420!V50-S_R_350!V50)</f>
        <v>19.64</v>
      </c>
      <c r="W50" s="96">
        <f>S_R_350!W50+(S_R_390!$A$1-S_R_350!$A$1)/(S_R_420!$A$1-S_R_350!$A$1)*(S_R_420!W50-S_R_350!W50)</f>
        <v>224.14571428571429</v>
      </c>
      <c r="X50" s="96">
        <f>S_R_350!X50+(S_R_390!$A$1-S_R_350!$A$1)/(S_R_420!$A$1-S_R_350!$A$1)*(S_R_420!X50-S_R_350!X50)</f>
        <v>31.06</v>
      </c>
      <c r="Y50" s="96">
        <f>S_R_350!Y50+(S_R_390!$A$1-S_R_350!$A$1)/(S_R_420!$A$1-S_R_350!$A$1)*(S_R_420!Y50-S_R_350!Y50)</f>
        <v>3.3714285714285714</v>
      </c>
      <c r="Z50" s="97">
        <f>S_R_350!Z50+(S_R_390!$A$1-S_R_350!$A$1)/(S_R_420!$A$1-S_R_350!$A$1)*(S_R_420!Z50-S_R_350!Z50)</f>
        <v>2.7857142857142856</v>
      </c>
      <c r="AB50" s="219">
        <v>17.64</v>
      </c>
      <c r="AC50" s="219">
        <v>18.309999999999999</v>
      </c>
      <c r="AD50" s="219">
        <v>3.27</v>
      </c>
      <c r="AE50" s="219">
        <v>21.49</v>
      </c>
      <c r="AF50" s="219">
        <v>4770.12</v>
      </c>
      <c r="AG50" s="219">
        <v>232.13</v>
      </c>
      <c r="AH50" s="219">
        <v>14.9</v>
      </c>
      <c r="AI50" s="219">
        <v>19.45</v>
      </c>
      <c r="AJ50" s="221"/>
      <c r="AK50" s="221"/>
      <c r="AL50" s="221"/>
      <c r="AM50" s="221"/>
      <c r="AN50" s="221"/>
      <c r="AO50" s="219">
        <v>19.64</v>
      </c>
      <c r="AP50" s="219">
        <v>224.14</v>
      </c>
      <c r="AQ50" s="219">
        <v>31.16</v>
      </c>
      <c r="AR50" s="219">
        <v>3.38</v>
      </c>
      <c r="AS50" s="219">
        <v>2.75</v>
      </c>
    </row>
    <row r="51" spans="1:45" ht="15" customHeight="1" thickBot="1" x14ac:dyDescent="0.3">
      <c r="A51" s="73" t="str">
        <f t="shared" si="14"/>
        <v>SIGMA400x4,0</v>
      </c>
      <c r="B51" s="12" t="str">
        <f t="shared" si="15"/>
        <v>400</v>
      </c>
      <c r="C51" s="5">
        <f t="shared" si="16"/>
        <v>100</v>
      </c>
      <c r="D51" s="5">
        <f t="shared" si="17"/>
        <v>100</v>
      </c>
      <c r="E51" s="5">
        <f t="shared" si="18"/>
        <v>28</v>
      </c>
      <c r="F51" s="135" t="str">
        <f t="shared" si="19"/>
        <v>SIGMA400</v>
      </c>
      <c r="G51" s="82" t="s">
        <v>125</v>
      </c>
      <c r="H51" s="124">
        <v>4</v>
      </c>
      <c r="I51" s="98">
        <v>20.21</v>
      </c>
      <c r="J51" s="98">
        <f>S_R_350!J51+(S_R_390!$A$1-S_R_350!$A$1)/(S_R_420!$A$1-S_R_350!$A$1)*(S_R_420!J51-S_R_350!J51)</f>
        <v>23.472857142857144</v>
      </c>
      <c r="K51" s="98">
        <f>S_R_350!K51+(S_R_390!$A$1-S_R_350!$A$1)/(S_R_420!$A$1-S_R_350!$A$1)*(S_R_420!K51-S_R_350!K51)</f>
        <v>3.3614285714285717</v>
      </c>
      <c r="L51" s="98">
        <f>S_R_350!L51+(S_R_390!$A$1-S_R_350!$A$1)/(S_R_420!$A$1-S_R_350!$A$1)*(S_R_420!L51-S_R_350!L51)</f>
        <v>25.458571428571428</v>
      </c>
      <c r="M51" s="98">
        <f>S_R_350!M51+(S_R_390!$A$1-S_R_350!$A$1)/(S_R_420!$A$1-S_R_350!$A$1)*(S_R_420!M51-S_R_350!M51)</f>
        <v>5595.5885714285714</v>
      </c>
      <c r="N51" s="98">
        <f>S_R_350!N51+(S_R_390!$A$1-S_R_350!$A$1)/(S_R_420!$A$1-S_R_350!$A$1)*(S_R_420!N51-S_R_350!N51)</f>
        <v>277.93285714285719</v>
      </c>
      <c r="O51" s="98">
        <f>S_R_350!O51+(S_R_390!$A$1-S_R_350!$A$1)/(S_R_420!$A$1-S_R_350!$A$1)*(S_R_420!O51-S_R_350!O51)</f>
        <v>14.818571428571428</v>
      </c>
      <c r="P51" s="98">
        <f>S_R_350!P51+(S_R_390!$A$1-S_R_350!$A$1)/(S_R_420!$A$1-S_R_350!$A$1)*(S_R_420!P51-S_R_350!P51)</f>
        <v>19.868571428571428</v>
      </c>
      <c r="Q51" s="98"/>
      <c r="R51" s="98"/>
      <c r="S51" s="98"/>
      <c r="T51" s="98"/>
      <c r="U51" s="98"/>
      <c r="V51" s="98">
        <f>S_R_350!V51+(S_R_390!$A$1-S_R_350!$A$1)/(S_R_420!$A$1-S_R_350!$A$1)*(S_R_420!V51-S_R_350!V51)</f>
        <v>23.472857142857144</v>
      </c>
      <c r="W51" s="98">
        <f>S_R_350!W51+(S_R_390!$A$1-S_R_350!$A$1)/(S_R_420!$A$1-S_R_350!$A$1)*(S_R_420!W51-S_R_350!W51)</f>
        <v>265.4628571428571</v>
      </c>
      <c r="X51" s="98">
        <f>S_R_350!X51+(S_R_390!$A$1-S_R_350!$A$1)/(S_R_420!$A$1-S_R_350!$A$1)*(S_R_420!X51-S_R_350!X51)</f>
        <v>36.514285714285712</v>
      </c>
      <c r="Y51" s="98">
        <f>S_R_350!Y51+(S_R_390!$A$1-S_R_350!$A$1)/(S_R_420!$A$1-S_R_350!$A$1)*(S_R_420!Y51-S_R_350!Y51)</f>
        <v>3.3614285714285717</v>
      </c>
      <c r="Z51" s="99">
        <f>S_R_350!Z51+(S_R_390!$A$1-S_R_350!$A$1)/(S_R_420!$A$1-S_R_350!$A$1)*(S_R_420!Z51-S_R_350!Z51)</f>
        <v>2.73</v>
      </c>
      <c r="AB51" s="219">
        <v>20.21</v>
      </c>
      <c r="AC51" s="219">
        <v>21.96</v>
      </c>
      <c r="AD51" s="219">
        <v>3.29</v>
      </c>
      <c r="AE51" s="219">
        <v>25.45</v>
      </c>
      <c r="AF51" s="219">
        <v>5591.57</v>
      </c>
      <c r="AG51" s="219">
        <v>277.63</v>
      </c>
      <c r="AH51" s="219">
        <v>14.82</v>
      </c>
      <c r="AI51" s="219">
        <v>19.86</v>
      </c>
      <c r="AJ51" s="221"/>
      <c r="AK51" s="221"/>
      <c r="AL51" s="221"/>
      <c r="AM51" s="221"/>
      <c r="AN51" s="221"/>
      <c r="AO51" s="219">
        <v>23.47</v>
      </c>
      <c r="AP51" s="219">
        <v>265.45999999999998</v>
      </c>
      <c r="AQ51" s="219">
        <v>36.51</v>
      </c>
      <c r="AR51" s="219">
        <v>3.36</v>
      </c>
      <c r="AS51" s="219">
        <v>2.69</v>
      </c>
    </row>
    <row r="52" spans="1:45" ht="15" customHeight="1" x14ac:dyDescent="0.25">
      <c r="F52" s="241"/>
    </row>
    <row r="53" spans="1:45" ht="15" customHeight="1" x14ac:dyDescent="0.25">
      <c r="I53" s="242">
        <f>I15-AB15</f>
        <v>0</v>
      </c>
      <c r="J53" s="242">
        <f t="shared" ref="J53:Z53" si="20">J15-AC15</f>
        <v>4.2857142857142705E-2</v>
      </c>
      <c r="K53" s="242">
        <f t="shared" si="20"/>
        <v>5.7142857142857828E-3</v>
      </c>
      <c r="L53" s="242">
        <f t="shared" si="20"/>
        <v>5.7142857142862269E-3</v>
      </c>
      <c r="M53" s="242">
        <f t="shared" si="20"/>
        <v>1.1785714285714448</v>
      </c>
      <c r="N53" s="242">
        <f t="shared" si="20"/>
        <v>8.571428571432449E-3</v>
      </c>
      <c r="O53" s="242">
        <f t="shared" si="20"/>
        <v>1.5714285714285126E-2</v>
      </c>
      <c r="P53" s="242">
        <f t="shared" si="20"/>
        <v>8.5714285714288962E-3</v>
      </c>
      <c r="Q53" s="242"/>
      <c r="R53" s="242"/>
      <c r="S53" s="242"/>
      <c r="T53" s="242"/>
      <c r="U53" s="242"/>
      <c r="V53" s="242">
        <f t="shared" si="20"/>
        <v>5.7142857142862269E-3</v>
      </c>
      <c r="W53" s="242">
        <f t="shared" si="20"/>
        <v>1.4285714285726669E-3</v>
      </c>
      <c r="X53" s="242">
        <f t="shared" si="20"/>
        <v>7.1428571428571175E-3</v>
      </c>
      <c r="Y53" s="242">
        <f t="shared" si="20"/>
        <v>5.7142857142857828E-3</v>
      </c>
      <c r="Z53" s="242">
        <f t="shared" si="20"/>
        <v>0</v>
      </c>
    </row>
    <row r="54" spans="1:45" ht="15" customHeight="1" x14ac:dyDescent="0.25">
      <c r="I54" s="242">
        <f t="shared" ref="I54:Z54" si="21">I16-AB16</f>
        <v>0</v>
      </c>
      <c r="J54" s="242">
        <f t="shared" si="21"/>
        <v>0</v>
      </c>
      <c r="K54" s="242">
        <f t="shared" si="21"/>
        <v>0</v>
      </c>
      <c r="L54" s="242">
        <f t="shared" si="21"/>
        <v>0</v>
      </c>
      <c r="M54" s="242">
        <f t="shared" si="21"/>
        <v>0</v>
      </c>
      <c r="N54" s="242">
        <f t="shared" si="21"/>
        <v>0</v>
      </c>
      <c r="O54" s="242">
        <f t="shared" si="21"/>
        <v>0</v>
      </c>
      <c r="P54" s="242">
        <f t="shared" si="21"/>
        <v>0</v>
      </c>
      <c r="Q54" s="242"/>
      <c r="R54" s="242"/>
      <c r="S54" s="242"/>
      <c r="T54" s="242"/>
      <c r="U54" s="242"/>
      <c r="V54" s="242">
        <f t="shared" si="21"/>
        <v>0</v>
      </c>
      <c r="W54" s="242">
        <f t="shared" si="21"/>
        <v>0</v>
      </c>
      <c r="X54" s="242">
        <f t="shared" si="21"/>
        <v>2.0000000000000462E-2</v>
      </c>
      <c r="Y54" s="242">
        <f t="shared" si="21"/>
        <v>0</v>
      </c>
      <c r="Z54" s="242">
        <f t="shared" si="21"/>
        <v>0</v>
      </c>
    </row>
    <row r="55" spans="1:45" ht="15" customHeight="1" x14ac:dyDescent="0.25">
      <c r="I55" s="242">
        <f t="shared" ref="I55:Z55" si="22">I17-AB17</f>
        <v>0</v>
      </c>
      <c r="J55" s="242">
        <f t="shared" si="22"/>
        <v>0</v>
      </c>
      <c r="K55" s="242">
        <f t="shared" si="22"/>
        <v>0</v>
      </c>
      <c r="L55" s="242">
        <f t="shared" si="22"/>
        <v>0</v>
      </c>
      <c r="M55" s="242">
        <f t="shared" si="22"/>
        <v>0</v>
      </c>
      <c r="N55" s="242">
        <f t="shared" si="22"/>
        <v>0</v>
      </c>
      <c r="O55" s="242">
        <f t="shared" si="22"/>
        <v>0</v>
      </c>
      <c r="P55" s="242">
        <f t="shared" si="22"/>
        <v>0</v>
      </c>
      <c r="Q55" s="242"/>
      <c r="R55" s="242"/>
      <c r="S55" s="242"/>
      <c r="T55" s="242"/>
      <c r="U55" s="242"/>
      <c r="V55" s="242">
        <f t="shared" si="22"/>
        <v>0</v>
      </c>
      <c r="W55" s="242">
        <f t="shared" si="22"/>
        <v>0</v>
      </c>
      <c r="X55" s="242">
        <f t="shared" si="22"/>
        <v>1.9999999999999574E-2</v>
      </c>
      <c r="Y55" s="242">
        <f t="shared" si="22"/>
        <v>0</v>
      </c>
      <c r="Z55" s="242">
        <f t="shared" si="22"/>
        <v>0</v>
      </c>
    </row>
    <row r="56" spans="1:45" ht="15" customHeight="1" x14ac:dyDescent="0.25">
      <c r="I56" s="242">
        <f t="shared" ref="I56:Z56" si="23">I18-AB18</f>
        <v>0</v>
      </c>
      <c r="J56" s="242">
        <f t="shared" si="23"/>
        <v>0</v>
      </c>
      <c r="K56" s="242">
        <f t="shared" si="23"/>
        <v>0</v>
      </c>
      <c r="L56" s="242">
        <f t="shared" si="23"/>
        <v>0</v>
      </c>
      <c r="M56" s="242">
        <f t="shared" si="23"/>
        <v>0</v>
      </c>
      <c r="N56" s="242">
        <f t="shared" si="23"/>
        <v>0</v>
      </c>
      <c r="O56" s="242">
        <f t="shared" si="23"/>
        <v>0</v>
      </c>
      <c r="P56" s="242">
        <f t="shared" si="23"/>
        <v>0</v>
      </c>
      <c r="Q56" s="242"/>
      <c r="R56" s="242"/>
      <c r="S56" s="242"/>
      <c r="T56" s="242"/>
      <c r="U56" s="242"/>
      <c r="V56" s="242">
        <f t="shared" si="23"/>
        <v>0</v>
      </c>
      <c r="W56" s="242">
        <f t="shared" si="23"/>
        <v>0</v>
      </c>
      <c r="X56" s="242">
        <f t="shared" si="23"/>
        <v>1.9999999999999574E-2</v>
      </c>
      <c r="Y56" s="242">
        <f t="shared" si="23"/>
        <v>0</v>
      </c>
      <c r="Z56" s="242">
        <f t="shared" si="23"/>
        <v>0</v>
      </c>
    </row>
    <row r="57" spans="1:45" ht="15" customHeight="1" x14ac:dyDescent="0.25">
      <c r="I57" s="242">
        <f t="shared" ref="I57:Z57" si="24">I19-AB19</f>
        <v>0</v>
      </c>
      <c r="J57" s="242">
        <f t="shared" si="24"/>
        <v>3.8571428571428257E-2</v>
      </c>
      <c r="K57" s="242">
        <f t="shared" si="24"/>
        <v>5.7142857142857828E-3</v>
      </c>
      <c r="L57" s="242">
        <f t="shared" si="24"/>
        <v>1.4285714285717788E-3</v>
      </c>
      <c r="M57" s="242">
        <f t="shared" si="24"/>
        <v>2.8571428571524393E-3</v>
      </c>
      <c r="N57" s="242">
        <f t="shared" si="24"/>
        <v>2.857142857142847E-2</v>
      </c>
      <c r="O57" s="242">
        <f t="shared" si="24"/>
        <v>-9.9999999999997868E-3</v>
      </c>
      <c r="P57" s="242">
        <f t="shared" si="24"/>
        <v>7.1428571428562293E-3</v>
      </c>
      <c r="Q57" s="242"/>
      <c r="R57" s="242"/>
      <c r="S57" s="242"/>
      <c r="T57" s="242"/>
      <c r="U57" s="242"/>
      <c r="V57" s="242">
        <f t="shared" si="24"/>
        <v>1.4285714285717788E-3</v>
      </c>
      <c r="W57" s="242">
        <f t="shared" si="24"/>
        <v>7.1428571428580057E-3</v>
      </c>
      <c r="X57" s="242">
        <f t="shared" si="24"/>
        <v>5.7142857142853387E-3</v>
      </c>
      <c r="Y57" s="242">
        <f t="shared" si="24"/>
        <v>-4.2857142857142261E-3</v>
      </c>
      <c r="Z57" s="242">
        <f t="shared" si="24"/>
        <v>2.1428571428571352E-2</v>
      </c>
    </row>
    <row r="58" spans="1:45" ht="15" customHeight="1" x14ac:dyDescent="0.25">
      <c r="I58" s="242">
        <f t="shared" ref="I58:Z58" si="25">I20-AB20</f>
        <v>0</v>
      </c>
      <c r="J58" s="242">
        <f t="shared" si="25"/>
        <v>0</v>
      </c>
      <c r="K58" s="242">
        <f t="shared" si="25"/>
        <v>0</v>
      </c>
      <c r="L58" s="242">
        <f t="shared" si="25"/>
        <v>0</v>
      </c>
      <c r="M58" s="242">
        <f t="shared" si="25"/>
        <v>0</v>
      </c>
      <c r="N58" s="242">
        <f t="shared" si="25"/>
        <v>0</v>
      </c>
      <c r="O58" s="242">
        <f t="shared" si="25"/>
        <v>0</v>
      </c>
      <c r="P58" s="242">
        <f t="shared" si="25"/>
        <v>0</v>
      </c>
      <c r="Q58" s="242"/>
      <c r="R58" s="242"/>
      <c r="S58" s="242"/>
      <c r="T58" s="242"/>
      <c r="U58" s="242"/>
      <c r="V58" s="242">
        <f t="shared" si="25"/>
        <v>0</v>
      </c>
      <c r="W58" s="242">
        <f t="shared" si="25"/>
        <v>0</v>
      </c>
      <c r="X58" s="242">
        <f t="shared" si="25"/>
        <v>9.9999999999997868E-3</v>
      </c>
      <c r="Y58" s="242">
        <f t="shared" si="25"/>
        <v>0</v>
      </c>
      <c r="Z58" s="242">
        <f t="shared" si="25"/>
        <v>0</v>
      </c>
    </row>
    <row r="59" spans="1:45" ht="15" customHeight="1" x14ac:dyDescent="0.25">
      <c r="I59" s="242">
        <f t="shared" ref="I59:Z59" si="26">I21-AB21</f>
        <v>0</v>
      </c>
      <c r="J59" s="242">
        <f t="shared" si="26"/>
        <v>0</v>
      </c>
      <c r="K59" s="242">
        <f t="shared" si="26"/>
        <v>0</v>
      </c>
      <c r="L59" s="242">
        <f t="shared" si="26"/>
        <v>0</v>
      </c>
      <c r="M59" s="242">
        <f t="shared" si="26"/>
        <v>0</v>
      </c>
      <c r="N59" s="242">
        <f t="shared" si="26"/>
        <v>0</v>
      </c>
      <c r="O59" s="242">
        <f t="shared" si="26"/>
        <v>0</v>
      </c>
      <c r="P59" s="242">
        <f t="shared" si="26"/>
        <v>0</v>
      </c>
      <c r="Q59" s="242"/>
      <c r="R59" s="242"/>
      <c r="S59" s="242"/>
      <c r="T59" s="242"/>
      <c r="U59" s="242"/>
      <c r="V59" s="242">
        <f t="shared" si="26"/>
        <v>0</v>
      </c>
      <c r="W59" s="242">
        <f t="shared" si="26"/>
        <v>0</v>
      </c>
      <c r="X59" s="242">
        <f t="shared" si="26"/>
        <v>0</v>
      </c>
      <c r="Y59" s="242">
        <f t="shared" si="26"/>
        <v>0</v>
      </c>
      <c r="Z59" s="242">
        <f t="shared" si="26"/>
        <v>0</v>
      </c>
    </row>
    <row r="60" spans="1:45" ht="15" customHeight="1" x14ac:dyDescent="0.25">
      <c r="I60" s="242">
        <f t="shared" ref="I60:Z60" si="27">I22-AB22</f>
        <v>0</v>
      </c>
      <c r="J60" s="242">
        <f t="shared" si="27"/>
        <v>0</v>
      </c>
      <c r="K60" s="242">
        <f t="shared" si="27"/>
        <v>0</v>
      </c>
      <c r="L60" s="242">
        <f t="shared" si="27"/>
        <v>0</v>
      </c>
      <c r="M60" s="242">
        <f t="shared" si="27"/>
        <v>0</v>
      </c>
      <c r="N60" s="242">
        <f t="shared" si="27"/>
        <v>0</v>
      </c>
      <c r="O60" s="242">
        <f t="shared" si="27"/>
        <v>0</v>
      </c>
      <c r="P60" s="242">
        <f t="shared" si="27"/>
        <v>0</v>
      </c>
      <c r="Q60" s="242"/>
      <c r="R60" s="242"/>
      <c r="S60" s="242"/>
      <c r="T60" s="242"/>
      <c r="U60" s="242"/>
      <c r="V60" s="242">
        <f t="shared" si="27"/>
        <v>0</v>
      </c>
      <c r="W60" s="242">
        <f t="shared" si="27"/>
        <v>0</v>
      </c>
      <c r="X60" s="242">
        <f t="shared" si="27"/>
        <v>0</v>
      </c>
      <c r="Y60" s="242">
        <f t="shared" si="27"/>
        <v>0</v>
      </c>
      <c r="Z60" s="242">
        <f t="shared" si="27"/>
        <v>0</v>
      </c>
    </row>
    <row r="61" spans="1:45" ht="15" customHeight="1" x14ac:dyDescent="0.25">
      <c r="I61" s="242">
        <f t="shared" ref="I61:Z61" si="28">I25-AB25</f>
        <v>0</v>
      </c>
      <c r="J61" s="242">
        <f t="shared" si="28"/>
        <v>5.2857142857142492E-2</v>
      </c>
      <c r="K61" s="242">
        <f t="shared" si="28"/>
        <v>-1.8571428571428683E-2</v>
      </c>
      <c r="L61" s="242">
        <f t="shared" si="28"/>
        <v>5.7142857142862269E-3</v>
      </c>
      <c r="M61" s="242">
        <f t="shared" si="28"/>
        <v>0.4457142857143026</v>
      </c>
      <c r="N61" s="242">
        <f t="shared" si="28"/>
        <v>9.8571428571432307E-2</v>
      </c>
      <c r="O61" s="242">
        <f t="shared" si="28"/>
        <v>-5.7142857142853387E-3</v>
      </c>
      <c r="P61" s="242">
        <f t="shared" si="28"/>
        <v>2.5714285714284912E-2</v>
      </c>
      <c r="Q61" s="242"/>
      <c r="R61" s="242"/>
      <c r="S61" s="242"/>
      <c r="T61" s="242"/>
      <c r="U61" s="242"/>
      <c r="V61" s="242">
        <f t="shared" si="28"/>
        <v>0</v>
      </c>
      <c r="W61" s="242">
        <f t="shared" si="28"/>
        <v>4.2857142857108954E-3</v>
      </c>
      <c r="X61" s="242">
        <f t="shared" si="28"/>
        <v>0</v>
      </c>
      <c r="Y61" s="242">
        <f t="shared" si="28"/>
        <v>1.0000000000000009E-2</v>
      </c>
      <c r="Z61" s="242">
        <f t="shared" si="28"/>
        <v>1.7142857142857126E-2</v>
      </c>
    </row>
    <row r="62" spans="1:45" ht="15" customHeight="1" x14ac:dyDescent="0.25">
      <c r="I62" s="242">
        <f t="shared" ref="I62:Z62" si="29">I26-AB26</f>
        <v>0</v>
      </c>
      <c r="J62" s="242">
        <f t="shared" si="29"/>
        <v>4.1428571428571814E-2</v>
      </c>
      <c r="K62" s="242">
        <f t="shared" si="29"/>
        <v>-2.4285714285714244E-2</v>
      </c>
      <c r="L62" s="242">
        <f t="shared" si="29"/>
        <v>1.4285714285717788E-3</v>
      </c>
      <c r="M62" s="242">
        <f t="shared" si="29"/>
        <v>-1.2828571428570967</v>
      </c>
      <c r="N62" s="242">
        <f t="shared" si="29"/>
        <v>5.7142857142906678E-3</v>
      </c>
      <c r="O62" s="242">
        <f t="shared" si="29"/>
        <v>-8.5714285714288962E-3</v>
      </c>
      <c r="P62" s="242">
        <f t="shared" si="29"/>
        <v>-7.1428571428562293E-3</v>
      </c>
      <c r="Q62" s="242"/>
      <c r="R62" s="242"/>
      <c r="S62" s="242"/>
      <c r="T62" s="242"/>
      <c r="U62" s="242"/>
      <c r="V62" s="242">
        <f t="shared" si="29"/>
        <v>0.34142857142857164</v>
      </c>
      <c r="W62" s="242">
        <f t="shared" si="29"/>
        <v>5.7142857142835624E-3</v>
      </c>
      <c r="X62" s="242">
        <f t="shared" si="29"/>
        <v>7.1428571428571175E-3</v>
      </c>
      <c r="Y62" s="242">
        <f t="shared" si="29"/>
        <v>-2.4285714285714244E-2</v>
      </c>
      <c r="Z62" s="242">
        <f t="shared" si="29"/>
        <v>-7.2857142857142954E-2</v>
      </c>
    </row>
    <row r="63" spans="1:45" ht="15" customHeight="1" x14ac:dyDescent="0.25">
      <c r="I63" s="242">
        <f t="shared" ref="I63:Z63" si="30">I27-AB27</f>
        <v>0</v>
      </c>
      <c r="J63" s="242">
        <f t="shared" si="30"/>
        <v>0</v>
      </c>
      <c r="K63" s="242">
        <f t="shared" si="30"/>
        <v>0</v>
      </c>
      <c r="L63" s="242">
        <f t="shared" si="30"/>
        <v>0</v>
      </c>
      <c r="M63" s="242">
        <f t="shared" si="30"/>
        <v>0</v>
      </c>
      <c r="N63" s="242">
        <f t="shared" si="30"/>
        <v>0</v>
      </c>
      <c r="O63" s="242">
        <f t="shared" si="30"/>
        <v>0</v>
      </c>
      <c r="P63" s="242">
        <f t="shared" si="30"/>
        <v>0</v>
      </c>
      <c r="Q63" s="242"/>
      <c r="R63" s="242"/>
      <c r="S63" s="242"/>
      <c r="T63" s="242"/>
      <c r="U63" s="242"/>
      <c r="V63" s="242">
        <f t="shared" si="30"/>
        <v>0</v>
      </c>
      <c r="W63" s="242">
        <f t="shared" si="30"/>
        <v>0</v>
      </c>
      <c r="X63" s="242">
        <f t="shared" si="30"/>
        <v>0</v>
      </c>
      <c r="Y63" s="242">
        <f t="shared" si="30"/>
        <v>0</v>
      </c>
      <c r="Z63" s="242">
        <f t="shared" si="30"/>
        <v>0</v>
      </c>
    </row>
    <row r="64" spans="1:45" ht="15" customHeight="1" x14ac:dyDescent="0.25">
      <c r="I64" s="242">
        <f t="shared" ref="I64:Z64" si="31">I28-AB28</f>
        <v>0</v>
      </c>
      <c r="J64" s="242">
        <f t="shared" si="31"/>
        <v>0</v>
      </c>
      <c r="K64" s="242">
        <f t="shared" si="31"/>
        <v>0</v>
      </c>
      <c r="L64" s="242">
        <f t="shared" si="31"/>
        <v>0</v>
      </c>
      <c r="M64" s="242">
        <f t="shared" si="31"/>
        <v>0</v>
      </c>
      <c r="N64" s="242">
        <f t="shared" si="31"/>
        <v>0</v>
      </c>
      <c r="O64" s="242">
        <f t="shared" si="31"/>
        <v>0</v>
      </c>
      <c r="P64" s="242">
        <f t="shared" si="31"/>
        <v>0</v>
      </c>
      <c r="Q64" s="242"/>
      <c r="R64" s="242"/>
      <c r="S64" s="242"/>
      <c r="T64" s="242"/>
      <c r="U64" s="242"/>
      <c r="V64" s="242">
        <f t="shared" si="31"/>
        <v>0</v>
      </c>
      <c r="W64" s="242">
        <f t="shared" si="31"/>
        <v>0</v>
      </c>
      <c r="X64" s="242">
        <f t="shared" si="31"/>
        <v>2.9999999999999361E-2</v>
      </c>
      <c r="Y64" s="242">
        <f t="shared" si="31"/>
        <v>0</v>
      </c>
      <c r="Z64" s="242">
        <f t="shared" si="31"/>
        <v>0</v>
      </c>
    </row>
    <row r="65" spans="9:26" ht="15" customHeight="1" x14ac:dyDescent="0.25">
      <c r="I65" s="242">
        <f t="shared" ref="I65:Z65" si="32">I29-AB29</f>
        <v>0</v>
      </c>
      <c r="J65" s="242">
        <f t="shared" si="32"/>
        <v>5.7142857142857828E-2</v>
      </c>
      <c r="K65" s="242">
        <f t="shared" si="32"/>
        <v>-2.4285714285714244E-2</v>
      </c>
      <c r="L65" s="242">
        <f t="shared" si="32"/>
        <v>5.7142857142862269E-3</v>
      </c>
      <c r="M65" s="242">
        <f t="shared" si="32"/>
        <v>1.2228571428570945</v>
      </c>
      <c r="N65" s="242">
        <f t="shared" si="32"/>
        <v>0.17857142857142705</v>
      </c>
      <c r="O65" s="242">
        <f t="shared" si="32"/>
        <v>4.2857142857144481E-3</v>
      </c>
      <c r="P65" s="242">
        <f t="shared" si="32"/>
        <v>3.4285714285713809E-2</v>
      </c>
      <c r="Q65" s="242"/>
      <c r="R65" s="242"/>
      <c r="S65" s="242"/>
      <c r="T65" s="242"/>
      <c r="U65" s="242"/>
      <c r="V65" s="242">
        <f t="shared" si="32"/>
        <v>0</v>
      </c>
      <c r="W65" s="242">
        <f t="shared" si="32"/>
        <v>7.1428571428562293E-3</v>
      </c>
      <c r="X65" s="242">
        <f t="shared" si="32"/>
        <v>0</v>
      </c>
      <c r="Y65" s="242">
        <f t="shared" si="32"/>
        <v>-1.0000000000000009E-2</v>
      </c>
      <c r="Z65" s="242">
        <f t="shared" si="32"/>
        <v>1.7142857142857126E-2</v>
      </c>
    </row>
    <row r="66" spans="9:26" ht="15" customHeight="1" x14ac:dyDescent="0.25">
      <c r="I66" s="242">
        <f t="shared" ref="I66:Z66" si="33">I30-AB30</f>
        <v>0</v>
      </c>
      <c r="J66" s="242">
        <f t="shared" si="33"/>
        <v>5.428571428571427E-2</v>
      </c>
      <c r="K66" s="242">
        <f t="shared" si="33"/>
        <v>-2.0000000000000018E-2</v>
      </c>
      <c r="L66" s="242">
        <f t="shared" si="33"/>
        <v>4.2857142857135599E-3</v>
      </c>
      <c r="M66" s="242">
        <f t="shared" si="33"/>
        <v>0.45142857142855064</v>
      </c>
      <c r="N66" s="242">
        <f t="shared" si="33"/>
        <v>9.5714285714286973E-2</v>
      </c>
      <c r="O66" s="242">
        <f t="shared" si="33"/>
        <v>-7.1428571428580057E-3</v>
      </c>
      <c r="P66" s="242">
        <f t="shared" si="33"/>
        <v>2.000000000000135E-2</v>
      </c>
      <c r="Q66" s="242"/>
      <c r="R66" s="242"/>
      <c r="S66" s="242"/>
      <c r="T66" s="242"/>
      <c r="U66" s="242"/>
      <c r="V66" s="242">
        <f t="shared" si="33"/>
        <v>4.2857142857144481E-3</v>
      </c>
      <c r="W66" s="242">
        <f t="shared" si="33"/>
        <v>7.1428571428562293E-3</v>
      </c>
      <c r="X66" s="242">
        <f t="shared" si="33"/>
        <v>1.4285714285708906E-3</v>
      </c>
      <c r="Y66" s="242">
        <f t="shared" si="33"/>
        <v>-1.0000000000000009E-2</v>
      </c>
      <c r="Z66" s="242">
        <f t="shared" si="33"/>
        <v>3.2857142857142918E-2</v>
      </c>
    </row>
    <row r="67" spans="9:26" ht="15" customHeight="1" x14ac:dyDescent="0.25">
      <c r="I67" s="242">
        <f t="shared" ref="I67:Z67" si="34">I31-AB31</f>
        <v>0</v>
      </c>
      <c r="J67" s="242">
        <f t="shared" si="34"/>
        <v>0</v>
      </c>
      <c r="K67" s="242">
        <f t="shared" si="34"/>
        <v>0</v>
      </c>
      <c r="L67" s="242">
        <f t="shared" si="34"/>
        <v>0</v>
      </c>
      <c r="M67" s="242">
        <f t="shared" si="34"/>
        <v>0</v>
      </c>
      <c r="N67" s="242">
        <f t="shared" si="34"/>
        <v>0</v>
      </c>
      <c r="O67" s="242">
        <f t="shared" si="34"/>
        <v>0</v>
      </c>
      <c r="P67" s="242">
        <f t="shared" si="34"/>
        <v>0</v>
      </c>
      <c r="Q67" s="242"/>
      <c r="R67" s="242"/>
      <c r="S67" s="242"/>
      <c r="T67" s="242"/>
      <c r="U67" s="242"/>
      <c r="V67" s="242">
        <f t="shared" si="34"/>
        <v>0</v>
      </c>
      <c r="W67" s="242">
        <f t="shared" si="34"/>
        <v>8.5714285714288962E-3</v>
      </c>
      <c r="X67" s="242">
        <f t="shared" si="34"/>
        <v>8.5714285714288962E-3</v>
      </c>
      <c r="Y67" s="242">
        <f t="shared" si="34"/>
        <v>0</v>
      </c>
      <c r="Z67" s="242">
        <f t="shared" si="34"/>
        <v>5.7142857142857828E-3</v>
      </c>
    </row>
    <row r="68" spans="9:26" ht="15" customHeight="1" x14ac:dyDescent="0.25">
      <c r="I68" s="242">
        <f t="shared" ref="I68:Z68" si="35">I32-AB32</f>
        <v>0</v>
      </c>
      <c r="J68" s="242">
        <f t="shared" si="35"/>
        <v>0</v>
      </c>
      <c r="K68" s="242">
        <f t="shared" si="35"/>
        <v>0</v>
      </c>
      <c r="L68" s="242">
        <f t="shared" si="35"/>
        <v>0</v>
      </c>
      <c r="M68" s="242">
        <f t="shared" si="35"/>
        <v>0</v>
      </c>
      <c r="N68" s="242">
        <f t="shared" si="35"/>
        <v>0</v>
      </c>
      <c r="O68" s="242">
        <f t="shared" si="35"/>
        <v>0</v>
      </c>
      <c r="P68" s="242">
        <f t="shared" si="35"/>
        <v>0</v>
      </c>
      <c r="Q68" s="242"/>
      <c r="R68" s="242"/>
      <c r="S68" s="242"/>
      <c r="T68" s="242"/>
      <c r="U68" s="242"/>
      <c r="V68" s="242">
        <f t="shared" si="35"/>
        <v>0</v>
      </c>
      <c r="W68" s="242">
        <f t="shared" si="35"/>
        <v>0</v>
      </c>
      <c r="X68" s="242">
        <f t="shared" si="35"/>
        <v>2.000000000000135E-2</v>
      </c>
      <c r="Y68" s="242">
        <f t="shared" si="35"/>
        <v>0</v>
      </c>
      <c r="Z68" s="242">
        <f t="shared" si="35"/>
        <v>0</v>
      </c>
    </row>
    <row r="69" spans="9:26" ht="15" customHeight="1" x14ac:dyDescent="0.25">
      <c r="I69" s="242">
        <f t="shared" ref="I69:Z69" si="36">I35-AB35</f>
        <v>0</v>
      </c>
      <c r="J69" s="242">
        <f t="shared" si="36"/>
        <v>0.15142857142857125</v>
      </c>
      <c r="K69" s="242">
        <f t="shared" si="36"/>
        <v>2.1428571428571352E-2</v>
      </c>
      <c r="L69" s="242">
        <f t="shared" si="36"/>
        <v>5.7142857142853387E-3</v>
      </c>
      <c r="M69" s="242">
        <f t="shared" si="36"/>
        <v>2.1185714285713857</v>
      </c>
      <c r="N69" s="242">
        <f t="shared" si="36"/>
        <v>0.25714285714285268</v>
      </c>
      <c r="O69" s="242">
        <f t="shared" si="36"/>
        <v>5.7142857142871151E-3</v>
      </c>
      <c r="P69" s="242">
        <f t="shared" si="36"/>
        <v>2.4285714285714022E-2</v>
      </c>
      <c r="Q69" s="242"/>
      <c r="R69" s="242"/>
      <c r="S69" s="242"/>
      <c r="T69" s="242"/>
      <c r="U69" s="242"/>
      <c r="V69" s="242">
        <f t="shared" si="36"/>
        <v>4.2857142857144481E-3</v>
      </c>
      <c r="W69" s="242">
        <f t="shared" si="36"/>
        <v>8.5714285714217908E-3</v>
      </c>
      <c r="X69" s="242">
        <f t="shared" si="36"/>
        <v>8.5714285714288962E-3</v>
      </c>
      <c r="Y69" s="242">
        <f t="shared" si="36"/>
        <v>-1.4285714285714235E-2</v>
      </c>
      <c r="Z69" s="242">
        <f t="shared" si="36"/>
        <v>3.2857142857142474E-2</v>
      </c>
    </row>
    <row r="70" spans="9:26" ht="15" customHeight="1" x14ac:dyDescent="0.25">
      <c r="I70" s="242">
        <f t="shared" ref="I70:Z70" si="37">I36-AB36</f>
        <v>0</v>
      </c>
      <c r="J70" s="242">
        <f t="shared" si="37"/>
        <v>7.4285714285714732E-2</v>
      </c>
      <c r="K70" s="242">
        <f t="shared" si="37"/>
        <v>-2.0000000000000018E-2</v>
      </c>
      <c r="L70" s="242">
        <f t="shared" si="37"/>
        <v>1.4285714285726669E-3</v>
      </c>
      <c r="M70" s="242">
        <f t="shared" si="37"/>
        <v>4.285714285629183E-3</v>
      </c>
      <c r="N70" s="242">
        <f t="shared" si="37"/>
        <v>2.8571428571382285E-3</v>
      </c>
      <c r="O70" s="242">
        <f t="shared" si="37"/>
        <v>-1.2857142857143344E-2</v>
      </c>
      <c r="P70" s="242">
        <f t="shared" si="37"/>
        <v>-4.2857142857144481E-3</v>
      </c>
      <c r="Q70" s="242"/>
      <c r="R70" s="242"/>
      <c r="S70" s="242"/>
      <c r="T70" s="242"/>
      <c r="U70" s="242"/>
      <c r="V70" s="242">
        <f t="shared" si="37"/>
        <v>4.2857142857144481E-3</v>
      </c>
      <c r="W70" s="242">
        <f t="shared" si="37"/>
        <v>7.1428571428526766E-3</v>
      </c>
      <c r="X70" s="242">
        <f t="shared" si="37"/>
        <v>0</v>
      </c>
      <c r="Y70" s="242">
        <f t="shared" si="37"/>
        <v>-1.0000000000000231E-2</v>
      </c>
      <c r="Z70" s="242">
        <f t="shared" si="37"/>
        <v>3.8571428571428701E-2</v>
      </c>
    </row>
    <row r="71" spans="9:26" ht="15" customHeight="1" x14ac:dyDescent="0.25">
      <c r="I71" s="242">
        <f t="shared" ref="I71:Z71" si="38">I37-AB37</f>
        <v>0</v>
      </c>
      <c r="J71" s="242">
        <f t="shared" si="38"/>
        <v>2.8571428571435575E-3</v>
      </c>
      <c r="K71" s="242">
        <f t="shared" si="38"/>
        <v>0</v>
      </c>
      <c r="L71" s="242">
        <f t="shared" si="38"/>
        <v>0</v>
      </c>
      <c r="M71" s="242">
        <f t="shared" si="38"/>
        <v>0</v>
      </c>
      <c r="N71" s="242">
        <f t="shared" si="38"/>
        <v>0</v>
      </c>
      <c r="O71" s="242">
        <f t="shared" si="38"/>
        <v>0</v>
      </c>
      <c r="P71" s="242">
        <f t="shared" si="38"/>
        <v>0</v>
      </c>
      <c r="Q71" s="242"/>
      <c r="R71" s="242"/>
      <c r="S71" s="242"/>
      <c r="T71" s="242"/>
      <c r="U71" s="242"/>
      <c r="V71" s="242">
        <f t="shared" si="38"/>
        <v>2.8571428571435575E-3</v>
      </c>
      <c r="W71" s="242">
        <f t="shared" si="38"/>
        <v>7.1428571428526766E-3</v>
      </c>
      <c r="X71" s="242">
        <f t="shared" si="38"/>
        <v>2.8571428571435575E-3</v>
      </c>
      <c r="Y71" s="242">
        <f t="shared" si="38"/>
        <v>0</v>
      </c>
      <c r="Z71" s="242">
        <f t="shared" si="38"/>
        <v>5.7142857142857828E-3</v>
      </c>
    </row>
    <row r="72" spans="9:26" ht="15" customHeight="1" x14ac:dyDescent="0.25">
      <c r="I72" s="242">
        <f t="shared" ref="I72:Z72" si="39">I38-AB38</f>
        <v>0</v>
      </c>
      <c r="J72" s="242">
        <f t="shared" si="39"/>
        <v>0</v>
      </c>
      <c r="K72" s="242">
        <f t="shared" si="39"/>
        <v>0</v>
      </c>
      <c r="L72" s="242">
        <f t="shared" si="39"/>
        <v>0</v>
      </c>
      <c r="M72" s="242">
        <f t="shared" si="39"/>
        <v>0</v>
      </c>
      <c r="N72" s="242">
        <f t="shared" si="39"/>
        <v>0</v>
      </c>
      <c r="O72" s="242">
        <f t="shared" si="39"/>
        <v>0</v>
      </c>
      <c r="P72" s="242">
        <f t="shared" si="39"/>
        <v>0</v>
      </c>
      <c r="Q72" s="242"/>
      <c r="R72" s="242"/>
      <c r="S72" s="242"/>
      <c r="T72" s="242"/>
      <c r="U72" s="242"/>
      <c r="V72" s="242">
        <f t="shared" si="39"/>
        <v>0</v>
      </c>
      <c r="W72" s="242">
        <f t="shared" si="39"/>
        <v>0</v>
      </c>
      <c r="X72" s="242">
        <f t="shared" si="39"/>
        <v>9.9999999999997868E-3</v>
      </c>
      <c r="Y72" s="242">
        <f t="shared" si="39"/>
        <v>0</v>
      </c>
      <c r="Z72" s="242">
        <f t="shared" si="39"/>
        <v>0</v>
      </c>
    </row>
    <row r="73" spans="9:26" ht="15" customHeight="1" x14ac:dyDescent="0.25">
      <c r="I73" s="242">
        <f t="shared" ref="I73:Z73" si="40">I39-AB39</f>
        <v>0</v>
      </c>
      <c r="J73" s="242">
        <f t="shared" si="40"/>
        <v>0.1028571428571432</v>
      </c>
      <c r="K73" s="242">
        <f t="shared" si="40"/>
        <v>7.1428571428571175E-3</v>
      </c>
      <c r="L73" s="242">
        <f t="shared" si="40"/>
        <v>6.1428571428571388E-2</v>
      </c>
      <c r="M73" s="242">
        <f t="shared" si="40"/>
        <v>64.058571428571213</v>
      </c>
      <c r="N73" s="242">
        <f t="shared" si="40"/>
        <v>0.86857142857142833</v>
      </c>
      <c r="O73" s="242">
        <f t="shared" si="40"/>
        <v>2.2857142857143131E-2</v>
      </c>
      <c r="P73" s="242">
        <f t="shared" si="40"/>
        <v>6.5714285714285836E-2</v>
      </c>
      <c r="Q73" s="242"/>
      <c r="R73" s="242"/>
      <c r="S73" s="242"/>
      <c r="T73" s="242"/>
      <c r="U73" s="242"/>
      <c r="V73" s="242">
        <f t="shared" si="40"/>
        <v>8.5714285714288962E-3</v>
      </c>
      <c r="W73" s="242">
        <f t="shared" si="40"/>
        <v>4.2857142857144481E-3</v>
      </c>
      <c r="X73" s="242">
        <f t="shared" si="40"/>
        <v>5.7142857142853387E-3</v>
      </c>
      <c r="Y73" s="242">
        <f t="shared" si="40"/>
        <v>3.1428571428571583E-2</v>
      </c>
      <c r="Z73" s="242">
        <f t="shared" si="40"/>
        <v>-3.1428571428571139E-2</v>
      </c>
    </row>
    <row r="74" spans="9:26" ht="15" customHeight="1" x14ac:dyDescent="0.25">
      <c r="I74" s="242">
        <f t="shared" ref="I74:Z74" si="41">I40-AB40</f>
        <v>0</v>
      </c>
      <c r="J74" s="242">
        <f t="shared" si="41"/>
        <v>0.11428571428571388</v>
      </c>
      <c r="K74" s="242">
        <f t="shared" si="41"/>
        <v>-2.2857142857143131E-2</v>
      </c>
      <c r="L74" s="242">
        <f t="shared" si="41"/>
        <v>3.4285714285715585E-2</v>
      </c>
      <c r="M74" s="242">
        <f t="shared" si="41"/>
        <v>10.368571428571386</v>
      </c>
      <c r="N74" s="242">
        <f t="shared" si="41"/>
        <v>0.99428571428570933</v>
      </c>
      <c r="O74" s="242">
        <f t="shared" si="41"/>
        <v>1.9999999999999574E-2</v>
      </c>
      <c r="P74" s="242">
        <f t="shared" si="41"/>
        <v>5.1428571428571601E-2</v>
      </c>
      <c r="Q74" s="242"/>
      <c r="R74" s="242"/>
      <c r="S74" s="242"/>
      <c r="T74" s="242"/>
      <c r="U74" s="242"/>
      <c r="V74" s="242">
        <f t="shared" si="41"/>
        <v>1.4285714285708906E-3</v>
      </c>
      <c r="W74" s="242">
        <f t="shared" si="41"/>
        <v>0.11857142857144254</v>
      </c>
      <c r="X74" s="242">
        <f t="shared" si="41"/>
        <v>-1.4285714285691142E-3</v>
      </c>
      <c r="Y74" s="242">
        <f t="shared" si="41"/>
        <v>1.4285714285713347E-3</v>
      </c>
      <c r="Z74" s="242">
        <f t="shared" si="41"/>
        <v>8.5714285714284522E-3</v>
      </c>
    </row>
    <row r="75" spans="9:26" ht="15" customHeight="1" x14ac:dyDescent="0.25">
      <c r="I75" s="242">
        <f t="shared" ref="I75:Z75" si="42">I41-AB41</f>
        <v>0</v>
      </c>
      <c r="J75" s="242">
        <f t="shared" si="42"/>
        <v>7.8571428571427404E-2</v>
      </c>
      <c r="K75" s="242">
        <f t="shared" si="42"/>
        <v>-2.4285714285714466E-2</v>
      </c>
      <c r="L75" s="242">
        <f t="shared" si="42"/>
        <v>4.2857142857144481E-3</v>
      </c>
      <c r="M75" s="242">
        <f t="shared" si="42"/>
        <v>8.5714285714857397E-3</v>
      </c>
      <c r="N75" s="242">
        <f t="shared" si="42"/>
        <v>7.1428571428668874E-3</v>
      </c>
      <c r="O75" s="242">
        <f t="shared" si="42"/>
        <v>-7.1428571428562293E-3</v>
      </c>
      <c r="P75" s="242">
        <f t="shared" si="42"/>
        <v>-7.1428571428580057E-3</v>
      </c>
      <c r="Q75" s="242"/>
      <c r="R75" s="242"/>
      <c r="S75" s="242"/>
      <c r="T75" s="242"/>
      <c r="U75" s="242"/>
      <c r="V75" s="242">
        <f t="shared" si="42"/>
        <v>4.2857142857144481E-3</v>
      </c>
      <c r="W75" s="242">
        <f t="shared" si="42"/>
        <v>0</v>
      </c>
      <c r="X75" s="242">
        <f t="shared" si="42"/>
        <v>4.2857142857144481E-3</v>
      </c>
      <c r="Y75" s="242">
        <f t="shared" si="42"/>
        <v>-4.2857142857144481E-3</v>
      </c>
      <c r="Z75" s="242">
        <f t="shared" si="42"/>
        <v>4.4285714285714484E-2</v>
      </c>
    </row>
    <row r="76" spans="9:26" ht="15" customHeight="1" x14ac:dyDescent="0.25">
      <c r="I76" s="242">
        <f t="shared" ref="I76:Z76" si="43">I42-AB42</f>
        <v>0</v>
      </c>
      <c r="J76" s="242">
        <f t="shared" si="43"/>
        <v>7.2857142857142065E-2</v>
      </c>
      <c r="K76" s="242">
        <f t="shared" si="43"/>
        <v>-2.4285714285714022E-2</v>
      </c>
      <c r="L76" s="242">
        <f t="shared" si="43"/>
        <v>0</v>
      </c>
      <c r="M76" s="242">
        <f t="shared" si="43"/>
        <v>0</v>
      </c>
      <c r="N76" s="242">
        <f t="shared" si="43"/>
        <v>0</v>
      </c>
      <c r="O76" s="242">
        <f t="shared" si="43"/>
        <v>0</v>
      </c>
      <c r="P76" s="242">
        <f t="shared" si="43"/>
        <v>0</v>
      </c>
      <c r="Q76" s="242"/>
      <c r="R76" s="242"/>
      <c r="S76" s="242"/>
      <c r="T76" s="242"/>
      <c r="U76" s="242"/>
      <c r="V76" s="242">
        <f t="shared" si="43"/>
        <v>2.8571428571417812E-3</v>
      </c>
      <c r="W76" s="242">
        <f t="shared" si="43"/>
        <v>7.1428571428668874E-3</v>
      </c>
      <c r="X76" s="242">
        <f t="shared" si="43"/>
        <v>0</v>
      </c>
      <c r="Y76" s="242">
        <f t="shared" si="43"/>
        <v>-9.4285714285714306E-2</v>
      </c>
      <c r="Z76" s="242">
        <f t="shared" si="43"/>
        <v>4.8571428571428932E-2</v>
      </c>
    </row>
    <row r="77" spans="9:26" ht="15" customHeight="1" x14ac:dyDescent="0.25">
      <c r="I77" s="242">
        <f t="shared" ref="I77:Z77" si="44">I43-AB43</f>
        <v>0</v>
      </c>
      <c r="J77" s="242">
        <f t="shared" si="44"/>
        <v>0.11999999999999922</v>
      </c>
      <c r="K77" s="242">
        <f t="shared" si="44"/>
        <v>1.28571428571429E-2</v>
      </c>
      <c r="L77" s="242">
        <f t="shared" si="44"/>
        <v>0.48571428571428577</v>
      </c>
      <c r="M77" s="242">
        <f t="shared" si="44"/>
        <v>159.24285714285725</v>
      </c>
      <c r="N77" s="242">
        <f t="shared" si="44"/>
        <v>1.2785714285714391</v>
      </c>
      <c r="O77" s="242">
        <f t="shared" si="44"/>
        <v>3.5714285714286476E-2</v>
      </c>
      <c r="P77" s="242">
        <f t="shared" si="44"/>
        <v>8.7142857142858077E-2</v>
      </c>
      <c r="Q77" s="242"/>
      <c r="R77" s="242"/>
      <c r="S77" s="242"/>
      <c r="T77" s="242"/>
      <c r="U77" s="242"/>
      <c r="V77" s="242">
        <f t="shared" si="44"/>
        <v>1.4285714285726669E-3</v>
      </c>
      <c r="W77" s="242">
        <f t="shared" si="44"/>
        <v>4.2857142857144481E-3</v>
      </c>
      <c r="X77" s="242">
        <f t="shared" si="44"/>
        <v>2.8571428571435575E-3</v>
      </c>
      <c r="Y77" s="242">
        <f t="shared" si="44"/>
        <v>5.1428571428571601E-2</v>
      </c>
      <c r="Z77" s="242">
        <f t="shared" si="44"/>
        <v>-7.1428571428571175E-2</v>
      </c>
    </row>
    <row r="78" spans="9:26" ht="15" customHeight="1" x14ac:dyDescent="0.25">
      <c r="I78" s="242">
        <f t="shared" ref="I78:Z78" si="45">I44-AB44</f>
        <v>0</v>
      </c>
      <c r="J78" s="242">
        <f t="shared" si="45"/>
        <v>0.14428571428571502</v>
      </c>
      <c r="K78" s="242">
        <f t="shared" si="45"/>
        <v>2.8571428571426694E-3</v>
      </c>
      <c r="L78" s="242">
        <f t="shared" si="45"/>
        <v>5.2857142857142492E-2</v>
      </c>
      <c r="M78" s="242">
        <f t="shared" si="45"/>
        <v>78.431428571429024</v>
      </c>
      <c r="N78" s="242">
        <f t="shared" si="45"/>
        <v>1.7471428571428618</v>
      </c>
      <c r="O78" s="242">
        <f t="shared" si="45"/>
        <v>3.8571428571428257E-2</v>
      </c>
      <c r="P78" s="242">
        <f t="shared" si="45"/>
        <v>7.7142857142860066E-2</v>
      </c>
      <c r="Q78" s="242"/>
      <c r="R78" s="242"/>
      <c r="S78" s="242"/>
      <c r="T78" s="242"/>
      <c r="U78" s="242"/>
      <c r="V78" s="242">
        <f t="shared" si="45"/>
        <v>8.5714285714288962E-3</v>
      </c>
      <c r="W78" s="242">
        <f t="shared" si="45"/>
        <v>-2.8571428571240176E-3</v>
      </c>
      <c r="X78" s="242">
        <f t="shared" si="45"/>
        <v>0</v>
      </c>
      <c r="Y78" s="242">
        <f t="shared" si="45"/>
        <v>1.7142857142857348E-2</v>
      </c>
      <c r="Z78" s="242">
        <f t="shared" si="45"/>
        <v>-2.1428571428571352E-2</v>
      </c>
    </row>
    <row r="79" spans="9:26" ht="15" customHeight="1" x14ac:dyDescent="0.25">
      <c r="I79" s="242">
        <f t="shared" ref="I79:Z79" si="46">I45-AB45</f>
        <v>0</v>
      </c>
      <c r="J79" s="242">
        <f t="shared" si="46"/>
        <v>0.15142857142857125</v>
      </c>
      <c r="K79" s="242">
        <f t="shared" si="46"/>
        <v>-2.2857142857143131E-2</v>
      </c>
      <c r="L79" s="242">
        <f t="shared" si="46"/>
        <v>6.5714285714285836E-2</v>
      </c>
      <c r="M79" s="242">
        <f t="shared" si="46"/>
        <v>21.447142857142808</v>
      </c>
      <c r="N79" s="242">
        <f t="shared" si="46"/>
        <v>1.7728571428571342</v>
      </c>
      <c r="O79" s="242">
        <f t="shared" si="46"/>
        <v>1.9999999999999574E-2</v>
      </c>
      <c r="P79" s="242">
        <f t="shared" si="46"/>
        <v>5.4285714285711606E-2</v>
      </c>
      <c r="Q79" s="242"/>
      <c r="R79" s="242"/>
      <c r="S79" s="242"/>
      <c r="T79" s="242"/>
      <c r="U79" s="242"/>
      <c r="V79" s="242">
        <f t="shared" si="46"/>
        <v>5.7142857142853387E-3</v>
      </c>
      <c r="W79" s="242">
        <f t="shared" si="46"/>
        <v>1.4285714285904305E-3</v>
      </c>
      <c r="X79" s="242">
        <f t="shared" si="46"/>
        <v>1.4285714285726669E-3</v>
      </c>
      <c r="Y79" s="242">
        <f t="shared" si="46"/>
        <v>-8.5714285714284522E-3</v>
      </c>
      <c r="Z79" s="242">
        <f t="shared" si="46"/>
        <v>2.857142857142847E-2</v>
      </c>
    </row>
    <row r="80" spans="9:26" ht="15" customHeight="1" x14ac:dyDescent="0.25">
      <c r="I80" s="242">
        <f t="shared" ref="I80:Z80" si="47">I46-AB46</f>
        <v>0</v>
      </c>
      <c r="J80" s="242">
        <f t="shared" si="47"/>
        <v>0.67000000000000171</v>
      </c>
      <c r="K80" s="242">
        <f t="shared" si="47"/>
        <v>0.15571428571428569</v>
      </c>
      <c r="L80" s="242">
        <f t="shared" si="47"/>
        <v>0.54714285714285538</v>
      </c>
      <c r="M80" s="242">
        <f t="shared" si="47"/>
        <v>0</v>
      </c>
      <c r="N80" s="242">
        <f t="shared" si="47"/>
        <v>0</v>
      </c>
      <c r="O80" s="242">
        <f t="shared" si="47"/>
        <v>6.8571428571429394E-2</v>
      </c>
      <c r="P80" s="242">
        <f t="shared" si="47"/>
        <v>1.1428571428570677E-2</v>
      </c>
      <c r="Q80" s="242"/>
      <c r="R80" s="242"/>
      <c r="S80" s="242"/>
      <c r="T80" s="242"/>
      <c r="U80" s="242"/>
      <c r="V80" s="242">
        <f t="shared" si="47"/>
        <v>0.44000000000000128</v>
      </c>
      <c r="W80" s="242">
        <f t="shared" si="47"/>
        <v>5.7142857142764569E-3</v>
      </c>
      <c r="X80" s="242">
        <f t="shared" si="47"/>
        <v>1.4285714285726669E-3</v>
      </c>
      <c r="Y80" s="242">
        <f t="shared" si="47"/>
        <v>8.5714285714285854E-2</v>
      </c>
      <c r="Z80" s="242">
        <f t="shared" si="47"/>
        <v>0.23999999999999977</v>
      </c>
    </row>
    <row r="81" spans="9:26" ht="15" customHeight="1" x14ac:dyDescent="0.25">
      <c r="I81" s="242">
        <f t="shared" ref="I81:Z81" si="48">I47-AB47</f>
        <v>0</v>
      </c>
      <c r="J81" s="242">
        <f t="shared" si="48"/>
        <v>-3.5714285714286476E-2</v>
      </c>
      <c r="K81" s="242">
        <f t="shared" si="48"/>
        <v>-2.1428571428571352E-2</v>
      </c>
      <c r="L81" s="242">
        <f t="shared" si="48"/>
        <v>0.8614285714285721</v>
      </c>
      <c r="M81" s="242">
        <f t="shared" si="48"/>
        <v>253.83285714285716</v>
      </c>
      <c r="N81" s="242">
        <f t="shared" si="48"/>
        <v>1.6557142857142821</v>
      </c>
      <c r="O81" s="242">
        <f t="shared" si="48"/>
        <v>5.4285714285715159E-2</v>
      </c>
      <c r="P81" s="242">
        <f t="shared" si="48"/>
        <v>0.10428571428571587</v>
      </c>
      <c r="Q81" s="242"/>
      <c r="R81" s="242"/>
      <c r="S81" s="242"/>
      <c r="T81" s="242"/>
      <c r="U81" s="242"/>
      <c r="V81" s="242">
        <f t="shared" si="48"/>
        <v>5.7142857142871151E-3</v>
      </c>
      <c r="W81" s="242">
        <f t="shared" si="48"/>
        <v>-7.1428571428526766E-3</v>
      </c>
      <c r="X81" s="242">
        <f t="shared" si="48"/>
        <v>2.8571428571435575E-3</v>
      </c>
      <c r="Y81" s="242">
        <f t="shared" si="48"/>
        <v>4.7142857142857153E-2</v>
      </c>
      <c r="Z81" s="242">
        <f t="shared" si="48"/>
        <v>-7.5714285714285623E-2</v>
      </c>
    </row>
    <row r="82" spans="9:26" ht="15" customHeight="1" x14ac:dyDescent="0.25">
      <c r="I82" s="242">
        <f t="shared" ref="I82:Z82" si="49">I48-AB48</f>
        <v>0</v>
      </c>
      <c r="J82" s="242">
        <f t="shared" si="49"/>
        <v>7.1428571428562293E-3</v>
      </c>
      <c r="K82" s="242">
        <f t="shared" si="49"/>
        <v>2.8571428571426694E-3</v>
      </c>
      <c r="L82" s="242">
        <f t="shared" si="49"/>
        <v>0.39285714285714235</v>
      </c>
      <c r="M82" s="242">
        <f t="shared" si="49"/>
        <v>167.58999999999969</v>
      </c>
      <c r="N82" s="242">
        <f t="shared" si="49"/>
        <v>2.4099999999999966</v>
      </c>
      <c r="O82" s="242">
        <f t="shared" si="49"/>
        <v>4.7142857142855377E-2</v>
      </c>
      <c r="P82" s="242">
        <f t="shared" si="49"/>
        <v>9.4285714285714306E-2</v>
      </c>
      <c r="Q82" s="242"/>
      <c r="R82" s="242"/>
      <c r="S82" s="242"/>
      <c r="T82" s="242"/>
      <c r="U82" s="242"/>
      <c r="V82" s="242">
        <f t="shared" si="49"/>
        <v>5.7142857142853387E-3</v>
      </c>
      <c r="W82" s="242">
        <f t="shared" si="49"/>
        <v>1.999999999998181E-2</v>
      </c>
      <c r="X82" s="242">
        <f t="shared" si="49"/>
        <v>8.5714285714288962E-3</v>
      </c>
      <c r="Y82" s="242">
        <f t="shared" si="49"/>
        <v>2.1428571428571352E-2</v>
      </c>
      <c r="Z82" s="242">
        <f t="shared" si="49"/>
        <v>-1.5714285714286014E-2</v>
      </c>
    </row>
    <row r="83" spans="9:26" ht="15" customHeight="1" x14ac:dyDescent="0.25">
      <c r="I83" s="242">
        <f t="shared" ref="I83:Z83" si="50">I49-AB49</f>
        <v>0</v>
      </c>
      <c r="J83" s="242">
        <f t="shared" si="50"/>
        <v>-4.7142857142858929E-2</v>
      </c>
      <c r="K83" s="242">
        <f t="shared" si="50"/>
        <v>0.13714285714285745</v>
      </c>
      <c r="L83" s="242">
        <f t="shared" si="50"/>
        <v>7.0000000000000284E-2</v>
      </c>
      <c r="M83" s="242">
        <f t="shared" si="50"/>
        <v>41.94857142857154</v>
      </c>
      <c r="N83" s="242">
        <f t="shared" si="50"/>
        <v>2.7485714285714096</v>
      </c>
      <c r="O83" s="242">
        <f t="shared" si="50"/>
        <v>3.9999999999999147E-2</v>
      </c>
      <c r="P83" s="242">
        <f t="shared" si="50"/>
        <v>7.5714285714283847E-2</v>
      </c>
      <c r="Q83" s="242"/>
      <c r="R83" s="242"/>
      <c r="S83" s="242"/>
      <c r="T83" s="242"/>
      <c r="U83" s="242"/>
      <c r="V83" s="242">
        <f t="shared" si="50"/>
        <v>7.1428571428562293E-3</v>
      </c>
      <c r="W83" s="242">
        <f t="shared" si="50"/>
        <v>7.1428571428668874E-3</v>
      </c>
      <c r="X83" s="242">
        <f t="shared" si="50"/>
        <v>5.7142857142835624E-3</v>
      </c>
      <c r="Y83" s="242">
        <f t="shared" si="50"/>
        <v>-8.5714285714284522E-3</v>
      </c>
      <c r="Z83" s="242">
        <f t="shared" si="50"/>
        <v>2.4285714285714022E-2</v>
      </c>
    </row>
    <row r="84" spans="9:26" ht="15" customHeight="1" x14ac:dyDescent="0.25">
      <c r="I84" s="242">
        <f t="shared" ref="I84:Z84" si="51">I50-AB50</f>
        <v>0</v>
      </c>
      <c r="J84" s="242">
        <f t="shared" si="51"/>
        <v>1.3300000000000018</v>
      </c>
      <c r="K84" s="242">
        <f t="shared" si="51"/>
        <v>0.10142857142857142</v>
      </c>
      <c r="L84" s="242">
        <f t="shared" si="51"/>
        <v>2.5714285714286689E-2</v>
      </c>
      <c r="M84" s="242">
        <f t="shared" si="51"/>
        <v>26.012857142856774</v>
      </c>
      <c r="N84" s="242">
        <f t="shared" si="51"/>
        <v>1.6971428571428646</v>
      </c>
      <c r="O84" s="242">
        <f t="shared" si="51"/>
        <v>2.4285714285714022E-2</v>
      </c>
      <c r="P84" s="242">
        <f t="shared" si="51"/>
        <v>3.5714285714288252E-2</v>
      </c>
      <c r="Q84" s="242"/>
      <c r="R84" s="242"/>
      <c r="S84" s="242"/>
      <c r="T84" s="242"/>
      <c r="U84" s="242"/>
      <c r="V84" s="242">
        <f t="shared" si="51"/>
        <v>0</v>
      </c>
      <c r="W84" s="242">
        <f t="shared" si="51"/>
        <v>5.7142857143048786E-3</v>
      </c>
      <c r="X84" s="242">
        <f t="shared" si="51"/>
        <v>-0.10000000000000142</v>
      </c>
      <c r="Y84" s="242">
        <f t="shared" si="51"/>
        <v>-8.5714285714284522E-3</v>
      </c>
      <c r="Z84" s="242">
        <f t="shared" si="51"/>
        <v>3.5714285714285587E-2</v>
      </c>
    </row>
    <row r="85" spans="9:26" ht="15" customHeight="1" x14ac:dyDescent="0.25">
      <c r="I85" s="242">
        <f t="shared" ref="I85:Z85" si="52">I51-AB51</f>
        <v>0</v>
      </c>
      <c r="J85" s="242">
        <f t="shared" si="52"/>
        <v>1.5128571428571433</v>
      </c>
      <c r="K85" s="242">
        <f t="shared" si="52"/>
        <v>7.1428571428571619E-2</v>
      </c>
      <c r="L85" s="242">
        <f t="shared" si="52"/>
        <v>8.5714285714288962E-3</v>
      </c>
      <c r="M85" s="242">
        <f t="shared" si="52"/>
        <v>4.018571428571704</v>
      </c>
      <c r="N85" s="242">
        <f t="shared" si="52"/>
        <v>0.30285714285719223</v>
      </c>
      <c r="O85" s="242">
        <f t="shared" si="52"/>
        <v>-1.4285714285726669E-3</v>
      </c>
      <c r="P85" s="242">
        <f t="shared" si="52"/>
        <v>8.5714285714288962E-3</v>
      </c>
      <c r="Q85" s="242"/>
      <c r="R85" s="242"/>
      <c r="S85" s="242"/>
      <c r="T85" s="242"/>
      <c r="U85" s="242"/>
      <c r="V85" s="242">
        <f t="shared" si="52"/>
        <v>2.8571428571453339E-3</v>
      </c>
      <c r="W85" s="242">
        <f t="shared" si="52"/>
        <v>2.8571428571240176E-3</v>
      </c>
      <c r="X85" s="242">
        <f t="shared" si="52"/>
        <v>4.2857142857144481E-3</v>
      </c>
      <c r="Y85" s="242">
        <f t="shared" si="52"/>
        <v>1.4285714285717788E-3</v>
      </c>
      <c r="Z85" s="242">
        <f t="shared" si="52"/>
        <v>4.0000000000000036E-2</v>
      </c>
    </row>
  </sheetData>
  <mergeCells count="33">
    <mergeCell ref="F4:G6"/>
    <mergeCell ref="F7:F10"/>
    <mergeCell ref="G7:G10"/>
    <mergeCell ref="A4:A10"/>
    <mergeCell ref="B4:B10"/>
    <mergeCell ref="C4:C10"/>
    <mergeCell ref="D4:D10"/>
    <mergeCell ref="E4:E10"/>
    <mergeCell ref="Q7:Q8"/>
    <mergeCell ref="H4:H10"/>
    <mergeCell ref="I4:I9"/>
    <mergeCell ref="J4:K6"/>
    <mergeCell ref="L4:Z4"/>
    <mergeCell ref="L5:U5"/>
    <mergeCell ref="V5:Z6"/>
    <mergeCell ref="L6:P6"/>
    <mergeCell ref="Q6:U6"/>
    <mergeCell ref="J7:J8"/>
    <mergeCell ref="K7:K8"/>
    <mergeCell ref="L7:L8"/>
    <mergeCell ref="M7:M8"/>
    <mergeCell ref="N7:N8"/>
    <mergeCell ref="O7:O8"/>
    <mergeCell ref="P7:P8"/>
    <mergeCell ref="X7:X8"/>
    <mergeCell ref="Y7:Y8"/>
    <mergeCell ref="Z7:Z8"/>
    <mergeCell ref="R7:R8"/>
    <mergeCell ref="S7:S8"/>
    <mergeCell ref="T7:T8"/>
    <mergeCell ref="U7:U8"/>
    <mergeCell ref="V7:V8"/>
    <mergeCell ref="W7:W8"/>
  </mergeCells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tabSelected="1" zoomScale="70" zoomScaleNormal="70" workbookViewId="0">
      <selection activeCell="W55" sqref="W55"/>
    </sheetView>
  </sheetViews>
  <sheetFormatPr defaultColWidth="8.85546875" defaultRowHeight="15" customHeight="1" x14ac:dyDescent="0.25"/>
  <cols>
    <col min="1" max="1" width="12.7109375" style="195" customWidth="1"/>
    <col min="2" max="5" width="6.7109375" style="195" customWidth="1"/>
    <col min="6" max="6" width="8.7109375" style="195" customWidth="1"/>
    <col min="7" max="7" width="15.7109375" style="195" customWidth="1"/>
    <col min="8" max="26" width="8.7109375" style="195" customWidth="1"/>
    <col min="27" max="16384" width="8.85546875" style="195"/>
  </cols>
  <sheetData>
    <row r="1" spans="1:26" ht="15" customHeight="1" thickBot="1" x14ac:dyDescent="0.3">
      <c r="A1" s="110">
        <v>420</v>
      </c>
    </row>
    <row r="2" spans="1:26" ht="15" customHeight="1" thickBot="1" x14ac:dyDescent="0.3">
      <c r="A2" s="79" t="str">
        <f>Сводная!A28</f>
        <v>SIGMA350x3,5</v>
      </c>
      <c r="B2" s="93" t="str">
        <f>INDEX(B11:B51,MATCH($A$2,$A$11:$A$51))</f>
        <v>350</v>
      </c>
      <c r="C2" s="105">
        <f t="shared" ref="C2:Z2" si="0">INDEX(C11:C51,MATCH($A$2,$A$11:$A$51))</f>
        <v>100</v>
      </c>
      <c r="D2" s="105">
        <f t="shared" si="0"/>
        <v>100</v>
      </c>
      <c r="E2" s="105">
        <f t="shared" si="0"/>
        <v>26</v>
      </c>
      <c r="F2" s="93" t="str">
        <f t="shared" si="0"/>
        <v>SIGMA350</v>
      </c>
      <c r="G2" s="93" t="str">
        <f t="shared" si="0"/>
        <v>350/100/100/26</v>
      </c>
      <c r="H2" s="105">
        <f t="shared" si="0"/>
        <v>3.5</v>
      </c>
      <c r="I2" s="103">
        <f t="shared" si="0"/>
        <v>16.260000000000002</v>
      </c>
      <c r="J2" s="103">
        <f t="shared" si="0"/>
        <v>19</v>
      </c>
      <c r="K2" s="103">
        <f t="shared" si="0"/>
        <v>3.39</v>
      </c>
      <c r="L2" s="103">
        <f t="shared" si="0"/>
        <v>20.34</v>
      </c>
      <c r="M2" s="103">
        <f t="shared" si="0"/>
        <v>3540.79</v>
      </c>
      <c r="N2" s="103">
        <f>INDEX(N11:N51,MATCH($A$2,$A$11:$A$51))</f>
        <v>200.11</v>
      </c>
      <c r="O2" s="103">
        <f t="shared" si="0"/>
        <v>13.19</v>
      </c>
      <c r="P2" s="103">
        <f t="shared" si="0"/>
        <v>17.309999999999999</v>
      </c>
      <c r="Q2" s="103">
        <f t="shared" si="0"/>
        <v>0</v>
      </c>
      <c r="R2" s="103">
        <f t="shared" si="0"/>
        <v>0</v>
      </c>
      <c r="S2" s="103">
        <f t="shared" si="0"/>
        <v>0</v>
      </c>
      <c r="T2" s="103">
        <f t="shared" si="0"/>
        <v>0</v>
      </c>
      <c r="U2" s="103">
        <f t="shared" si="0"/>
        <v>0</v>
      </c>
      <c r="V2" s="103">
        <f t="shared" si="0"/>
        <v>19</v>
      </c>
      <c r="W2" s="103">
        <f t="shared" si="0"/>
        <v>219.67</v>
      </c>
      <c r="X2" s="103">
        <f t="shared" si="0"/>
        <v>30.82</v>
      </c>
      <c r="Y2" s="103">
        <f t="shared" si="0"/>
        <v>3.39</v>
      </c>
      <c r="Z2" s="104">
        <f t="shared" si="0"/>
        <v>2.87</v>
      </c>
    </row>
    <row r="3" spans="1:26" ht="15" customHeight="1" thickBot="1" x14ac:dyDescent="0.3"/>
    <row r="4" spans="1:26" ht="15" customHeight="1" x14ac:dyDescent="0.25">
      <c r="A4" s="347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12" t="s">
        <v>0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26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26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57"/>
    </row>
    <row r="7" spans="1:26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/>
      <c r="R7" s="364"/>
      <c r="S7" s="364"/>
      <c r="T7" s="364"/>
      <c r="U7" s="364"/>
      <c r="V7" s="364" t="s">
        <v>21</v>
      </c>
      <c r="W7" s="364" t="s">
        <v>19</v>
      </c>
      <c r="X7" s="364" t="s">
        <v>156</v>
      </c>
      <c r="Y7" s="364" t="s">
        <v>20</v>
      </c>
      <c r="Z7" s="381" t="s">
        <v>168</v>
      </c>
    </row>
    <row r="8" spans="1:26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380"/>
    </row>
    <row r="9" spans="1:26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/>
      <c r="R9" s="154"/>
      <c r="S9" s="154"/>
      <c r="T9" s="154"/>
      <c r="U9" s="154"/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26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/>
      <c r="R10" s="156"/>
      <c r="S10" s="156"/>
      <c r="T10" s="156"/>
      <c r="U10" s="156"/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26" ht="15" customHeight="1" x14ac:dyDescent="0.25">
      <c r="A11" s="144" t="str">
        <f t="shared" ref="A11:A14" si="1">CONCATENATE(F11,"x",(IF(H11=INT(H11),CONCATENATE(H11,",",0),H11)))</f>
        <v>SIGMA140x1,0</v>
      </c>
      <c r="B11" s="145" t="str">
        <f t="shared" ref="B11:B14" si="2">LEFT(G11,3)</f>
        <v>140</v>
      </c>
      <c r="C11" s="146">
        <f t="shared" ref="C11:C14" si="3">VALUE(MID(G11,(SEARCH("/",G11,1)+1),(SEARCH("/",G11,(SEARCH("/",G11,1)+1))-SEARCH("/",G11,1)-1)))</f>
        <v>55</v>
      </c>
      <c r="D11" s="146">
        <f t="shared" ref="D11:D14" si="4">VALUE(MID(G11,(SEARCH("/",G11,(SEARCH("/",G11,1)+1))+1),(SEARCH("/",G11,SEARCH("/",G11,(SEARCH("/",G11,1)+1))+1))-(SEARCH("/",G11,(SEARCH("/",G11,1)+1))+1)))</f>
        <v>55</v>
      </c>
      <c r="E11" s="146">
        <f t="shared" ref="E11:E14" si="5">VALUE(MID(G11,(SEARCH("/",G11,SEARCH("/",G11,(SEARCH("/",G11,1)+1))+1)+1),4))</f>
        <v>18</v>
      </c>
      <c r="F11" s="158" t="str">
        <f t="shared" ref="F11:F14" si="6">CONCATENATE("SIGMA",LEFT(G11,3))</f>
        <v>SIGMA140</v>
      </c>
      <c r="G11" s="159" t="s">
        <v>189</v>
      </c>
      <c r="H11" s="160">
        <v>1</v>
      </c>
      <c r="I11" s="161">
        <v>2.35</v>
      </c>
      <c r="J11" s="161">
        <v>2.46</v>
      </c>
      <c r="K11" s="161">
        <v>1.9</v>
      </c>
      <c r="L11" s="161">
        <v>2.56</v>
      </c>
      <c r="M11" s="161">
        <v>69.22</v>
      </c>
      <c r="N11" s="161">
        <v>9.8800000000000008</v>
      </c>
      <c r="O11" s="161">
        <v>5.19</v>
      </c>
      <c r="P11" s="161">
        <v>7</v>
      </c>
      <c r="Q11" s="161"/>
      <c r="R11" s="161"/>
      <c r="S11" s="161"/>
      <c r="T11" s="161"/>
      <c r="U11" s="161"/>
      <c r="V11" s="161">
        <v>2.8</v>
      </c>
      <c r="W11" s="161">
        <v>13.77</v>
      </c>
      <c r="X11" s="161">
        <v>2.84</v>
      </c>
      <c r="Y11" s="161">
        <v>2.21</v>
      </c>
      <c r="Z11" s="162">
        <v>0.67</v>
      </c>
    </row>
    <row r="12" spans="1:26" ht="15" customHeight="1" thickBot="1" x14ac:dyDescent="0.3">
      <c r="A12" s="224" t="str">
        <f>CONCATENATE(F12,"x",(IF(H12=INT(H12),CONCATENATE(H12,",",0),H12)))</f>
        <v>SIGMA140x1,2</v>
      </c>
      <c r="B12" s="225" t="str">
        <f t="shared" si="2"/>
        <v>140</v>
      </c>
      <c r="C12" s="226">
        <f t="shared" si="3"/>
        <v>55</v>
      </c>
      <c r="D12" s="226">
        <f t="shared" si="4"/>
        <v>55</v>
      </c>
      <c r="E12" s="226">
        <f t="shared" si="5"/>
        <v>18</v>
      </c>
      <c r="F12" s="172" t="str">
        <f t="shared" si="6"/>
        <v>SIGMA140</v>
      </c>
      <c r="G12" s="173" t="s">
        <v>189</v>
      </c>
      <c r="H12" s="223">
        <v>1.2</v>
      </c>
      <c r="I12" s="213">
        <v>2.79</v>
      </c>
      <c r="J12" s="213">
        <v>3.14</v>
      </c>
      <c r="K12" s="213">
        <v>1.9</v>
      </c>
      <c r="L12" s="213">
        <v>3.2</v>
      </c>
      <c r="M12" s="213">
        <v>88.8</v>
      </c>
      <c r="N12" s="213">
        <v>12.68</v>
      </c>
      <c r="O12" s="213">
        <v>5.26</v>
      </c>
      <c r="P12" s="213">
        <v>7</v>
      </c>
      <c r="Q12" s="213"/>
      <c r="R12" s="213"/>
      <c r="S12" s="213"/>
      <c r="T12" s="213"/>
      <c r="U12" s="213"/>
      <c r="V12" s="213">
        <v>3.39</v>
      </c>
      <c r="W12" s="213">
        <v>15.33</v>
      </c>
      <c r="X12" s="213">
        <v>3.36</v>
      </c>
      <c r="Y12" s="213">
        <v>2.12</v>
      </c>
      <c r="Z12" s="214">
        <v>0.94</v>
      </c>
    </row>
    <row r="13" spans="1:26" ht="15" customHeight="1" x14ac:dyDescent="0.25">
      <c r="A13" s="144" t="str">
        <f t="shared" si="1"/>
        <v>SIGMA160x1,0</v>
      </c>
      <c r="B13" s="145" t="str">
        <f t="shared" si="2"/>
        <v>160</v>
      </c>
      <c r="C13" s="146">
        <f t="shared" si="3"/>
        <v>55</v>
      </c>
      <c r="D13" s="146">
        <f t="shared" si="4"/>
        <v>55</v>
      </c>
      <c r="E13" s="146">
        <f t="shared" si="5"/>
        <v>18</v>
      </c>
      <c r="F13" s="158" t="str">
        <f t="shared" si="6"/>
        <v>SIGMA160</v>
      </c>
      <c r="G13" s="159" t="s">
        <v>93</v>
      </c>
      <c r="H13" s="160">
        <v>1</v>
      </c>
      <c r="I13" s="161">
        <v>2.5099999999999998</v>
      </c>
      <c r="J13" s="161">
        <v>2.5499999999999998</v>
      </c>
      <c r="K13" s="161">
        <v>1.95</v>
      </c>
      <c r="L13" s="161">
        <v>2.73</v>
      </c>
      <c r="M13" s="161">
        <v>94.4</v>
      </c>
      <c r="N13" s="161">
        <v>11.8</v>
      </c>
      <c r="O13" s="161">
        <v>5.87</v>
      </c>
      <c r="P13" s="161">
        <v>8</v>
      </c>
      <c r="Q13" s="161"/>
      <c r="R13" s="161"/>
      <c r="S13" s="161"/>
      <c r="T13" s="161"/>
      <c r="U13" s="161"/>
      <c r="V13" s="161">
        <v>2.93</v>
      </c>
      <c r="W13" s="161">
        <v>11.08</v>
      </c>
      <c r="X13" s="161">
        <v>3.16</v>
      </c>
      <c r="Y13" s="161">
        <v>1.94</v>
      </c>
      <c r="Z13" s="162">
        <v>2</v>
      </c>
    </row>
    <row r="14" spans="1:26" ht="15" customHeight="1" x14ac:dyDescent="0.25">
      <c r="A14" s="147" t="str">
        <f t="shared" si="1"/>
        <v>SIGMA160x1,2</v>
      </c>
      <c r="B14" s="148" t="str">
        <f t="shared" si="2"/>
        <v>160</v>
      </c>
      <c r="C14" s="149">
        <f t="shared" si="3"/>
        <v>55</v>
      </c>
      <c r="D14" s="149">
        <f t="shared" si="4"/>
        <v>55</v>
      </c>
      <c r="E14" s="149">
        <f t="shared" si="5"/>
        <v>18</v>
      </c>
      <c r="F14" s="154" t="str">
        <f t="shared" si="6"/>
        <v>SIGMA160</v>
      </c>
      <c r="G14" s="155" t="s">
        <v>93</v>
      </c>
      <c r="H14" s="164">
        <v>1.2</v>
      </c>
      <c r="I14" s="165">
        <v>2.99</v>
      </c>
      <c r="J14" s="165">
        <v>3.32</v>
      </c>
      <c r="K14" s="165">
        <v>1.95</v>
      </c>
      <c r="L14" s="165">
        <v>3.46</v>
      </c>
      <c r="M14" s="165">
        <v>122.88</v>
      </c>
      <c r="N14" s="165">
        <v>15.36</v>
      </c>
      <c r="O14" s="165">
        <v>5.95</v>
      </c>
      <c r="P14" s="165">
        <v>8</v>
      </c>
      <c r="Q14" s="165"/>
      <c r="R14" s="165"/>
      <c r="S14" s="165"/>
      <c r="T14" s="165"/>
      <c r="U14" s="165"/>
      <c r="V14" s="165">
        <v>3.61</v>
      </c>
      <c r="W14" s="165">
        <v>13.63</v>
      </c>
      <c r="X14" s="165">
        <v>3.84</v>
      </c>
      <c r="Y14" s="165">
        <v>1.94</v>
      </c>
      <c r="Z14" s="166">
        <v>1.95</v>
      </c>
    </row>
    <row r="15" spans="1:26" ht="15" customHeight="1" x14ac:dyDescent="0.25">
      <c r="A15" s="72" t="str">
        <f>CONCATENATE(F15,"x",(IF(H15=INT(H15),CONCATENATE(H15,",",0),H15)))</f>
        <v>SIGMA160x1,5</v>
      </c>
      <c r="B15" s="11" t="str">
        <f>LEFT(G15,3)</f>
        <v>160</v>
      </c>
      <c r="C15" s="3">
        <f>VALUE(MID(G15,(SEARCH("/",G15,1)+1),(SEARCH("/",G15,(SEARCH("/",G15,1)+1))-SEARCH("/",G15,1)-1)))</f>
        <v>55</v>
      </c>
      <c r="D15" s="3">
        <f>VALUE(MID(G15,(SEARCH("/",G15,(SEARCH("/",G15,1)+1))+1),(SEARCH("/",G15,SEARCH("/",G15,(SEARCH("/",G15,1)+1))+1))-(SEARCH("/",G15,(SEARCH("/",G15,1)+1))+1)))</f>
        <v>55</v>
      </c>
      <c r="E15" s="3">
        <f>VALUE(MID(G15,(SEARCH("/",G15,SEARCH("/",G15,(SEARCH("/",G15,1)+1))+1)+1),4))</f>
        <v>18</v>
      </c>
      <c r="F15" s="134" t="str">
        <f>CONCATENATE("SIGMA",LEFT(G15,3))</f>
        <v>SIGMA160</v>
      </c>
      <c r="G15" s="81" t="s">
        <v>93</v>
      </c>
      <c r="H15" s="123">
        <v>1.5</v>
      </c>
      <c r="I15" s="96">
        <v>3.6</v>
      </c>
      <c r="J15" s="96">
        <v>4.43</v>
      </c>
      <c r="K15" s="96">
        <v>1.86</v>
      </c>
      <c r="L15" s="96">
        <v>4.38</v>
      </c>
      <c r="M15" s="96">
        <v>162.75</v>
      </c>
      <c r="N15" s="96">
        <v>19.690000000000001</v>
      </c>
      <c r="O15" s="96">
        <v>6.09</v>
      </c>
      <c r="P15" s="96">
        <v>7.74</v>
      </c>
      <c r="Q15" s="96"/>
      <c r="R15" s="96"/>
      <c r="S15" s="96"/>
      <c r="T15" s="96"/>
      <c r="U15" s="96"/>
      <c r="V15" s="96">
        <v>4.5</v>
      </c>
      <c r="W15" s="96">
        <v>15.46</v>
      </c>
      <c r="X15" s="96">
        <v>4.29</v>
      </c>
      <c r="Y15" s="96">
        <v>1.85</v>
      </c>
      <c r="Z15" s="97">
        <v>1.9</v>
      </c>
    </row>
    <row r="16" spans="1:26" ht="15" customHeight="1" x14ac:dyDescent="0.25">
      <c r="A16" s="72" t="str">
        <f t="shared" ref="A16:A38" si="7">CONCATENATE(F16,"x",(IF(H16=INT(H16),CONCATENATE(H16,",",0),H16)))</f>
        <v>SIGMA160x2,0</v>
      </c>
      <c r="B16" s="11" t="str">
        <f t="shared" ref="B16:B28" si="8">LEFT(G16,3)</f>
        <v>160</v>
      </c>
      <c r="C16" s="3">
        <f t="shared" ref="C16:C38" si="9">VALUE(MID(G16,(SEARCH("/",G16,1)+1),(SEARCH("/",G16,(SEARCH("/",G16,1)+1))-SEARCH("/",G16,1)-1)))</f>
        <v>55</v>
      </c>
      <c r="D16" s="3">
        <f t="shared" ref="D16:D38" si="10">VALUE(MID(G16,(SEARCH("/",G16,(SEARCH("/",G16,1)+1))+1),(SEARCH("/",G16,SEARCH("/",G16,(SEARCH("/",G16,1)+1))+1))-(SEARCH("/",G16,(SEARCH("/",G16,1)+1))+1)))</f>
        <v>55</v>
      </c>
      <c r="E16" s="3">
        <f t="shared" ref="E16:E38" si="11">VALUE(MID(G16,(SEARCH("/",G16,SEARCH("/",G16,(SEARCH("/",G16,1)+1))+1)+1),4))</f>
        <v>20</v>
      </c>
      <c r="F16" s="134" t="str">
        <f t="shared" ref="F16:F38" si="12">CONCATENATE("SIGMA",LEFT(G16,3))</f>
        <v>SIGMA160</v>
      </c>
      <c r="G16" s="81" t="s">
        <v>94</v>
      </c>
      <c r="H16" s="123">
        <v>2</v>
      </c>
      <c r="I16" s="96">
        <v>4.83</v>
      </c>
      <c r="J16" s="96">
        <v>6.15</v>
      </c>
      <c r="K16" s="96">
        <v>1.85</v>
      </c>
      <c r="L16" s="96">
        <v>6.15</v>
      </c>
      <c r="M16" s="96">
        <v>226.07</v>
      </c>
      <c r="N16" s="96">
        <v>28.25</v>
      </c>
      <c r="O16" s="96">
        <v>6.06</v>
      </c>
      <c r="P16" s="96">
        <v>8</v>
      </c>
      <c r="Q16" s="96"/>
      <c r="R16" s="96"/>
      <c r="S16" s="96"/>
      <c r="T16" s="96"/>
      <c r="U16" s="96"/>
      <c r="V16" s="96">
        <v>6.15</v>
      </c>
      <c r="W16" s="96">
        <v>21.08</v>
      </c>
      <c r="X16" s="96">
        <v>5.95</v>
      </c>
      <c r="Y16" s="96">
        <v>1.85</v>
      </c>
      <c r="Z16" s="97">
        <v>1.96</v>
      </c>
    </row>
    <row r="17" spans="1:26" ht="15" customHeight="1" x14ac:dyDescent="0.25">
      <c r="A17" s="72" t="str">
        <f t="shared" si="7"/>
        <v>SIGMA160x2,5</v>
      </c>
      <c r="B17" s="11" t="str">
        <f t="shared" si="8"/>
        <v>160</v>
      </c>
      <c r="C17" s="3">
        <f t="shared" si="9"/>
        <v>55</v>
      </c>
      <c r="D17" s="3">
        <f t="shared" si="10"/>
        <v>55</v>
      </c>
      <c r="E17" s="3">
        <f t="shared" si="11"/>
        <v>22</v>
      </c>
      <c r="F17" s="134" t="str">
        <f t="shared" si="12"/>
        <v>SIGMA160</v>
      </c>
      <c r="G17" s="81" t="s">
        <v>95</v>
      </c>
      <c r="H17" s="123">
        <v>2.5</v>
      </c>
      <c r="I17" s="96">
        <v>6.06</v>
      </c>
      <c r="J17" s="96">
        <v>7.73</v>
      </c>
      <c r="K17" s="96">
        <v>1.85</v>
      </c>
      <c r="L17" s="96">
        <v>7.73</v>
      </c>
      <c r="M17" s="96">
        <v>281.36</v>
      </c>
      <c r="N17" s="96">
        <v>35.17</v>
      </c>
      <c r="O17" s="96">
        <v>6.03</v>
      </c>
      <c r="P17" s="96">
        <v>8</v>
      </c>
      <c r="Q17" s="96"/>
      <c r="R17" s="96"/>
      <c r="S17" s="96"/>
      <c r="T17" s="96"/>
      <c r="U17" s="96"/>
      <c r="V17" s="96">
        <v>7.73</v>
      </c>
      <c r="W17" s="96">
        <v>26.64</v>
      </c>
      <c r="X17" s="96">
        <v>7.63</v>
      </c>
      <c r="Y17" s="96">
        <v>1.85</v>
      </c>
      <c r="Z17" s="97">
        <v>2.0099999999999998</v>
      </c>
    </row>
    <row r="18" spans="1:26" ht="15" customHeight="1" thickBot="1" x14ac:dyDescent="0.3">
      <c r="A18" s="73" t="str">
        <f t="shared" si="7"/>
        <v>SIGMA160x3,0</v>
      </c>
      <c r="B18" s="12" t="str">
        <f t="shared" si="8"/>
        <v>160</v>
      </c>
      <c r="C18" s="5">
        <f t="shared" si="9"/>
        <v>55</v>
      </c>
      <c r="D18" s="5">
        <f t="shared" si="10"/>
        <v>55</v>
      </c>
      <c r="E18" s="5">
        <f t="shared" si="11"/>
        <v>24</v>
      </c>
      <c r="F18" s="135" t="str">
        <f t="shared" si="12"/>
        <v>SIGMA160</v>
      </c>
      <c r="G18" s="82" t="s">
        <v>96</v>
      </c>
      <c r="H18" s="124">
        <v>3</v>
      </c>
      <c r="I18" s="98">
        <v>7.31</v>
      </c>
      <c r="J18" s="98">
        <v>9.32</v>
      </c>
      <c r="K18" s="98">
        <v>1.86</v>
      </c>
      <c r="L18" s="98">
        <v>9.32</v>
      </c>
      <c r="M18" s="98">
        <v>335.92</v>
      </c>
      <c r="N18" s="98">
        <v>41.99</v>
      </c>
      <c r="O18" s="98">
        <v>6</v>
      </c>
      <c r="P18" s="98">
        <v>8</v>
      </c>
      <c r="Q18" s="98"/>
      <c r="R18" s="98"/>
      <c r="S18" s="98"/>
      <c r="T18" s="98"/>
      <c r="U18" s="98"/>
      <c r="V18" s="98">
        <v>9.32</v>
      </c>
      <c r="W18" s="98">
        <v>32.270000000000003</v>
      </c>
      <c r="X18" s="98">
        <v>9.3699999999999992</v>
      </c>
      <c r="Y18" s="98">
        <v>1.86</v>
      </c>
      <c r="Z18" s="99">
        <v>2.06</v>
      </c>
    </row>
    <row r="19" spans="1:26" ht="15" customHeight="1" x14ac:dyDescent="0.25">
      <c r="A19" s="71" t="str">
        <f t="shared" si="7"/>
        <v>SIGMA180x1,5</v>
      </c>
      <c r="B19" s="10" t="str">
        <f t="shared" si="8"/>
        <v>180</v>
      </c>
      <c r="C19" s="15">
        <f t="shared" si="9"/>
        <v>55</v>
      </c>
      <c r="D19" s="15">
        <f t="shared" si="10"/>
        <v>55</v>
      </c>
      <c r="E19" s="1">
        <f t="shared" si="11"/>
        <v>18</v>
      </c>
      <c r="F19" s="133" t="str">
        <f t="shared" si="12"/>
        <v>SIGMA180</v>
      </c>
      <c r="G19" s="80" t="s">
        <v>97</v>
      </c>
      <c r="H19" s="122">
        <v>1.5</v>
      </c>
      <c r="I19" s="94">
        <v>3.84</v>
      </c>
      <c r="J19" s="94">
        <v>4.55</v>
      </c>
      <c r="K19" s="94">
        <v>1.86</v>
      </c>
      <c r="L19" s="94">
        <v>4.55</v>
      </c>
      <c r="M19" s="94">
        <v>210.98</v>
      </c>
      <c r="N19" s="94">
        <v>22.36</v>
      </c>
      <c r="O19" s="94">
        <v>6.8</v>
      </c>
      <c r="P19" s="94">
        <v>8.56</v>
      </c>
      <c r="Q19" s="94"/>
      <c r="R19" s="94"/>
      <c r="S19" s="94"/>
      <c r="T19" s="94"/>
      <c r="U19" s="94"/>
      <c r="V19" s="94">
        <v>4.62</v>
      </c>
      <c r="W19" s="94">
        <v>15.85</v>
      </c>
      <c r="X19" s="94">
        <v>4.34</v>
      </c>
      <c r="Y19" s="94">
        <v>1.85</v>
      </c>
      <c r="Z19" s="95">
        <v>1.85</v>
      </c>
    </row>
    <row r="20" spans="1:26" ht="15" customHeight="1" x14ac:dyDescent="0.25">
      <c r="A20" s="72" t="str">
        <f t="shared" si="7"/>
        <v>SIGMA180x2,0</v>
      </c>
      <c r="B20" s="11" t="str">
        <f t="shared" si="8"/>
        <v>180</v>
      </c>
      <c r="C20" s="3">
        <f t="shared" si="9"/>
        <v>55</v>
      </c>
      <c r="D20" s="3">
        <f t="shared" si="10"/>
        <v>55</v>
      </c>
      <c r="E20" s="3">
        <f t="shared" si="11"/>
        <v>20</v>
      </c>
      <c r="F20" s="134" t="str">
        <f t="shared" si="12"/>
        <v>SIGMA180</v>
      </c>
      <c r="G20" s="81" t="s">
        <v>98</v>
      </c>
      <c r="H20" s="123">
        <v>2</v>
      </c>
      <c r="I20" s="96">
        <v>5.14</v>
      </c>
      <c r="J20" s="96">
        <v>6.55</v>
      </c>
      <c r="K20" s="96">
        <v>1.84</v>
      </c>
      <c r="L20" s="96">
        <v>6.55</v>
      </c>
      <c r="M20" s="96">
        <v>298.36</v>
      </c>
      <c r="N20" s="96">
        <v>33.15</v>
      </c>
      <c r="O20" s="96">
        <v>6.74</v>
      </c>
      <c r="P20" s="96">
        <v>9</v>
      </c>
      <c r="Q20" s="96"/>
      <c r="R20" s="96"/>
      <c r="S20" s="96"/>
      <c r="T20" s="96"/>
      <c r="U20" s="96"/>
      <c r="V20" s="96">
        <v>6.55</v>
      </c>
      <c r="W20" s="96">
        <v>22.37</v>
      </c>
      <c r="X20" s="96">
        <v>6.12</v>
      </c>
      <c r="Y20" s="96">
        <v>1.84</v>
      </c>
      <c r="Z20" s="97">
        <v>1.84</v>
      </c>
    </row>
    <row r="21" spans="1:26" ht="15" customHeight="1" x14ac:dyDescent="0.25">
      <c r="A21" s="72" t="str">
        <f t="shared" si="7"/>
        <v>SIGMA180x2,5</v>
      </c>
      <c r="B21" s="11" t="str">
        <f t="shared" si="8"/>
        <v>180</v>
      </c>
      <c r="C21" s="3">
        <f t="shared" si="9"/>
        <v>55</v>
      </c>
      <c r="D21" s="3">
        <f t="shared" si="10"/>
        <v>55</v>
      </c>
      <c r="E21" s="3">
        <f t="shared" si="11"/>
        <v>22</v>
      </c>
      <c r="F21" s="134" t="str">
        <f t="shared" si="12"/>
        <v>SIGMA180</v>
      </c>
      <c r="G21" s="81" t="s">
        <v>99</v>
      </c>
      <c r="H21" s="123">
        <v>2.5</v>
      </c>
      <c r="I21" s="96">
        <v>6.45</v>
      </c>
      <c r="J21" s="96">
        <v>8.23</v>
      </c>
      <c r="K21" s="96">
        <v>1.85</v>
      </c>
      <c r="L21" s="96">
        <v>8.23</v>
      </c>
      <c r="M21" s="96">
        <v>371.86</v>
      </c>
      <c r="N21" s="96">
        <v>41.31</v>
      </c>
      <c r="O21" s="96">
        <v>6.72</v>
      </c>
      <c r="P21" s="96">
        <v>9</v>
      </c>
      <c r="Q21" s="96"/>
      <c r="R21" s="96"/>
      <c r="S21" s="96"/>
      <c r="T21" s="96"/>
      <c r="U21" s="96"/>
      <c r="V21" s="96">
        <v>8.23</v>
      </c>
      <c r="W21" s="96">
        <v>28.31</v>
      </c>
      <c r="X21" s="96">
        <v>7.85</v>
      </c>
      <c r="Y21" s="96">
        <v>1.85</v>
      </c>
      <c r="Z21" s="97">
        <v>1.89</v>
      </c>
    </row>
    <row r="22" spans="1:26" ht="15" customHeight="1" thickBot="1" x14ac:dyDescent="0.3">
      <c r="A22" s="126" t="str">
        <f t="shared" si="7"/>
        <v>SIGMA180x3,0</v>
      </c>
      <c r="B22" s="150" t="str">
        <f t="shared" si="8"/>
        <v>180</v>
      </c>
      <c r="C22" s="14">
        <f t="shared" si="9"/>
        <v>55</v>
      </c>
      <c r="D22" s="14">
        <f t="shared" si="10"/>
        <v>55</v>
      </c>
      <c r="E22" s="14">
        <f t="shared" si="11"/>
        <v>24</v>
      </c>
      <c r="F22" s="136" t="str">
        <f t="shared" si="12"/>
        <v>SIGMA180</v>
      </c>
      <c r="G22" s="151" t="s">
        <v>100</v>
      </c>
      <c r="H22" s="230">
        <v>3</v>
      </c>
      <c r="I22" s="108">
        <v>7.78</v>
      </c>
      <c r="J22" s="108">
        <v>9.92</v>
      </c>
      <c r="K22" s="108">
        <v>1.85</v>
      </c>
      <c r="L22" s="108">
        <v>9.92</v>
      </c>
      <c r="M22" s="108">
        <v>444.65</v>
      </c>
      <c r="N22" s="108">
        <v>49.4</v>
      </c>
      <c r="O22" s="108">
        <v>6.69</v>
      </c>
      <c r="P22" s="108">
        <v>9</v>
      </c>
      <c r="Q22" s="108"/>
      <c r="R22" s="108"/>
      <c r="S22" s="108"/>
      <c r="T22" s="108"/>
      <c r="U22" s="108"/>
      <c r="V22" s="108">
        <v>9.92</v>
      </c>
      <c r="W22" s="108">
        <v>34.32</v>
      </c>
      <c r="X22" s="108">
        <v>9.64</v>
      </c>
      <c r="Y22" s="108">
        <v>1.85</v>
      </c>
      <c r="Z22" s="109">
        <v>1.94</v>
      </c>
    </row>
    <row r="23" spans="1:26" ht="15" customHeight="1" x14ac:dyDescent="0.25">
      <c r="A23" s="71" t="str">
        <f t="shared" si="7"/>
        <v>SIGMA200x1,0</v>
      </c>
      <c r="B23" s="10" t="str">
        <f t="shared" si="8"/>
        <v>200</v>
      </c>
      <c r="C23" s="1">
        <f t="shared" si="9"/>
        <v>55</v>
      </c>
      <c r="D23" s="1">
        <f t="shared" si="10"/>
        <v>55</v>
      </c>
      <c r="E23" s="1">
        <f t="shared" si="11"/>
        <v>18</v>
      </c>
      <c r="F23" s="133" t="str">
        <f t="shared" si="12"/>
        <v>SIGMA200</v>
      </c>
      <c r="G23" s="80" t="s">
        <v>101</v>
      </c>
      <c r="H23" s="122">
        <v>1</v>
      </c>
      <c r="I23" s="94">
        <v>2.84</v>
      </c>
      <c r="J23" s="94">
        <v>2.59</v>
      </c>
      <c r="K23" s="94">
        <v>1.89</v>
      </c>
      <c r="L23" s="94">
        <v>2.81</v>
      </c>
      <c r="M23" s="94">
        <v>144.94</v>
      </c>
      <c r="N23" s="94">
        <v>14.49</v>
      </c>
      <c r="O23" s="94">
        <v>7.17</v>
      </c>
      <c r="P23" s="94">
        <v>10</v>
      </c>
      <c r="Q23" s="94"/>
      <c r="R23" s="94"/>
      <c r="S23" s="94"/>
      <c r="T23" s="94"/>
      <c r="U23" s="94"/>
      <c r="V23" s="94">
        <v>2.99</v>
      </c>
      <c r="W23" s="94">
        <v>10.68</v>
      </c>
      <c r="X23" s="94">
        <v>3</v>
      </c>
      <c r="Y23" s="94">
        <v>1.88</v>
      </c>
      <c r="Z23" s="95">
        <v>1.95</v>
      </c>
    </row>
    <row r="24" spans="1:26" ht="15" customHeight="1" x14ac:dyDescent="0.25">
      <c r="A24" s="72" t="str">
        <f t="shared" si="7"/>
        <v>SIGMA200x1,2</v>
      </c>
      <c r="B24" s="11" t="str">
        <f t="shared" si="8"/>
        <v>200</v>
      </c>
      <c r="C24" s="3">
        <f t="shared" si="9"/>
        <v>55</v>
      </c>
      <c r="D24" s="3">
        <f t="shared" si="10"/>
        <v>55</v>
      </c>
      <c r="E24" s="3">
        <f t="shared" si="11"/>
        <v>18</v>
      </c>
      <c r="F24" s="134" t="str">
        <f t="shared" si="12"/>
        <v>SIGMA200</v>
      </c>
      <c r="G24" s="81" t="s">
        <v>101</v>
      </c>
      <c r="H24" s="123">
        <v>1.2</v>
      </c>
      <c r="I24" s="96">
        <v>3.38</v>
      </c>
      <c r="J24" s="96">
        <v>3.41</v>
      </c>
      <c r="K24" s="96">
        <v>1.89</v>
      </c>
      <c r="L24" s="96">
        <v>3.66</v>
      </c>
      <c r="M24" s="96">
        <v>194.22</v>
      </c>
      <c r="N24" s="96">
        <v>19.420000000000002</v>
      </c>
      <c r="O24" s="96">
        <v>7.27</v>
      </c>
      <c r="P24" s="96">
        <v>10</v>
      </c>
      <c r="Q24" s="96"/>
      <c r="R24" s="96"/>
      <c r="S24" s="96"/>
      <c r="T24" s="96"/>
      <c r="U24" s="96"/>
      <c r="V24" s="96">
        <v>3.72</v>
      </c>
      <c r="W24" s="96">
        <v>13.28</v>
      </c>
      <c r="X24" s="96">
        <v>3.68</v>
      </c>
      <c r="Y24" s="96">
        <v>1.88</v>
      </c>
      <c r="Z24" s="97">
        <v>1.89</v>
      </c>
    </row>
    <row r="25" spans="1:26" ht="15" customHeight="1" x14ac:dyDescent="0.25">
      <c r="A25" s="72" t="str">
        <f t="shared" si="7"/>
        <v>SIGMA200x1,5</v>
      </c>
      <c r="B25" s="11" t="str">
        <f t="shared" si="8"/>
        <v>200</v>
      </c>
      <c r="C25" s="3">
        <f t="shared" si="9"/>
        <v>55</v>
      </c>
      <c r="D25" s="3">
        <f t="shared" si="10"/>
        <v>55</v>
      </c>
      <c r="E25" s="3">
        <f t="shared" si="11"/>
        <v>18</v>
      </c>
      <c r="F25" s="134" t="str">
        <f t="shared" si="12"/>
        <v>SIGMA200</v>
      </c>
      <c r="G25" s="81" t="s">
        <v>101</v>
      </c>
      <c r="H25" s="123">
        <v>1.5</v>
      </c>
      <c r="I25" s="96">
        <v>4.07</v>
      </c>
      <c r="J25" s="96">
        <v>4.6399999999999997</v>
      </c>
      <c r="K25" s="96">
        <v>1.86</v>
      </c>
      <c r="L25" s="96">
        <v>4.71</v>
      </c>
      <c r="M25" s="96">
        <v>266.29000000000002</v>
      </c>
      <c r="N25" s="96">
        <v>25.05</v>
      </c>
      <c r="O25" s="96">
        <v>7.51</v>
      </c>
      <c r="P25" s="96">
        <v>9.3699999999999992</v>
      </c>
      <c r="Q25" s="96"/>
      <c r="R25" s="96"/>
      <c r="S25" s="96"/>
      <c r="T25" s="96"/>
      <c r="U25" s="96"/>
      <c r="V25" s="96">
        <v>4.7</v>
      </c>
      <c r="W25" s="96">
        <v>16.11</v>
      </c>
      <c r="X25" s="96">
        <v>4.37</v>
      </c>
      <c r="Y25" s="96">
        <v>1.84</v>
      </c>
      <c r="Z25" s="97">
        <v>1.82</v>
      </c>
    </row>
    <row r="26" spans="1:26" ht="15" customHeight="1" x14ac:dyDescent="0.25">
      <c r="A26" s="72" t="str">
        <f t="shared" si="7"/>
        <v>SIGMA200x2,0</v>
      </c>
      <c r="B26" s="11" t="str">
        <f t="shared" si="8"/>
        <v>200</v>
      </c>
      <c r="C26" s="3">
        <f t="shared" si="9"/>
        <v>55</v>
      </c>
      <c r="D26" s="3">
        <f t="shared" si="10"/>
        <v>55</v>
      </c>
      <c r="E26" s="3">
        <f t="shared" si="11"/>
        <v>20</v>
      </c>
      <c r="F26" s="134" t="str">
        <f t="shared" si="12"/>
        <v>SIGMA200</v>
      </c>
      <c r="G26" s="81" t="s">
        <v>102</v>
      </c>
      <c r="H26" s="123">
        <v>2</v>
      </c>
      <c r="I26" s="96">
        <v>5.45</v>
      </c>
      <c r="J26" s="96">
        <v>6.8</v>
      </c>
      <c r="K26" s="96">
        <v>1.84</v>
      </c>
      <c r="L26" s="96">
        <v>6.83</v>
      </c>
      <c r="M26" s="96">
        <v>379.23</v>
      </c>
      <c r="N26" s="96">
        <v>37.549999999999997</v>
      </c>
      <c r="O26" s="96">
        <v>7.44</v>
      </c>
      <c r="P26" s="96">
        <v>9.9</v>
      </c>
      <c r="Q26" s="96"/>
      <c r="R26" s="96"/>
      <c r="S26" s="96"/>
      <c r="T26" s="96"/>
      <c r="U26" s="96"/>
      <c r="V26" s="96">
        <v>6.8</v>
      </c>
      <c r="W26" s="96">
        <v>23.11</v>
      </c>
      <c r="X26" s="96">
        <v>6.21</v>
      </c>
      <c r="Y26" s="96">
        <v>1.84</v>
      </c>
      <c r="Z26" s="97">
        <v>1.78</v>
      </c>
    </row>
    <row r="27" spans="1:26" ht="15" customHeight="1" x14ac:dyDescent="0.25">
      <c r="A27" s="72" t="str">
        <f t="shared" si="7"/>
        <v>SIGMA200x2,5</v>
      </c>
      <c r="B27" s="11" t="str">
        <f t="shared" si="8"/>
        <v>200</v>
      </c>
      <c r="C27" s="3">
        <f t="shared" si="9"/>
        <v>55</v>
      </c>
      <c r="D27" s="3">
        <f t="shared" si="10"/>
        <v>55</v>
      </c>
      <c r="E27" s="3">
        <f t="shared" si="11"/>
        <v>22</v>
      </c>
      <c r="F27" s="134" t="str">
        <f t="shared" si="12"/>
        <v>SIGMA200</v>
      </c>
      <c r="G27" s="81" t="s">
        <v>103</v>
      </c>
      <c r="H27" s="123">
        <v>2.5</v>
      </c>
      <c r="I27" s="96">
        <v>6.85</v>
      </c>
      <c r="J27" s="96">
        <v>8.73</v>
      </c>
      <c r="K27" s="96">
        <v>1.84</v>
      </c>
      <c r="L27" s="96">
        <v>8.73</v>
      </c>
      <c r="M27" s="96">
        <v>478.11</v>
      </c>
      <c r="N27" s="96">
        <v>47.81</v>
      </c>
      <c r="O27" s="96">
        <v>7.39</v>
      </c>
      <c r="P27" s="96">
        <v>10</v>
      </c>
      <c r="Q27" s="96"/>
      <c r="R27" s="96"/>
      <c r="S27" s="96"/>
      <c r="T27" s="96"/>
      <c r="U27" s="96"/>
      <c r="V27" s="96">
        <v>8.73</v>
      </c>
      <c r="W27" s="96">
        <v>29.79</v>
      </c>
      <c r="X27" s="96">
        <v>8.0299999999999994</v>
      </c>
      <c r="Y27" s="96">
        <v>1.84</v>
      </c>
      <c r="Z27" s="97">
        <v>1.79</v>
      </c>
    </row>
    <row r="28" spans="1:26" ht="15" customHeight="1" thickBot="1" x14ac:dyDescent="0.3">
      <c r="A28" s="73" t="str">
        <f t="shared" si="7"/>
        <v>SIGMA200x3,0</v>
      </c>
      <c r="B28" s="12" t="str">
        <f t="shared" si="8"/>
        <v>200</v>
      </c>
      <c r="C28" s="5">
        <f t="shared" si="9"/>
        <v>55</v>
      </c>
      <c r="D28" s="5">
        <f t="shared" si="10"/>
        <v>55</v>
      </c>
      <c r="E28" s="5">
        <f t="shared" si="11"/>
        <v>24</v>
      </c>
      <c r="F28" s="135" t="str">
        <f t="shared" si="12"/>
        <v>SIGMA200</v>
      </c>
      <c r="G28" s="82" t="s">
        <v>104</v>
      </c>
      <c r="H28" s="124">
        <v>3</v>
      </c>
      <c r="I28" s="98">
        <v>8.25</v>
      </c>
      <c r="J28" s="98">
        <v>10.52</v>
      </c>
      <c r="K28" s="98">
        <v>1.85</v>
      </c>
      <c r="L28" s="98">
        <v>10.52</v>
      </c>
      <c r="M28" s="98">
        <v>572.38</v>
      </c>
      <c r="N28" s="98">
        <v>57.23</v>
      </c>
      <c r="O28" s="98">
        <v>7.37</v>
      </c>
      <c r="P28" s="98">
        <v>10</v>
      </c>
      <c r="Q28" s="98"/>
      <c r="R28" s="98"/>
      <c r="S28" s="98"/>
      <c r="T28" s="98"/>
      <c r="U28" s="98"/>
      <c r="V28" s="98">
        <v>10.52</v>
      </c>
      <c r="W28" s="98">
        <v>36.14</v>
      </c>
      <c r="X28" s="98">
        <v>9.8699999999999992</v>
      </c>
      <c r="Y28" s="98">
        <v>1.85</v>
      </c>
      <c r="Z28" s="99">
        <v>1.84</v>
      </c>
    </row>
    <row r="29" spans="1:26" ht="15" customHeight="1" x14ac:dyDescent="0.25">
      <c r="A29" s="71" t="str">
        <f t="shared" si="7"/>
        <v>SIGMA220x1,5</v>
      </c>
      <c r="B29" s="10" t="str">
        <f>LEFT(G29,3)</f>
        <v>220</v>
      </c>
      <c r="C29" s="1">
        <f t="shared" si="9"/>
        <v>55</v>
      </c>
      <c r="D29" s="1">
        <f t="shared" si="10"/>
        <v>55</v>
      </c>
      <c r="E29" s="1">
        <f t="shared" si="11"/>
        <v>18</v>
      </c>
      <c r="F29" s="133" t="str">
        <f t="shared" si="12"/>
        <v>SIGMA220</v>
      </c>
      <c r="G29" s="80" t="s">
        <v>105</v>
      </c>
      <c r="H29" s="122">
        <v>1.5</v>
      </c>
      <c r="I29" s="94">
        <v>4.3099999999999996</v>
      </c>
      <c r="J29" s="94">
        <v>4.7</v>
      </c>
      <c r="K29" s="94">
        <v>1.85</v>
      </c>
      <c r="L29" s="94">
        <v>4.87</v>
      </c>
      <c r="M29" s="94">
        <v>328.84</v>
      </c>
      <c r="N29" s="94">
        <v>27.77</v>
      </c>
      <c r="O29" s="94">
        <v>8.2100000000000009</v>
      </c>
      <c r="P29" s="94">
        <v>10.16</v>
      </c>
      <c r="Q29" s="94"/>
      <c r="R29" s="94"/>
      <c r="S29" s="94"/>
      <c r="T29" s="94"/>
      <c r="U29" s="94"/>
      <c r="V29" s="94">
        <v>4.7699999999999996</v>
      </c>
      <c r="W29" s="94">
        <v>16.29</v>
      </c>
      <c r="X29" s="94">
        <v>4.4000000000000004</v>
      </c>
      <c r="Y29" s="94">
        <v>1.84</v>
      </c>
      <c r="Z29" s="95">
        <v>1.8</v>
      </c>
    </row>
    <row r="30" spans="1:26" ht="15" customHeight="1" x14ac:dyDescent="0.25">
      <c r="A30" s="72" t="str">
        <f t="shared" si="7"/>
        <v>SIGMA220x2,0</v>
      </c>
      <c r="B30" s="11" t="str">
        <f t="shared" ref="B30:B38" si="13">LEFT(G30,3)</f>
        <v>220</v>
      </c>
      <c r="C30" s="3">
        <f t="shared" si="9"/>
        <v>55</v>
      </c>
      <c r="D30" s="3">
        <f t="shared" si="10"/>
        <v>55</v>
      </c>
      <c r="E30" s="3">
        <f t="shared" si="11"/>
        <v>20</v>
      </c>
      <c r="F30" s="134" t="str">
        <f t="shared" si="12"/>
        <v>SIGMA220</v>
      </c>
      <c r="G30" s="81" t="s">
        <v>106</v>
      </c>
      <c r="H30" s="123">
        <v>2</v>
      </c>
      <c r="I30" s="96">
        <v>5.77</v>
      </c>
      <c r="J30" s="96">
        <v>6.94</v>
      </c>
      <c r="K30" s="96">
        <v>1.83</v>
      </c>
      <c r="L30" s="96">
        <v>7.06</v>
      </c>
      <c r="M30" s="96">
        <v>469.22</v>
      </c>
      <c r="N30" s="96">
        <v>41.66</v>
      </c>
      <c r="O30" s="96">
        <v>8.15</v>
      </c>
      <c r="P30" s="96">
        <v>10.74</v>
      </c>
      <c r="Q30" s="96"/>
      <c r="R30" s="96"/>
      <c r="S30" s="96"/>
      <c r="T30" s="96"/>
      <c r="U30" s="96"/>
      <c r="V30" s="96">
        <v>6.94</v>
      </c>
      <c r="W30" s="96">
        <v>23.51</v>
      </c>
      <c r="X30" s="96">
        <v>6.26</v>
      </c>
      <c r="Y30" s="96">
        <v>1.83</v>
      </c>
      <c r="Z30" s="97">
        <v>1.75</v>
      </c>
    </row>
    <row r="31" spans="1:26" ht="15" customHeight="1" x14ac:dyDescent="0.25">
      <c r="A31" s="72" t="str">
        <f t="shared" si="7"/>
        <v>SIGMA220x2,5</v>
      </c>
      <c r="B31" s="11" t="str">
        <f t="shared" si="13"/>
        <v>220</v>
      </c>
      <c r="C31" s="3">
        <f t="shared" si="9"/>
        <v>55</v>
      </c>
      <c r="D31" s="3">
        <f t="shared" si="10"/>
        <v>55</v>
      </c>
      <c r="E31" s="3">
        <f t="shared" si="11"/>
        <v>22</v>
      </c>
      <c r="F31" s="134" t="str">
        <f t="shared" si="12"/>
        <v>SIGMA220</v>
      </c>
      <c r="G31" s="81" t="s">
        <v>107</v>
      </c>
      <c r="H31" s="123">
        <v>2.5</v>
      </c>
      <c r="I31" s="96">
        <v>7.24</v>
      </c>
      <c r="J31" s="96">
        <v>9.16</v>
      </c>
      <c r="K31" s="96">
        <v>1.83</v>
      </c>
      <c r="L31" s="96">
        <v>9.23</v>
      </c>
      <c r="M31" s="96">
        <v>601.11</v>
      </c>
      <c r="N31" s="96">
        <v>54.64</v>
      </c>
      <c r="O31" s="96">
        <v>8.06</v>
      </c>
      <c r="P31" s="96">
        <v>11</v>
      </c>
      <c r="Q31" s="96"/>
      <c r="R31" s="96"/>
      <c r="S31" s="96"/>
      <c r="T31" s="96"/>
      <c r="U31" s="96"/>
      <c r="V31" s="96">
        <v>9.16</v>
      </c>
      <c r="W31" s="96">
        <v>30.94</v>
      </c>
      <c r="X31" s="96">
        <v>8.17</v>
      </c>
      <c r="Y31" s="96">
        <v>1.83</v>
      </c>
      <c r="Z31" s="97">
        <v>1.71</v>
      </c>
    </row>
    <row r="32" spans="1:26" ht="15" customHeight="1" thickBot="1" x14ac:dyDescent="0.3">
      <c r="A32" s="126" t="str">
        <f t="shared" si="7"/>
        <v>SIGMA220x3,0</v>
      </c>
      <c r="B32" s="150" t="str">
        <f t="shared" si="13"/>
        <v>220</v>
      </c>
      <c r="C32" s="14">
        <f t="shared" si="9"/>
        <v>55</v>
      </c>
      <c r="D32" s="14">
        <f t="shared" si="10"/>
        <v>55</v>
      </c>
      <c r="E32" s="14">
        <f t="shared" si="11"/>
        <v>24</v>
      </c>
      <c r="F32" s="136" t="str">
        <f t="shared" si="12"/>
        <v>SIGMA220</v>
      </c>
      <c r="G32" s="151" t="s">
        <v>108</v>
      </c>
      <c r="H32" s="230">
        <v>3</v>
      </c>
      <c r="I32" s="108">
        <v>8.7200000000000006</v>
      </c>
      <c r="J32" s="108">
        <v>11.12</v>
      </c>
      <c r="K32" s="108">
        <v>1.84</v>
      </c>
      <c r="L32" s="108">
        <v>11.12</v>
      </c>
      <c r="M32" s="108">
        <v>720.3</v>
      </c>
      <c r="N32" s="108">
        <v>65.48</v>
      </c>
      <c r="O32" s="108">
        <v>8.0399999999999991</v>
      </c>
      <c r="P32" s="108">
        <v>11</v>
      </c>
      <c r="Q32" s="108"/>
      <c r="R32" s="108"/>
      <c r="S32" s="108"/>
      <c r="T32" s="108"/>
      <c r="U32" s="108"/>
      <c r="V32" s="108">
        <v>11.12</v>
      </c>
      <c r="W32" s="108">
        <v>37.770000000000003</v>
      </c>
      <c r="X32" s="108">
        <v>10.06</v>
      </c>
      <c r="Y32" s="108">
        <v>1.84</v>
      </c>
      <c r="Z32" s="109">
        <v>1.75</v>
      </c>
    </row>
    <row r="33" spans="1:26" ht="15" customHeight="1" x14ac:dyDescent="0.25">
      <c r="A33" s="71" t="str">
        <f t="shared" si="7"/>
        <v>SIGMA250x1,0</v>
      </c>
      <c r="B33" s="10" t="str">
        <f t="shared" si="13"/>
        <v>250</v>
      </c>
      <c r="C33" s="1">
        <f t="shared" si="9"/>
        <v>66</v>
      </c>
      <c r="D33" s="1">
        <f t="shared" si="10"/>
        <v>66</v>
      </c>
      <c r="E33" s="1">
        <f t="shared" si="11"/>
        <v>20</v>
      </c>
      <c r="F33" s="133" t="str">
        <f t="shared" si="12"/>
        <v>SIGMA250</v>
      </c>
      <c r="G33" s="80" t="s">
        <v>109</v>
      </c>
      <c r="H33" s="122">
        <v>1</v>
      </c>
      <c r="I33" s="94">
        <v>3.46</v>
      </c>
      <c r="J33" s="94">
        <v>2.68</v>
      </c>
      <c r="K33" s="94">
        <v>2.38</v>
      </c>
      <c r="L33" s="94">
        <v>2.97</v>
      </c>
      <c r="M33" s="94">
        <v>237.66</v>
      </c>
      <c r="N33" s="94">
        <v>19.010000000000002</v>
      </c>
      <c r="O33" s="94">
        <v>8.94</v>
      </c>
      <c r="P33" s="94">
        <v>12.5</v>
      </c>
      <c r="Q33" s="94"/>
      <c r="R33" s="94"/>
      <c r="S33" s="94"/>
      <c r="T33" s="94"/>
      <c r="U33" s="94"/>
      <c r="V33" s="94">
        <v>3.29</v>
      </c>
      <c r="W33" s="94">
        <v>18.350000000000001</v>
      </c>
      <c r="X33" s="94">
        <v>4.32</v>
      </c>
      <c r="Y33" s="94">
        <v>2.35</v>
      </c>
      <c r="Z33" s="95">
        <v>2.36</v>
      </c>
    </row>
    <row r="34" spans="1:26" ht="15" customHeight="1" x14ac:dyDescent="0.25">
      <c r="A34" s="72" t="str">
        <f t="shared" si="7"/>
        <v>SIGMA250x1,2</v>
      </c>
      <c r="B34" s="11" t="str">
        <f t="shared" si="13"/>
        <v>250</v>
      </c>
      <c r="C34" s="3">
        <f t="shared" si="9"/>
        <v>66</v>
      </c>
      <c r="D34" s="3">
        <f t="shared" si="10"/>
        <v>66</v>
      </c>
      <c r="E34" s="3">
        <f t="shared" si="11"/>
        <v>20</v>
      </c>
      <c r="F34" s="134" t="str">
        <f t="shared" si="12"/>
        <v>SIGMA250</v>
      </c>
      <c r="G34" s="81" t="s">
        <v>109</v>
      </c>
      <c r="H34" s="123">
        <v>1.2</v>
      </c>
      <c r="I34" s="96">
        <v>4.1100000000000003</v>
      </c>
      <c r="J34" s="96">
        <v>3.57</v>
      </c>
      <c r="K34" s="96">
        <v>2.38</v>
      </c>
      <c r="L34" s="96">
        <v>3.89</v>
      </c>
      <c r="M34" s="96">
        <v>319.55</v>
      </c>
      <c r="N34" s="96">
        <v>25.56</v>
      </c>
      <c r="O34" s="96">
        <v>9.0500000000000007</v>
      </c>
      <c r="P34" s="96">
        <v>12.5</v>
      </c>
      <c r="Q34" s="96"/>
      <c r="R34" s="96"/>
      <c r="S34" s="96"/>
      <c r="T34" s="96"/>
      <c r="U34" s="96"/>
      <c r="V34" s="96">
        <v>4.0999999999999996</v>
      </c>
      <c r="W34" s="96">
        <v>22.75</v>
      </c>
      <c r="X34" s="96">
        <v>5.26</v>
      </c>
      <c r="Y34" s="96">
        <v>2.35</v>
      </c>
      <c r="Z34" s="97">
        <v>2.2799999999999998</v>
      </c>
    </row>
    <row r="35" spans="1:26" ht="15" customHeight="1" x14ac:dyDescent="0.25">
      <c r="A35" s="72" t="str">
        <f t="shared" si="7"/>
        <v>SIGMA250x2,0</v>
      </c>
      <c r="B35" s="11" t="str">
        <f t="shared" si="13"/>
        <v>250</v>
      </c>
      <c r="C35" s="3">
        <f t="shared" si="9"/>
        <v>66</v>
      </c>
      <c r="D35" s="3">
        <f t="shared" si="10"/>
        <v>66</v>
      </c>
      <c r="E35" s="3">
        <f t="shared" si="11"/>
        <v>20</v>
      </c>
      <c r="F35" s="134" t="str">
        <f t="shared" si="12"/>
        <v>SIGMA250</v>
      </c>
      <c r="G35" s="81" t="s">
        <v>109</v>
      </c>
      <c r="H35" s="123">
        <v>2</v>
      </c>
      <c r="I35" s="96">
        <v>6.58</v>
      </c>
      <c r="J35" s="96">
        <v>7.46</v>
      </c>
      <c r="K35" s="96">
        <v>2.23</v>
      </c>
      <c r="L35" s="96">
        <v>7.78</v>
      </c>
      <c r="M35" s="96">
        <v>685.49</v>
      </c>
      <c r="N35" s="96">
        <v>52.41</v>
      </c>
      <c r="O35" s="96">
        <v>9.3800000000000008</v>
      </c>
      <c r="P35" s="96">
        <v>11.92</v>
      </c>
      <c r="Q35" s="96"/>
      <c r="R35" s="96"/>
      <c r="S35" s="96"/>
      <c r="T35" s="96"/>
      <c r="U35" s="96"/>
      <c r="V35" s="96">
        <v>7.5</v>
      </c>
      <c r="W35" s="96">
        <v>37.19</v>
      </c>
      <c r="X35" s="96">
        <v>8.17</v>
      </c>
      <c r="Y35" s="96">
        <v>2.2200000000000002</v>
      </c>
      <c r="Z35" s="97">
        <v>2.0499999999999998</v>
      </c>
    </row>
    <row r="36" spans="1:26" ht="15" customHeight="1" x14ac:dyDescent="0.25">
      <c r="A36" s="72" t="str">
        <f t="shared" si="7"/>
        <v>SIGMA250x2,5</v>
      </c>
      <c r="B36" s="11" t="str">
        <f t="shared" si="13"/>
        <v>250</v>
      </c>
      <c r="C36" s="3">
        <f t="shared" si="9"/>
        <v>67</v>
      </c>
      <c r="D36" s="3">
        <f t="shared" si="10"/>
        <v>67</v>
      </c>
      <c r="E36" s="3">
        <f t="shared" si="11"/>
        <v>20</v>
      </c>
      <c r="F36" s="134" t="str">
        <f t="shared" si="12"/>
        <v>SIGMA250</v>
      </c>
      <c r="G36" s="81" t="s">
        <v>110</v>
      </c>
      <c r="H36" s="123">
        <v>2.5</v>
      </c>
      <c r="I36" s="96">
        <v>8.2200000000000006</v>
      </c>
      <c r="J36" s="96">
        <v>9.9600000000000009</v>
      </c>
      <c r="K36" s="96">
        <v>2.21</v>
      </c>
      <c r="L36" s="96">
        <v>10.29</v>
      </c>
      <c r="M36" s="96">
        <v>890.12</v>
      </c>
      <c r="N36" s="96">
        <v>70.45</v>
      </c>
      <c r="O36" s="96">
        <v>9.2899999999999991</v>
      </c>
      <c r="P36" s="96">
        <v>12.37</v>
      </c>
      <c r="Q36" s="96"/>
      <c r="R36" s="96"/>
      <c r="S36" s="96"/>
      <c r="T36" s="96"/>
      <c r="U36" s="96"/>
      <c r="V36" s="96">
        <v>9.9600000000000009</v>
      </c>
      <c r="W36" s="96">
        <v>49.01</v>
      </c>
      <c r="X36" s="96">
        <v>10.39</v>
      </c>
      <c r="Y36" s="96">
        <v>2.21</v>
      </c>
      <c r="Z36" s="97">
        <v>1.99</v>
      </c>
    </row>
    <row r="37" spans="1:26" ht="15" customHeight="1" x14ac:dyDescent="0.25">
      <c r="A37" s="72" t="str">
        <f t="shared" si="7"/>
        <v>SIGMA250x3,0</v>
      </c>
      <c r="B37" s="11" t="str">
        <f t="shared" si="13"/>
        <v>250</v>
      </c>
      <c r="C37" s="3">
        <f t="shared" si="9"/>
        <v>68</v>
      </c>
      <c r="D37" s="3">
        <f t="shared" si="10"/>
        <v>68</v>
      </c>
      <c r="E37" s="3">
        <f t="shared" si="11"/>
        <v>20</v>
      </c>
      <c r="F37" s="134" t="str">
        <f t="shared" si="12"/>
        <v>SIGMA250</v>
      </c>
      <c r="G37" s="81" t="s">
        <v>111</v>
      </c>
      <c r="H37" s="123">
        <v>3</v>
      </c>
      <c r="I37" s="96">
        <v>9.85</v>
      </c>
      <c r="J37" s="96">
        <v>12.46</v>
      </c>
      <c r="K37" s="96">
        <v>2.21</v>
      </c>
      <c r="L37" s="96">
        <v>12.56</v>
      </c>
      <c r="M37" s="96">
        <v>1076.17</v>
      </c>
      <c r="N37" s="96">
        <v>86.09</v>
      </c>
      <c r="O37" s="96">
        <v>9.25</v>
      </c>
      <c r="P37" s="96">
        <v>12.5</v>
      </c>
      <c r="Q37" s="96"/>
      <c r="R37" s="96"/>
      <c r="S37" s="96"/>
      <c r="T37" s="96"/>
      <c r="U37" s="96"/>
      <c r="V37" s="96">
        <v>12.46</v>
      </c>
      <c r="W37" s="96">
        <v>61.12</v>
      </c>
      <c r="X37" s="96">
        <v>12.58</v>
      </c>
      <c r="Y37" s="96">
        <v>2.21</v>
      </c>
      <c r="Z37" s="97">
        <v>1.94</v>
      </c>
    </row>
    <row r="38" spans="1:26" ht="15" customHeight="1" thickBot="1" x14ac:dyDescent="0.3">
      <c r="A38" s="73" t="str">
        <f t="shared" si="7"/>
        <v>SIGMA250x3,5</v>
      </c>
      <c r="B38" s="12" t="str">
        <f t="shared" si="13"/>
        <v>250</v>
      </c>
      <c r="C38" s="5">
        <f t="shared" si="9"/>
        <v>69</v>
      </c>
      <c r="D38" s="5">
        <f t="shared" si="10"/>
        <v>69</v>
      </c>
      <c r="E38" s="5">
        <f t="shared" si="11"/>
        <v>20</v>
      </c>
      <c r="F38" s="135" t="str">
        <f t="shared" si="12"/>
        <v>SIGMA250</v>
      </c>
      <c r="G38" s="82" t="s">
        <v>112</v>
      </c>
      <c r="H38" s="124">
        <v>3.5</v>
      </c>
      <c r="I38" s="98">
        <v>11.48</v>
      </c>
      <c r="J38" s="98">
        <v>14.64</v>
      </c>
      <c r="K38" s="98">
        <v>2.2200000000000002</v>
      </c>
      <c r="L38" s="98">
        <v>14.64</v>
      </c>
      <c r="M38" s="98">
        <v>1250.68</v>
      </c>
      <c r="N38" s="98">
        <v>100.05</v>
      </c>
      <c r="O38" s="98">
        <v>9.24</v>
      </c>
      <c r="P38" s="98">
        <v>12.5</v>
      </c>
      <c r="Q38" s="98"/>
      <c r="R38" s="98"/>
      <c r="S38" s="98"/>
      <c r="T38" s="98"/>
      <c r="U38" s="98"/>
      <c r="V38" s="98">
        <v>14.64</v>
      </c>
      <c r="W38" s="98">
        <v>72.37</v>
      </c>
      <c r="X38" s="98">
        <v>14.66</v>
      </c>
      <c r="Y38" s="98">
        <v>2.2200000000000002</v>
      </c>
      <c r="Z38" s="99">
        <v>1.97</v>
      </c>
    </row>
    <row r="39" spans="1:26" ht="15" customHeight="1" x14ac:dyDescent="0.25">
      <c r="A39" s="71" t="str">
        <f t="shared" ref="A39:A51" si="14">CONCATENATE(F39,"x",(IF(H39=INT(H39),CONCATENATE(H39,",",0),H39)))</f>
        <v>SIGMA300x2,0</v>
      </c>
      <c r="B39" s="10" t="str">
        <f t="shared" ref="B39:B45" si="15">LEFT(G39,3)</f>
        <v>300</v>
      </c>
      <c r="C39" s="1">
        <f t="shared" ref="C39:C51" si="16">VALUE(MID(G39,(SEARCH("/",G39,1)+1),(SEARCH("/",G39,(SEARCH("/",G39,1)+1))-SEARCH("/",G39,1)-1)))</f>
        <v>91</v>
      </c>
      <c r="D39" s="1">
        <f t="shared" ref="D39:D51" si="17">VALUE(MID(G39,(SEARCH("/",G39,(SEARCH("/",G39,1)+1))+1),(SEARCH("/",G39,SEARCH("/",G39,(SEARCH("/",G39,1)+1))+1))-(SEARCH("/",G39,(SEARCH("/",G39,1)+1))+1)))</f>
        <v>91</v>
      </c>
      <c r="E39" s="1">
        <f t="shared" ref="E39:E51" si="18">VALUE(MID(G39,(SEARCH("/",G39,SEARCH("/",G39,(SEARCH("/",G39,1)+1))+1)+1),4))</f>
        <v>20</v>
      </c>
      <c r="F39" s="133" t="str">
        <f t="shared" ref="F39:F51" si="19">CONCATENATE("SIGMA",LEFT(G39,3))</f>
        <v>SIGMA300</v>
      </c>
      <c r="G39" s="80" t="s">
        <v>113</v>
      </c>
      <c r="H39" s="122">
        <v>2</v>
      </c>
      <c r="I39" s="94">
        <v>8.15</v>
      </c>
      <c r="J39" s="94">
        <v>7.93</v>
      </c>
      <c r="K39" s="94">
        <v>3.2</v>
      </c>
      <c r="L39" s="94">
        <v>8.8699999999999992</v>
      </c>
      <c r="M39" s="94">
        <v>1154.8599999999999</v>
      </c>
      <c r="N39" s="94">
        <v>69.23</v>
      </c>
      <c r="O39" s="94">
        <v>11.4</v>
      </c>
      <c r="P39" s="94">
        <v>13.32</v>
      </c>
      <c r="Q39" s="94"/>
      <c r="R39" s="94"/>
      <c r="S39" s="94"/>
      <c r="T39" s="94"/>
      <c r="U39" s="94"/>
      <c r="V39" s="94">
        <v>8.32</v>
      </c>
      <c r="W39" s="94">
        <v>83.03</v>
      </c>
      <c r="X39" s="94">
        <v>13.14</v>
      </c>
      <c r="Y39" s="94">
        <v>3.15</v>
      </c>
      <c r="Z39" s="95">
        <v>2.79</v>
      </c>
    </row>
    <row r="40" spans="1:26" ht="15" customHeight="1" x14ac:dyDescent="0.25">
      <c r="A40" s="72" t="str">
        <f t="shared" si="14"/>
        <v>SIGMA300x2,5</v>
      </c>
      <c r="B40" s="11" t="str">
        <f t="shared" si="15"/>
        <v>300</v>
      </c>
      <c r="C40" s="3">
        <f t="shared" si="16"/>
        <v>92</v>
      </c>
      <c r="D40" s="3">
        <f t="shared" si="17"/>
        <v>92</v>
      </c>
      <c r="E40" s="3">
        <f t="shared" si="18"/>
        <v>20</v>
      </c>
      <c r="F40" s="134" t="str">
        <f t="shared" si="19"/>
        <v>SIGMA300</v>
      </c>
      <c r="G40" s="81" t="s">
        <v>114</v>
      </c>
      <c r="H40" s="123">
        <v>2.5</v>
      </c>
      <c r="I40" s="96">
        <v>10.18</v>
      </c>
      <c r="J40" s="96">
        <v>11.09</v>
      </c>
      <c r="K40" s="96">
        <v>3.13</v>
      </c>
      <c r="L40" s="96">
        <v>11.97</v>
      </c>
      <c r="M40" s="96">
        <v>1559.22</v>
      </c>
      <c r="N40" s="96">
        <v>98.49</v>
      </c>
      <c r="O40" s="96">
        <v>11.41</v>
      </c>
      <c r="P40" s="96">
        <v>14.17</v>
      </c>
      <c r="Q40" s="96"/>
      <c r="R40" s="96"/>
      <c r="S40" s="96"/>
      <c r="T40" s="96"/>
      <c r="U40" s="96"/>
      <c r="V40" s="96">
        <v>11.31</v>
      </c>
      <c r="W40" s="96">
        <v>110.03</v>
      </c>
      <c r="X40" s="96">
        <v>16.940000000000001</v>
      </c>
      <c r="Y40" s="96">
        <v>3.11</v>
      </c>
      <c r="Z40" s="97">
        <v>2.71</v>
      </c>
    </row>
    <row r="41" spans="1:26" ht="15" customHeight="1" x14ac:dyDescent="0.25">
      <c r="A41" s="72" t="str">
        <f t="shared" si="14"/>
        <v>SIGMA300x3,0</v>
      </c>
      <c r="B41" s="11" t="str">
        <f t="shared" si="15"/>
        <v>300</v>
      </c>
      <c r="C41" s="3">
        <f t="shared" si="16"/>
        <v>93</v>
      </c>
      <c r="D41" s="3">
        <f t="shared" si="17"/>
        <v>93</v>
      </c>
      <c r="E41" s="3">
        <f t="shared" si="18"/>
        <v>20</v>
      </c>
      <c r="F41" s="134" t="str">
        <f t="shared" si="19"/>
        <v>SIGMA300</v>
      </c>
      <c r="G41" s="81" t="s">
        <v>115</v>
      </c>
      <c r="H41" s="123">
        <v>3</v>
      </c>
      <c r="I41" s="96">
        <v>12.21</v>
      </c>
      <c r="J41" s="96">
        <v>14.49</v>
      </c>
      <c r="K41" s="96">
        <v>3.08</v>
      </c>
      <c r="L41" s="96">
        <v>15.27</v>
      </c>
      <c r="M41" s="96">
        <v>1976.87</v>
      </c>
      <c r="N41" s="96">
        <v>130.30000000000001</v>
      </c>
      <c r="O41" s="96">
        <v>11.37</v>
      </c>
      <c r="P41" s="96">
        <v>14.83</v>
      </c>
      <c r="Q41" s="96"/>
      <c r="R41" s="96"/>
      <c r="S41" s="96"/>
      <c r="T41" s="96"/>
      <c r="U41" s="96"/>
      <c r="V41" s="96">
        <v>14.5</v>
      </c>
      <c r="W41" s="96">
        <v>138.27000000000001</v>
      </c>
      <c r="X41" s="96">
        <v>20.8</v>
      </c>
      <c r="Y41" s="96">
        <v>3.08</v>
      </c>
      <c r="Z41" s="97">
        <v>2.66</v>
      </c>
    </row>
    <row r="42" spans="1:26" ht="15" customHeight="1" thickBot="1" x14ac:dyDescent="0.3">
      <c r="A42" s="73" t="str">
        <f t="shared" si="14"/>
        <v>SIGMA300x3,5</v>
      </c>
      <c r="B42" s="12" t="str">
        <f t="shared" si="15"/>
        <v>300</v>
      </c>
      <c r="C42" s="14">
        <f t="shared" si="16"/>
        <v>94</v>
      </c>
      <c r="D42" s="14">
        <f t="shared" si="17"/>
        <v>94</v>
      </c>
      <c r="E42" s="14">
        <f t="shared" si="18"/>
        <v>20</v>
      </c>
      <c r="F42" s="136" t="str">
        <f t="shared" si="19"/>
        <v>SIGMA300</v>
      </c>
      <c r="G42" s="82" t="s">
        <v>116</v>
      </c>
      <c r="H42" s="124">
        <v>3.5</v>
      </c>
      <c r="I42" s="98">
        <v>14.23</v>
      </c>
      <c r="J42" s="98">
        <v>17.600000000000001</v>
      </c>
      <c r="K42" s="98">
        <v>3.07</v>
      </c>
      <c r="L42" s="98">
        <v>18.14</v>
      </c>
      <c r="M42" s="98">
        <v>2327.27</v>
      </c>
      <c r="N42" s="98">
        <v>155.15</v>
      </c>
      <c r="O42" s="98">
        <v>11.32</v>
      </c>
      <c r="P42" s="98">
        <v>15</v>
      </c>
      <c r="Q42" s="98"/>
      <c r="R42" s="98"/>
      <c r="S42" s="98"/>
      <c r="T42" s="98"/>
      <c r="U42" s="98"/>
      <c r="V42" s="98">
        <v>17.600000000000001</v>
      </c>
      <c r="W42" s="98">
        <v>166.5</v>
      </c>
      <c r="X42" s="98">
        <v>24.47</v>
      </c>
      <c r="Y42" s="98">
        <v>3.07</v>
      </c>
      <c r="Z42" s="99">
        <v>2.6</v>
      </c>
    </row>
    <row r="43" spans="1:26" ht="15" customHeight="1" x14ac:dyDescent="0.25">
      <c r="A43" s="129" t="str">
        <f t="shared" si="14"/>
        <v>SIGMA350x2,0</v>
      </c>
      <c r="B43" s="10" t="str">
        <f t="shared" si="15"/>
        <v>350</v>
      </c>
      <c r="C43" s="59">
        <f t="shared" si="16"/>
        <v>100</v>
      </c>
      <c r="D43" s="59">
        <f t="shared" si="17"/>
        <v>100</v>
      </c>
      <c r="E43" s="59">
        <f t="shared" si="18"/>
        <v>20</v>
      </c>
      <c r="F43" s="133" t="str">
        <f t="shared" si="19"/>
        <v>SIGMA350</v>
      </c>
      <c r="G43" s="80" t="s">
        <v>117</v>
      </c>
      <c r="H43" s="122">
        <v>2</v>
      </c>
      <c r="I43" s="94">
        <v>9.2200000000000006</v>
      </c>
      <c r="J43" s="94">
        <v>8.11</v>
      </c>
      <c r="K43" s="94">
        <v>3.56</v>
      </c>
      <c r="L43" s="94">
        <v>9.56</v>
      </c>
      <c r="M43" s="94">
        <v>1670.77</v>
      </c>
      <c r="N43" s="94">
        <v>83.28</v>
      </c>
      <c r="O43" s="94">
        <v>13.21</v>
      </c>
      <c r="P43" s="94">
        <v>14.94</v>
      </c>
      <c r="Q43" s="94"/>
      <c r="R43" s="94"/>
      <c r="S43" s="94"/>
      <c r="T43" s="94"/>
      <c r="U43" s="94"/>
      <c r="V43" s="94">
        <v>8.64</v>
      </c>
      <c r="W43" s="94">
        <v>105.75</v>
      </c>
      <c r="X43" s="94">
        <v>15.19</v>
      </c>
      <c r="Y43" s="94">
        <v>3.49</v>
      </c>
      <c r="Z43" s="95">
        <v>3.04</v>
      </c>
    </row>
    <row r="44" spans="1:26" ht="15" customHeight="1" x14ac:dyDescent="0.25">
      <c r="A44" s="72" t="str">
        <f t="shared" si="14"/>
        <v>SIGMA350x2,5</v>
      </c>
      <c r="B44" s="11" t="str">
        <f t="shared" si="15"/>
        <v>350</v>
      </c>
      <c r="C44" s="3">
        <f t="shared" si="16"/>
        <v>100</v>
      </c>
      <c r="D44" s="3">
        <f t="shared" si="17"/>
        <v>100</v>
      </c>
      <c r="E44" s="3">
        <f t="shared" si="18"/>
        <v>22</v>
      </c>
      <c r="F44" s="134" t="str">
        <f t="shared" si="19"/>
        <v>SIGMA350</v>
      </c>
      <c r="G44" s="81" t="s">
        <v>118</v>
      </c>
      <c r="H44" s="123">
        <v>2.5</v>
      </c>
      <c r="I44" s="96">
        <v>11.56</v>
      </c>
      <c r="J44" s="96">
        <v>11.52</v>
      </c>
      <c r="K44" s="96">
        <v>3.48</v>
      </c>
      <c r="L44" s="96">
        <v>12.96</v>
      </c>
      <c r="M44" s="96">
        <v>2284.23</v>
      </c>
      <c r="N44" s="96">
        <v>120.05</v>
      </c>
      <c r="O44" s="96">
        <v>13.27</v>
      </c>
      <c r="P44" s="96">
        <v>15.97</v>
      </c>
      <c r="Q44" s="96"/>
      <c r="R44" s="96"/>
      <c r="S44" s="96"/>
      <c r="T44" s="96"/>
      <c r="U44" s="96"/>
      <c r="V44" s="96">
        <v>11.89</v>
      </c>
      <c r="W44" s="96">
        <v>141.86000000000001</v>
      </c>
      <c r="X44" s="96">
        <v>20.18</v>
      </c>
      <c r="Y44" s="96">
        <v>3.45</v>
      </c>
      <c r="Z44" s="97">
        <v>2.97</v>
      </c>
    </row>
    <row r="45" spans="1:26" ht="15" customHeight="1" x14ac:dyDescent="0.25">
      <c r="A45" s="72" t="str">
        <f t="shared" si="14"/>
        <v>SIGMA350x3,0</v>
      </c>
      <c r="B45" s="11" t="str">
        <f t="shared" si="15"/>
        <v>350</v>
      </c>
      <c r="C45" s="3">
        <f t="shared" si="16"/>
        <v>100</v>
      </c>
      <c r="D45" s="3">
        <f t="shared" si="17"/>
        <v>100</v>
      </c>
      <c r="E45" s="3">
        <f t="shared" si="18"/>
        <v>24</v>
      </c>
      <c r="F45" s="134" t="str">
        <f t="shared" si="19"/>
        <v>SIGMA350</v>
      </c>
      <c r="G45" s="81" t="s">
        <v>119</v>
      </c>
      <c r="H45" s="123">
        <v>3</v>
      </c>
      <c r="I45" s="96">
        <v>13.9</v>
      </c>
      <c r="J45" s="96">
        <v>15.27</v>
      </c>
      <c r="K45" s="96">
        <v>3.42</v>
      </c>
      <c r="L45" s="96">
        <v>16.64</v>
      </c>
      <c r="M45" s="96">
        <v>2926.16</v>
      </c>
      <c r="N45" s="96">
        <v>160.71</v>
      </c>
      <c r="O45" s="96">
        <v>13.25</v>
      </c>
      <c r="P45" s="96">
        <v>16.79</v>
      </c>
      <c r="Q45" s="96"/>
      <c r="R45" s="96"/>
      <c r="S45" s="96"/>
      <c r="T45" s="96"/>
      <c r="U45" s="96"/>
      <c r="V45" s="96">
        <v>15.4</v>
      </c>
      <c r="W45" s="96">
        <v>180.15</v>
      </c>
      <c r="X45" s="96">
        <v>25.44</v>
      </c>
      <c r="Y45" s="96">
        <v>3.41</v>
      </c>
      <c r="Z45" s="97">
        <v>2.92</v>
      </c>
    </row>
    <row r="46" spans="1:26" ht="15" customHeight="1" thickBot="1" x14ac:dyDescent="0.3">
      <c r="A46" s="126" t="str">
        <f t="shared" si="14"/>
        <v>SIGMA350x3,5</v>
      </c>
      <c r="B46" s="12" t="str">
        <f t="shared" ref="B46:B51" si="20">LEFT(G46,3)</f>
        <v>350</v>
      </c>
      <c r="C46" s="14">
        <f t="shared" si="16"/>
        <v>100</v>
      </c>
      <c r="D46" s="14">
        <f t="shared" si="17"/>
        <v>100</v>
      </c>
      <c r="E46" s="14">
        <f t="shared" si="18"/>
        <v>26</v>
      </c>
      <c r="F46" s="135" t="str">
        <f t="shared" si="19"/>
        <v>SIGMA350</v>
      </c>
      <c r="G46" s="82" t="s">
        <v>120</v>
      </c>
      <c r="H46" s="124">
        <v>3.5</v>
      </c>
      <c r="I46" s="98">
        <v>16.260000000000002</v>
      </c>
      <c r="J46" s="98">
        <v>19</v>
      </c>
      <c r="K46" s="98">
        <v>3.39</v>
      </c>
      <c r="L46" s="98">
        <v>20.34</v>
      </c>
      <c r="M46" s="98">
        <v>3540.79</v>
      </c>
      <c r="N46" s="98">
        <v>200.11</v>
      </c>
      <c r="O46" s="98">
        <v>13.19</v>
      </c>
      <c r="P46" s="98">
        <v>17.309999999999999</v>
      </c>
      <c r="Q46" s="98"/>
      <c r="R46" s="98"/>
      <c r="S46" s="98"/>
      <c r="T46" s="98"/>
      <c r="U46" s="98"/>
      <c r="V46" s="98">
        <v>19</v>
      </c>
      <c r="W46" s="98">
        <v>219.67</v>
      </c>
      <c r="X46" s="98">
        <v>30.82</v>
      </c>
      <c r="Y46" s="98">
        <v>3.39</v>
      </c>
      <c r="Z46" s="99">
        <v>2.87</v>
      </c>
    </row>
    <row r="47" spans="1:26" ht="15" customHeight="1" x14ac:dyDescent="0.25">
      <c r="A47" s="71" t="str">
        <f t="shared" si="14"/>
        <v>SIGMA400x2,0</v>
      </c>
      <c r="B47" s="13" t="str">
        <f t="shared" si="20"/>
        <v>400</v>
      </c>
      <c r="C47" s="1">
        <f t="shared" si="16"/>
        <v>100</v>
      </c>
      <c r="D47" s="1">
        <f t="shared" si="17"/>
        <v>100</v>
      </c>
      <c r="E47" s="1">
        <f t="shared" si="18"/>
        <v>20</v>
      </c>
      <c r="F47" s="9" t="str">
        <f t="shared" si="19"/>
        <v>SIGMA400</v>
      </c>
      <c r="G47" s="83" t="s">
        <v>121</v>
      </c>
      <c r="H47" s="125">
        <v>2</v>
      </c>
      <c r="I47" s="100">
        <v>10.01</v>
      </c>
      <c r="J47" s="100">
        <v>8.19</v>
      </c>
      <c r="K47" s="100">
        <v>3.56</v>
      </c>
      <c r="L47" s="100">
        <v>10.08</v>
      </c>
      <c r="M47" s="100">
        <v>2236.25</v>
      </c>
      <c r="N47" s="100">
        <v>96.08</v>
      </c>
      <c r="O47" s="100">
        <v>14.89</v>
      </c>
      <c r="P47" s="100">
        <v>16.73</v>
      </c>
      <c r="Q47" s="100"/>
      <c r="R47" s="100"/>
      <c r="S47" s="100"/>
      <c r="T47" s="100"/>
      <c r="U47" s="100"/>
      <c r="V47" s="100">
        <v>8.7200000000000006</v>
      </c>
      <c r="W47" s="100">
        <v>106.4</v>
      </c>
      <c r="X47" s="100">
        <v>15.23</v>
      </c>
      <c r="Y47" s="100">
        <v>3.49</v>
      </c>
      <c r="Z47" s="101">
        <v>3.02</v>
      </c>
    </row>
    <row r="48" spans="1:26" ht="15" customHeight="1" x14ac:dyDescent="0.25">
      <c r="A48" s="72" t="str">
        <f t="shared" si="14"/>
        <v>SIGMA400x2,5</v>
      </c>
      <c r="B48" s="11" t="str">
        <f t="shared" si="20"/>
        <v>400</v>
      </c>
      <c r="C48" s="3">
        <f t="shared" si="16"/>
        <v>100</v>
      </c>
      <c r="D48" s="3">
        <f t="shared" si="17"/>
        <v>100</v>
      </c>
      <c r="E48" s="3">
        <f t="shared" si="18"/>
        <v>22</v>
      </c>
      <c r="F48" s="134" t="str">
        <f t="shared" si="19"/>
        <v>SIGMA400</v>
      </c>
      <c r="G48" s="81" t="s">
        <v>122</v>
      </c>
      <c r="H48" s="123">
        <v>2.5</v>
      </c>
      <c r="I48" s="96">
        <v>12.54</v>
      </c>
      <c r="J48" s="96">
        <v>11.67</v>
      </c>
      <c r="K48" s="96">
        <v>3.47</v>
      </c>
      <c r="L48" s="96">
        <v>13.62</v>
      </c>
      <c r="M48" s="96">
        <v>3064.66</v>
      </c>
      <c r="N48" s="96">
        <v>138.53</v>
      </c>
      <c r="O48" s="96">
        <v>14.99</v>
      </c>
      <c r="P48" s="96">
        <v>17.88</v>
      </c>
      <c r="Q48" s="96"/>
      <c r="R48" s="96"/>
      <c r="S48" s="96"/>
      <c r="T48" s="96"/>
      <c r="U48" s="96"/>
      <c r="V48" s="96">
        <v>12.03</v>
      </c>
      <c r="W48" s="96">
        <v>143.04</v>
      </c>
      <c r="X48" s="96">
        <v>20.239999999999998</v>
      </c>
      <c r="Y48" s="96">
        <v>3.44</v>
      </c>
      <c r="Z48" s="97">
        <v>2.94</v>
      </c>
    </row>
    <row r="49" spans="1:26" ht="15" customHeight="1" x14ac:dyDescent="0.25">
      <c r="A49" s="72" t="str">
        <f t="shared" si="14"/>
        <v>SIGMA400x3,0</v>
      </c>
      <c r="B49" s="11" t="str">
        <f t="shared" si="20"/>
        <v>400</v>
      </c>
      <c r="C49" s="3">
        <f t="shared" si="16"/>
        <v>100</v>
      </c>
      <c r="D49" s="3">
        <f t="shared" si="17"/>
        <v>100</v>
      </c>
      <c r="E49" s="3">
        <f t="shared" si="18"/>
        <v>24</v>
      </c>
      <c r="F49" s="134" t="str">
        <f t="shared" si="19"/>
        <v>SIGMA400</v>
      </c>
      <c r="G49" s="81" t="s">
        <v>123</v>
      </c>
      <c r="H49" s="123">
        <v>3</v>
      </c>
      <c r="I49" s="96">
        <v>15.08</v>
      </c>
      <c r="J49" s="96">
        <v>15.52</v>
      </c>
      <c r="K49" s="96">
        <v>3.41</v>
      </c>
      <c r="L49" s="96">
        <v>17.45</v>
      </c>
      <c r="M49" s="96">
        <v>3933.1</v>
      </c>
      <c r="N49" s="96">
        <v>185.45</v>
      </c>
      <c r="O49" s="96">
        <v>15.01</v>
      </c>
      <c r="P49" s="96">
        <v>18.79</v>
      </c>
      <c r="Q49" s="96"/>
      <c r="R49" s="96"/>
      <c r="S49" s="96"/>
      <c r="T49" s="96"/>
      <c r="U49" s="96"/>
      <c r="V49" s="96">
        <v>15.65</v>
      </c>
      <c r="W49" s="96">
        <v>182.06</v>
      </c>
      <c r="X49" s="96">
        <v>25.55</v>
      </c>
      <c r="Y49" s="96">
        <v>3.4</v>
      </c>
      <c r="Z49" s="97">
        <v>2.88</v>
      </c>
    </row>
    <row r="50" spans="1:26" ht="15" customHeight="1" x14ac:dyDescent="0.25">
      <c r="A50" s="72" t="str">
        <f t="shared" si="14"/>
        <v>SIGMA400x3,5</v>
      </c>
      <c r="B50" s="11" t="str">
        <f t="shared" si="20"/>
        <v>400</v>
      </c>
      <c r="C50" s="3">
        <f t="shared" si="16"/>
        <v>100</v>
      </c>
      <c r="D50" s="3">
        <f t="shared" si="17"/>
        <v>100</v>
      </c>
      <c r="E50" s="3">
        <f t="shared" si="18"/>
        <v>26</v>
      </c>
      <c r="F50" s="134" t="str">
        <f t="shared" si="19"/>
        <v>SIGMA400</v>
      </c>
      <c r="G50" s="81" t="s">
        <v>124</v>
      </c>
      <c r="H50" s="123">
        <v>3.5</v>
      </c>
      <c r="I50" s="96">
        <v>17.64</v>
      </c>
      <c r="J50" s="96">
        <v>19.399999999999999</v>
      </c>
      <c r="K50" s="96">
        <v>3.38</v>
      </c>
      <c r="L50" s="96">
        <v>21.31</v>
      </c>
      <c r="M50" s="96">
        <v>4766.84</v>
      </c>
      <c r="N50" s="96">
        <v>231.11</v>
      </c>
      <c r="O50" s="96">
        <v>14.95</v>
      </c>
      <c r="P50" s="96">
        <v>19.37</v>
      </c>
      <c r="Q50" s="96"/>
      <c r="R50" s="96"/>
      <c r="S50" s="96"/>
      <c r="T50" s="96"/>
      <c r="U50" s="96"/>
      <c r="V50" s="96">
        <v>19.399999999999999</v>
      </c>
      <c r="W50" s="96">
        <v>222.5</v>
      </c>
      <c r="X50" s="96">
        <v>30.97</v>
      </c>
      <c r="Y50" s="96">
        <v>3.38</v>
      </c>
      <c r="Z50" s="97">
        <v>2.82</v>
      </c>
    </row>
    <row r="51" spans="1:26" ht="15" customHeight="1" thickBot="1" x14ac:dyDescent="0.3">
      <c r="A51" s="73" t="str">
        <f t="shared" si="14"/>
        <v>SIGMA400x4,0</v>
      </c>
      <c r="B51" s="12" t="str">
        <f t="shared" si="20"/>
        <v>400</v>
      </c>
      <c r="C51" s="5">
        <f t="shared" si="16"/>
        <v>100</v>
      </c>
      <c r="D51" s="5">
        <f t="shared" si="17"/>
        <v>100</v>
      </c>
      <c r="E51" s="5">
        <f t="shared" si="18"/>
        <v>28</v>
      </c>
      <c r="F51" s="135" t="str">
        <f t="shared" si="19"/>
        <v>SIGMA400</v>
      </c>
      <c r="G51" s="82" t="s">
        <v>125</v>
      </c>
      <c r="H51" s="124">
        <v>4</v>
      </c>
      <c r="I51" s="98">
        <v>20.21</v>
      </c>
      <c r="J51" s="98">
        <v>23.19</v>
      </c>
      <c r="K51" s="98">
        <v>3.37</v>
      </c>
      <c r="L51" s="98">
        <v>25.24</v>
      </c>
      <c r="M51" s="98">
        <v>5565.4</v>
      </c>
      <c r="N51" s="98">
        <v>275.04000000000002</v>
      </c>
      <c r="O51" s="98">
        <v>14.84</v>
      </c>
      <c r="P51" s="98">
        <v>19.77</v>
      </c>
      <c r="Q51" s="98"/>
      <c r="R51" s="98"/>
      <c r="S51" s="98"/>
      <c r="T51" s="98"/>
      <c r="U51" s="98"/>
      <c r="V51" s="98">
        <v>23.19</v>
      </c>
      <c r="W51" s="98">
        <v>263.64999999999998</v>
      </c>
      <c r="X51" s="98">
        <v>36.42</v>
      </c>
      <c r="Y51" s="98">
        <v>3.37</v>
      </c>
      <c r="Z51" s="99">
        <v>2.76</v>
      </c>
    </row>
  </sheetData>
  <mergeCells count="33">
    <mergeCell ref="F4:G6"/>
    <mergeCell ref="A4:A10"/>
    <mergeCell ref="B4:B10"/>
    <mergeCell ref="C4:C10"/>
    <mergeCell ref="D4:D10"/>
    <mergeCell ref="E4:E10"/>
    <mergeCell ref="F7:F10"/>
    <mergeCell ref="G7:G10"/>
    <mergeCell ref="N7:N8"/>
    <mergeCell ref="H4:H10"/>
    <mergeCell ref="I4:I9"/>
    <mergeCell ref="J4:K6"/>
    <mergeCell ref="L4:Z4"/>
    <mergeCell ref="L5:U5"/>
    <mergeCell ref="V5:Z6"/>
    <mergeCell ref="L6:P6"/>
    <mergeCell ref="Q6:U6"/>
    <mergeCell ref="J7:J8"/>
    <mergeCell ref="K7:K8"/>
    <mergeCell ref="L7:L8"/>
    <mergeCell ref="M7:M8"/>
    <mergeCell ref="Z7:Z8"/>
    <mergeCell ref="O7:O8"/>
    <mergeCell ref="P7:P8"/>
    <mergeCell ref="V7:V8"/>
    <mergeCell ref="W7:W8"/>
    <mergeCell ref="X7:X8"/>
    <mergeCell ref="Y7:Y8"/>
    <mergeCell ref="Q7:Q8"/>
    <mergeCell ref="R7:R8"/>
    <mergeCell ref="S7:S8"/>
    <mergeCell ref="T7:T8"/>
    <mergeCell ref="U7:U8"/>
  </mergeCells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opLeftCell="A4" zoomScale="70" zoomScaleNormal="70" workbookViewId="0">
      <selection activeCell="V25" sqref="V25:AA25"/>
    </sheetView>
  </sheetViews>
  <sheetFormatPr defaultColWidth="8.85546875" defaultRowHeight="15" customHeight="1" x14ac:dyDescent="0.25"/>
  <cols>
    <col min="1" max="1" width="12.7109375" style="195" customWidth="1"/>
    <col min="2" max="5" width="6.7109375" style="195" customWidth="1"/>
    <col min="6" max="6" width="8.7109375" style="195" customWidth="1"/>
    <col min="7" max="7" width="15.7109375" style="195" customWidth="1"/>
    <col min="8" max="26" width="8.7109375" style="195" customWidth="1"/>
    <col min="27" max="16384" width="8.85546875" style="195"/>
  </cols>
  <sheetData>
    <row r="1" spans="1:26" ht="15" customHeight="1" thickBot="1" x14ac:dyDescent="0.3"/>
    <row r="2" spans="1:26" ht="15" customHeight="1" thickBot="1" x14ac:dyDescent="0.3">
      <c r="A2" s="79" t="str">
        <f>Сводная!A29</f>
        <v>C170x2,0</v>
      </c>
      <c r="B2" s="93" t="str">
        <f>INDEX(B11:B52,MATCH($A$2,$A$11:$A$52))</f>
        <v>170</v>
      </c>
      <c r="C2" s="105">
        <f t="shared" ref="C2:Z2" si="0">INDEX(C11:C52,MATCH($A$2,$A$11:$A$52))</f>
        <v>68</v>
      </c>
      <c r="D2" s="105">
        <f t="shared" si="0"/>
        <v>68</v>
      </c>
      <c r="E2" s="105">
        <f t="shared" si="0"/>
        <v>17</v>
      </c>
      <c r="F2" s="93" t="str">
        <f t="shared" si="0"/>
        <v>C170</v>
      </c>
      <c r="G2" s="93" t="str">
        <f t="shared" si="0"/>
        <v>170/68/68/17</v>
      </c>
      <c r="H2" s="105">
        <f t="shared" si="0"/>
        <v>2</v>
      </c>
      <c r="I2" s="103">
        <f t="shared" si="0"/>
        <v>5.08</v>
      </c>
      <c r="J2" s="103">
        <f t="shared" si="0"/>
        <v>4.79</v>
      </c>
      <c r="K2" s="103">
        <f t="shared" si="0"/>
        <v>2.52</v>
      </c>
      <c r="L2" s="103">
        <f t="shared" si="0"/>
        <v>6.46</v>
      </c>
      <c r="M2" s="103">
        <f t="shared" si="0"/>
        <v>289.83999999999997</v>
      </c>
      <c r="N2" s="103">
        <f>INDEX(N11:N52,MATCH($A$2,$A$11:$A$52))</f>
        <v>34.07</v>
      </c>
      <c r="O2" s="103">
        <f t="shared" si="0"/>
        <v>6.7</v>
      </c>
      <c r="P2" s="103">
        <f t="shared" si="0"/>
        <v>8.5</v>
      </c>
      <c r="Q2" s="103">
        <f t="shared" si="0"/>
        <v>0</v>
      </c>
      <c r="R2" s="103">
        <f t="shared" si="0"/>
        <v>0</v>
      </c>
      <c r="S2" s="103">
        <f t="shared" si="0"/>
        <v>0</v>
      </c>
      <c r="T2" s="103">
        <f t="shared" si="0"/>
        <v>0</v>
      </c>
      <c r="U2" s="103">
        <f t="shared" si="0"/>
        <v>0</v>
      </c>
      <c r="V2" s="103">
        <f t="shared" si="0"/>
        <v>4.79</v>
      </c>
      <c r="W2" s="103">
        <f t="shared" si="0"/>
        <v>30.51</v>
      </c>
      <c r="X2" s="103">
        <f t="shared" si="0"/>
        <v>7.4</v>
      </c>
      <c r="Y2" s="103">
        <f t="shared" si="0"/>
        <v>2.52</v>
      </c>
      <c r="Z2" s="104">
        <f t="shared" si="0"/>
        <v>2.68</v>
      </c>
    </row>
    <row r="3" spans="1:26" ht="15" customHeight="1" thickBot="1" x14ac:dyDescent="0.3"/>
    <row r="4" spans="1:26" ht="15" customHeight="1" x14ac:dyDescent="0.25">
      <c r="A4" s="347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12" t="s">
        <v>0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26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26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57"/>
    </row>
    <row r="7" spans="1:26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/>
      <c r="R7" s="364"/>
      <c r="S7" s="364"/>
      <c r="T7" s="364"/>
      <c r="U7" s="364"/>
      <c r="V7" s="364" t="s">
        <v>21</v>
      </c>
      <c r="W7" s="364" t="s">
        <v>19</v>
      </c>
      <c r="X7" s="364" t="s">
        <v>156</v>
      </c>
      <c r="Y7" s="364" t="s">
        <v>20</v>
      </c>
      <c r="Z7" s="381" t="s">
        <v>168</v>
      </c>
    </row>
    <row r="8" spans="1:26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380"/>
    </row>
    <row r="9" spans="1:26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/>
      <c r="R9" s="154"/>
      <c r="S9" s="154"/>
      <c r="T9" s="154"/>
      <c r="U9" s="154"/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26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/>
      <c r="R10" s="156"/>
      <c r="S10" s="156"/>
      <c r="T10" s="156"/>
      <c r="U10" s="156"/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26" ht="15" customHeight="1" x14ac:dyDescent="0.25">
      <c r="A11" s="144" t="str">
        <f t="shared" ref="A11:A12" si="1">CONCATENATE(F11,"x",(IF(H11=INT(H11),CONCATENATE(H11,",",0),H11)))</f>
        <v>C140x1,0</v>
      </c>
      <c r="B11" s="146" t="str">
        <f t="shared" ref="B11:B12" si="2">LEFT(G11,3)</f>
        <v>140</v>
      </c>
      <c r="C11" s="146">
        <f t="shared" ref="C11:C12" si="3">VALUE(MID(G11,(SEARCH("/",G11,1)+1),(SEARCH("/",G11,(SEARCH("/",G11,1)+1))-SEARCH("/",G11,1)-1)))</f>
        <v>68</v>
      </c>
      <c r="D11" s="146">
        <f t="shared" ref="D11:D12" si="4">VALUE(MID(G11,(SEARCH("/",G11,(SEARCH("/",G11,1)+1))+1),(SEARCH("/",G11,SEARCH("/",G11,(SEARCH("/",G11,1)+1))+1))-(SEARCH("/",G11,(SEARCH("/",G11,1)+1))+1)))</f>
        <v>68</v>
      </c>
      <c r="E11" s="146">
        <f t="shared" ref="E11:E12" si="5">VALUE(MID(G11,(SEARCH("/",G11,SEARCH("/",G11,(SEARCH("/",G11,1)+1))+1)+1),4))</f>
        <v>15.5</v>
      </c>
      <c r="F11" s="158" t="str">
        <f t="shared" ref="F11:F12" si="6">CONCATENATE("C",LEFT(G11,3))</f>
        <v>C140</v>
      </c>
      <c r="G11" s="159" t="s">
        <v>126</v>
      </c>
      <c r="H11" s="160">
        <v>1</v>
      </c>
      <c r="I11" s="161">
        <v>2.4</v>
      </c>
      <c r="J11" s="161">
        <v>1.5</v>
      </c>
      <c r="K11" s="161">
        <v>2.81</v>
      </c>
      <c r="L11" s="161">
        <v>2.4700000000000002</v>
      </c>
      <c r="M11" s="161">
        <v>76.88</v>
      </c>
      <c r="N11" s="161">
        <v>9.56</v>
      </c>
      <c r="O11" s="161">
        <v>5.58</v>
      </c>
      <c r="P11" s="161">
        <v>5.96</v>
      </c>
      <c r="Q11" s="161"/>
      <c r="R11" s="161"/>
      <c r="S11" s="161"/>
      <c r="T11" s="161"/>
      <c r="U11" s="161"/>
      <c r="V11" s="161">
        <v>2.02</v>
      </c>
      <c r="W11" s="161">
        <v>12.46</v>
      </c>
      <c r="X11" s="161">
        <v>3.4</v>
      </c>
      <c r="Y11" s="161">
        <v>2.48</v>
      </c>
      <c r="Z11" s="162">
        <v>3.14</v>
      </c>
    </row>
    <row r="12" spans="1:26" ht="15" customHeight="1" x14ac:dyDescent="0.25">
      <c r="A12" s="147" t="str">
        <f t="shared" si="1"/>
        <v>C140x1,2</v>
      </c>
      <c r="B12" s="149" t="str">
        <f t="shared" si="2"/>
        <v>140</v>
      </c>
      <c r="C12" s="149">
        <f t="shared" si="3"/>
        <v>68</v>
      </c>
      <c r="D12" s="149">
        <f t="shared" si="4"/>
        <v>68</v>
      </c>
      <c r="E12" s="149">
        <f t="shared" si="5"/>
        <v>15.5</v>
      </c>
      <c r="F12" s="154" t="str">
        <f t="shared" si="6"/>
        <v>C140</v>
      </c>
      <c r="G12" s="155" t="s">
        <v>126</v>
      </c>
      <c r="H12" s="164">
        <v>1.2</v>
      </c>
      <c r="I12" s="165">
        <v>2.86</v>
      </c>
      <c r="J12" s="165">
        <v>2.06</v>
      </c>
      <c r="K12" s="165">
        <v>2.74</v>
      </c>
      <c r="L12" s="165">
        <v>3.15</v>
      </c>
      <c r="M12" s="165">
        <v>98.47</v>
      </c>
      <c r="N12" s="165">
        <v>12.82</v>
      </c>
      <c r="O12" s="165">
        <v>5.59</v>
      </c>
      <c r="P12" s="165">
        <v>6.32</v>
      </c>
      <c r="Q12" s="165"/>
      <c r="R12" s="165"/>
      <c r="S12" s="165"/>
      <c r="T12" s="165"/>
      <c r="U12" s="165"/>
      <c r="V12" s="165">
        <v>2.5099999999999998</v>
      </c>
      <c r="W12" s="165">
        <v>15.65</v>
      </c>
      <c r="X12" s="165">
        <v>4.1399999999999997</v>
      </c>
      <c r="Y12" s="165">
        <v>2.4900000000000002</v>
      </c>
      <c r="Z12" s="166">
        <v>3.02</v>
      </c>
    </row>
    <row r="13" spans="1:26" ht="15" customHeight="1" x14ac:dyDescent="0.25">
      <c r="A13" s="72" t="str">
        <f>CONCATENATE(F13,"x",(IF(H13=INT(H13),CONCATENATE(H13,",",0),H13)))</f>
        <v>C140x1,5</v>
      </c>
      <c r="B13" s="90" t="str">
        <f>LEFT(G13,3)</f>
        <v>140</v>
      </c>
      <c r="C13" s="3">
        <f>VALUE(MID(G13,(SEARCH("/",G13,1)+1),(SEARCH("/",G13,(SEARCH("/",G13,1)+1))-SEARCH("/",G13,1)-1)))</f>
        <v>68</v>
      </c>
      <c r="D13" s="3">
        <f>VALUE(MID(G13,(SEARCH("/",G13,(SEARCH("/",G13,1)+1))+1),(SEARCH("/",G13,SEARCH("/",G13,(SEARCH("/",G13,1)+1))+1))-(SEARCH("/",G13,(SEARCH("/",G13,1)+1))+1)))</f>
        <v>68</v>
      </c>
      <c r="E13" s="3">
        <f>VALUE(MID(G13,(SEARCH("/",G13,SEARCH("/",G13,(SEARCH("/",G13,1)+1))+1)+1),4))</f>
        <v>15.5</v>
      </c>
      <c r="F13" s="134" t="str">
        <f>CONCATENATE("C",LEFT(G13,3))</f>
        <v>C140</v>
      </c>
      <c r="G13" s="81" t="s">
        <v>126</v>
      </c>
      <c r="H13" s="123">
        <v>1.5</v>
      </c>
      <c r="I13" s="96">
        <v>3.45</v>
      </c>
      <c r="J13" s="96">
        <v>2.97</v>
      </c>
      <c r="K13" s="96">
        <v>2.62</v>
      </c>
      <c r="L13" s="96">
        <v>4.2300000000000004</v>
      </c>
      <c r="M13" s="96">
        <v>131.91999999999999</v>
      </c>
      <c r="N13" s="96">
        <v>18.16</v>
      </c>
      <c r="O13" s="96">
        <v>5.59</v>
      </c>
      <c r="P13" s="96">
        <v>6.74</v>
      </c>
      <c r="Q13" s="96"/>
      <c r="R13" s="96"/>
      <c r="S13" s="96"/>
      <c r="T13" s="96"/>
      <c r="U13" s="96"/>
      <c r="V13" s="96">
        <v>3.28</v>
      </c>
      <c r="W13" s="96">
        <v>20.62</v>
      </c>
      <c r="X13" s="96">
        <v>5.24</v>
      </c>
      <c r="Y13" s="96">
        <v>2.5</v>
      </c>
      <c r="Z13" s="97">
        <v>2.87</v>
      </c>
    </row>
    <row r="14" spans="1:26" ht="15" customHeight="1" x14ac:dyDescent="0.25">
      <c r="A14" s="72" t="str">
        <f t="shared" ref="A14:A45" si="7">CONCATENATE(F14,"x",(IF(H14=INT(H14),CONCATENATE(H14,",",0),H14)))</f>
        <v>C140x2,0</v>
      </c>
      <c r="B14" s="90" t="str">
        <f t="shared" ref="B14:B45" si="8">LEFT(G14,3)</f>
        <v>140</v>
      </c>
      <c r="C14" s="3">
        <f t="shared" ref="C14:C45" si="9">VALUE(MID(G14,(SEARCH("/",G14,1)+1),(SEARCH("/",G14,(SEARCH("/",G14,1)+1))-SEARCH("/",G14,1)-1)))</f>
        <v>68</v>
      </c>
      <c r="D14" s="3">
        <f t="shared" ref="D14:D45" si="10">VALUE(MID(G14,(SEARCH("/",G14,(SEARCH("/",G14,1)+1))+1),(SEARCH("/",G14,SEARCH("/",G14,(SEARCH("/",G14,1)+1))+1))-(SEARCH("/",G14,(SEARCH("/",G14,1)+1))+1)))</f>
        <v>68</v>
      </c>
      <c r="E14" s="3">
        <f t="shared" ref="E14:E45" si="11">VALUE(MID(G14,(SEARCH("/",G14,SEARCH("/",G14,(SEARCH("/",G14,1)+1))+1)+1),4))</f>
        <v>17</v>
      </c>
      <c r="F14" s="134" t="str">
        <f t="shared" ref="F14:F45" si="12">CONCATENATE("C",LEFT(G14,3))</f>
        <v>C140</v>
      </c>
      <c r="G14" s="81" t="s">
        <v>127</v>
      </c>
      <c r="H14" s="123">
        <v>2</v>
      </c>
      <c r="I14" s="96">
        <v>4.6100000000000003</v>
      </c>
      <c r="J14" s="96">
        <v>4.74</v>
      </c>
      <c r="K14" s="96">
        <v>2.52</v>
      </c>
      <c r="L14" s="96">
        <v>5.86</v>
      </c>
      <c r="M14" s="96">
        <v>184.93</v>
      </c>
      <c r="N14" s="96">
        <v>26.4</v>
      </c>
      <c r="O14" s="96">
        <v>5.62</v>
      </c>
      <c r="P14" s="96">
        <v>7</v>
      </c>
      <c r="Q14" s="96"/>
      <c r="R14" s="96"/>
      <c r="S14" s="96"/>
      <c r="T14" s="96"/>
      <c r="U14" s="96"/>
      <c r="V14" s="96">
        <v>4.74</v>
      </c>
      <c r="W14" s="96">
        <v>30.16</v>
      </c>
      <c r="X14" s="96">
        <v>7.36</v>
      </c>
      <c r="Y14" s="96">
        <v>2.52</v>
      </c>
      <c r="Z14" s="97">
        <v>2.71</v>
      </c>
    </row>
    <row r="15" spans="1:26" ht="15" customHeight="1" x14ac:dyDescent="0.25">
      <c r="A15" s="72" t="str">
        <f t="shared" si="7"/>
        <v>C140x2,5</v>
      </c>
      <c r="B15" s="90" t="str">
        <f t="shared" si="8"/>
        <v>140</v>
      </c>
      <c r="C15" s="3">
        <f t="shared" si="9"/>
        <v>68</v>
      </c>
      <c r="D15" s="3">
        <f t="shared" si="10"/>
        <v>68</v>
      </c>
      <c r="E15" s="3">
        <f t="shared" si="11"/>
        <v>18.5</v>
      </c>
      <c r="F15" s="134" t="str">
        <f t="shared" si="12"/>
        <v>C140</v>
      </c>
      <c r="G15" s="81" t="s">
        <v>128</v>
      </c>
      <c r="H15" s="123">
        <v>2.5</v>
      </c>
      <c r="I15" s="96">
        <v>5.77</v>
      </c>
      <c r="J15" s="96">
        <v>6.35</v>
      </c>
      <c r="K15" s="96">
        <v>2.52</v>
      </c>
      <c r="L15" s="96">
        <v>7.34</v>
      </c>
      <c r="M15" s="96">
        <v>229.51</v>
      </c>
      <c r="N15" s="96">
        <v>32.78</v>
      </c>
      <c r="O15" s="96">
        <v>5.59</v>
      </c>
      <c r="P15" s="96">
        <v>7</v>
      </c>
      <c r="Q15" s="96"/>
      <c r="R15" s="96"/>
      <c r="S15" s="96"/>
      <c r="T15" s="96"/>
      <c r="U15" s="96"/>
      <c r="V15" s="96">
        <v>6.34</v>
      </c>
      <c r="W15" s="96">
        <v>40.380000000000003</v>
      </c>
      <c r="X15" s="96">
        <v>9.59</v>
      </c>
      <c r="Y15" s="96">
        <v>2.52</v>
      </c>
      <c r="Z15" s="97">
        <v>2.59</v>
      </c>
    </row>
    <row r="16" spans="1:26" ht="15" customHeight="1" thickBot="1" x14ac:dyDescent="0.3">
      <c r="A16" s="73" t="str">
        <f t="shared" si="7"/>
        <v>C140x3,0</v>
      </c>
      <c r="B16" s="91" t="str">
        <f t="shared" si="8"/>
        <v>140</v>
      </c>
      <c r="C16" s="5">
        <f t="shared" si="9"/>
        <v>68</v>
      </c>
      <c r="D16" s="5">
        <f t="shared" si="10"/>
        <v>68</v>
      </c>
      <c r="E16" s="5">
        <f t="shared" si="11"/>
        <v>20</v>
      </c>
      <c r="F16" s="135" t="str">
        <f t="shared" si="12"/>
        <v>C140</v>
      </c>
      <c r="G16" s="82" t="s">
        <v>129</v>
      </c>
      <c r="H16" s="124">
        <v>3</v>
      </c>
      <c r="I16" s="98">
        <v>6.94</v>
      </c>
      <c r="J16" s="98">
        <v>8.06</v>
      </c>
      <c r="K16" s="98">
        <v>2.5099999999999998</v>
      </c>
      <c r="L16" s="98">
        <v>8.83</v>
      </c>
      <c r="M16" s="98">
        <v>273.07</v>
      </c>
      <c r="N16" s="98">
        <v>39.01</v>
      </c>
      <c r="O16" s="98">
        <v>5.56</v>
      </c>
      <c r="P16" s="98">
        <v>7</v>
      </c>
      <c r="Q16" s="98"/>
      <c r="R16" s="98"/>
      <c r="S16" s="98"/>
      <c r="T16" s="98"/>
      <c r="U16" s="98"/>
      <c r="V16" s="98">
        <v>8.0500000000000007</v>
      </c>
      <c r="W16" s="98">
        <v>51.06</v>
      </c>
      <c r="X16" s="98">
        <v>11.89</v>
      </c>
      <c r="Y16" s="98">
        <v>2.5099999999999998</v>
      </c>
      <c r="Z16" s="99">
        <v>2.5099999999999998</v>
      </c>
    </row>
    <row r="17" spans="1:26" ht="15" customHeight="1" x14ac:dyDescent="0.25">
      <c r="A17" s="71" t="str">
        <f t="shared" si="7"/>
        <v>C160x1,0</v>
      </c>
      <c r="B17" s="88" t="str">
        <f t="shared" si="8"/>
        <v>160</v>
      </c>
      <c r="C17" s="1">
        <f t="shared" si="9"/>
        <v>68</v>
      </c>
      <c r="D17" s="1">
        <f t="shared" si="10"/>
        <v>68</v>
      </c>
      <c r="E17" s="1">
        <f t="shared" si="11"/>
        <v>15.5</v>
      </c>
      <c r="F17" s="133" t="str">
        <f t="shared" si="12"/>
        <v>C160</v>
      </c>
      <c r="G17" s="80" t="s">
        <v>130</v>
      </c>
      <c r="H17" s="122">
        <v>1</v>
      </c>
      <c r="I17" s="94">
        <v>2.57</v>
      </c>
      <c r="J17" s="94">
        <v>1.5</v>
      </c>
      <c r="K17" s="94">
        <v>2.81</v>
      </c>
      <c r="L17" s="94">
        <v>2.57</v>
      </c>
      <c r="M17" s="94">
        <v>102.57</v>
      </c>
      <c r="N17" s="94">
        <v>11.03</v>
      </c>
      <c r="O17" s="94">
        <v>6.31</v>
      </c>
      <c r="P17" s="94">
        <v>6.71</v>
      </c>
      <c r="Q17" s="94"/>
      <c r="R17" s="94"/>
      <c r="S17" s="94"/>
      <c r="T17" s="94"/>
      <c r="U17" s="94"/>
      <c r="V17" s="94">
        <v>2.0299999999999998</v>
      </c>
      <c r="W17" s="94">
        <v>12.51</v>
      </c>
      <c r="X17" s="94">
        <v>3.41</v>
      </c>
      <c r="Y17" s="94">
        <v>2.48</v>
      </c>
      <c r="Z17" s="95">
        <v>3.13</v>
      </c>
    </row>
    <row r="18" spans="1:26" ht="15" customHeight="1" x14ac:dyDescent="0.25">
      <c r="A18" s="72" t="str">
        <f t="shared" si="7"/>
        <v>C160x1,2</v>
      </c>
      <c r="B18" s="90" t="str">
        <f t="shared" si="8"/>
        <v>160</v>
      </c>
      <c r="C18" s="3">
        <f t="shared" si="9"/>
        <v>68</v>
      </c>
      <c r="D18" s="3">
        <f t="shared" si="10"/>
        <v>68</v>
      </c>
      <c r="E18" s="3">
        <f t="shared" si="11"/>
        <v>15.5</v>
      </c>
      <c r="F18" s="134" t="str">
        <f t="shared" si="12"/>
        <v>C160</v>
      </c>
      <c r="G18" s="81" t="s">
        <v>130</v>
      </c>
      <c r="H18" s="123">
        <v>1.2</v>
      </c>
      <c r="I18" s="96">
        <v>3.05</v>
      </c>
      <c r="J18" s="96">
        <v>2.0699999999999998</v>
      </c>
      <c r="K18" s="96">
        <v>2.74</v>
      </c>
      <c r="L18" s="96">
        <v>3.28</v>
      </c>
      <c r="M18" s="96">
        <v>131.54</v>
      </c>
      <c r="N18" s="96">
        <v>14.79</v>
      </c>
      <c r="O18" s="96">
        <v>6.33</v>
      </c>
      <c r="P18" s="96">
        <v>7.11</v>
      </c>
      <c r="Q18" s="96"/>
      <c r="R18" s="96"/>
      <c r="S18" s="96"/>
      <c r="T18" s="96"/>
      <c r="U18" s="96"/>
      <c r="V18" s="96">
        <v>2.52</v>
      </c>
      <c r="W18" s="96">
        <v>15.72</v>
      </c>
      <c r="X18" s="96">
        <v>4.1500000000000004</v>
      </c>
      <c r="Y18" s="96">
        <v>2.4900000000000002</v>
      </c>
      <c r="Z18" s="97">
        <v>3.01</v>
      </c>
    </row>
    <row r="19" spans="1:26" ht="15" customHeight="1" x14ac:dyDescent="0.25">
      <c r="A19" s="72" t="str">
        <f t="shared" si="7"/>
        <v>C160x1,5</v>
      </c>
      <c r="B19" s="90" t="str">
        <f t="shared" si="8"/>
        <v>160</v>
      </c>
      <c r="C19" s="3">
        <f t="shared" si="9"/>
        <v>68</v>
      </c>
      <c r="D19" s="3">
        <f t="shared" si="10"/>
        <v>68</v>
      </c>
      <c r="E19" s="3">
        <f t="shared" si="11"/>
        <v>15.5</v>
      </c>
      <c r="F19" s="134" t="str">
        <f t="shared" si="12"/>
        <v>C160</v>
      </c>
      <c r="G19" s="81" t="s">
        <v>130</v>
      </c>
      <c r="H19" s="123">
        <v>1.5</v>
      </c>
      <c r="I19" s="96">
        <v>3.68</v>
      </c>
      <c r="J19" s="96">
        <v>2.98</v>
      </c>
      <c r="K19" s="96">
        <v>2.63</v>
      </c>
      <c r="L19" s="96">
        <v>4.41</v>
      </c>
      <c r="M19" s="96">
        <v>177.13</v>
      </c>
      <c r="N19" s="96">
        <v>21.08</v>
      </c>
      <c r="O19" s="96">
        <v>6.34</v>
      </c>
      <c r="P19" s="96">
        <v>7.6</v>
      </c>
      <c r="Q19" s="96"/>
      <c r="R19" s="96"/>
      <c r="S19" s="96"/>
      <c r="T19" s="96"/>
      <c r="U19" s="96"/>
      <c r="V19" s="96">
        <v>3.3</v>
      </c>
      <c r="W19" s="96">
        <v>20.74</v>
      </c>
      <c r="X19" s="96">
        <v>5.25</v>
      </c>
      <c r="Y19" s="96">
        <v>2.5</v>
      </c>
      <c r="Z19" s="97">
        <v>2.85</v>
      </c>
    </row>
    <row r="20" spans="1:26" ht="15" customHeight="1" x14ac:dyDescent="0.25">
      <c r="A20" s="72" t="str">
        <f t="shared" si="7"/>
        <v>C160x2,0</v>
      </c>
      <c r="B20" s="90" t="str">
        <f t="shared" si="8"/>
        <v>160</v>
      </c>
      <c r="C20" s="3">
        <f t="shared" si="9"/>
        <v>68</v>
      </c>
      <c r="D20" s="3">
        <f t="shared" si="10"/>
        <v>68</v>
      </c>
      <c r="E20" s="3">
        <f t="shared" si="11"/>
        <v>17</v>
      </c>
      <c r="F20" s="134" t="str">
        <f t="shared" si="12"/>
        <v>C160</v>
      </c>
      <c r="G20" s="81" t="s">
        <v>131</v>
      </c>
      <c r="H20" s="123">
        <v>2</v>
      </c>
      <c r="I20" s="96">
        <v>4.92</v>
      </c>
      <c r="J20" s="96">
        <v>4.78</v>
      </c>
      <c r="K20" s="96">
        <v>2.52</v>
      </c>
      <c r="L20" s="96">
        <v>6.26</v>
      </c>
      <c r="M20" s="96">
        <v>251.77</v>
      </c>
      <c r="N20" s="96">
        <v>31.45</v>
      </c>
      <c r="O20" s="96">
        <v>6.34</v>
      </c>
      <c r="P20" s="96">
        <v>8</v>
      </c>
      <c r="Q20" s="96"/>
      <c r="R20" s="96"/>
      <c r="S20" s="96"/>
      <c r="T20" s="96"/>
      <c r="U20" s="96"/>
      <c r="V20" s="96">
        <v>4.78</v>
      </c>
      <c r="W20" s="96">
        <v>30.41</v>
      </c>
      <c r="X20" s="96">
        <v>7.39</v>
      </c>
      <c r="Y20" s="96">
        <v>2.52</v>
      </c>
      <c r="Z20" s="97">
        <v>2.69</v>
      </c>
    </row>
    <row r="21" spans="1:26" ht="15" customHeight="1" x14ac:dyDescent="0.25">
      <c r="A21" s="72" t="str">
        <f t="shared" si="7"/>
        <v>C160x2,5</v>
      </c>
      <c r="B21" s="90" t="str">
        <f t="shared" si="8"/>
        <v>160</v>
      </c>
      <c r="C21" s="3">
        <f t="shared" si="9"/>
        <v>68</v>
      </c>
      <c r="D21" s="3">
        <f t="shared" si="10"/>
        <v>68</v>
      </c>
      <c r="E21" s="3">
        <f t="shared" si="11"/>
        <v>18.5</v>
      </c>
      <c r="F21" s="134" t="str">
        <f t="shared" si="12"/>
        <v>C160</v>
      </c>
      <c r="G21" s="81" t="s">
        <v>132</v>
      </c>
      <c r="H21" s="123">
        <v>2.5</v>
      </c>
      <c r="I21" s="96">
        <v>6.16</v>
      </c>
      <c r="J21" s="96">
        <v>6.42</v>
      </c>
      <c r="K21" s="96">
        <v>2.52</v>
      </c>
      <c r="L21" s="96">
        <v>7.84</v>
      </c>
      <c r="M21" s="96">
        <v>312.94</v>
      </c>
      <c r="N21" s="96">
        <v>39.11</v>
      </c>
      <c r="O21" s="96">
        <v>6.32</v>
      </c>
      <c r="P21" s="96">
        <v>8</v>
      </c>
      <c r="Q21" s="96"/>
      <c r="R21" s="96"/>
      <c r="S21" s="96"/>
      <c r="T21" s="96"/>
      <c r="U21" s="96"/>
      <c r="V21" s="96">
        <v>6.41</v>
      </c>
      <c r="W21" s="96">
        <v>40.81</v>
      </c>
      <c r="X21" s="96">
        <v>9.6300000000000008</v>
      </c>
      <c r="Y21" s="96">
        <v>2.52</v>
      </c>
      <c r="Z21" s="97">
        <v>2.56</v>
      </c>
    </row>
    <row r="22" spans="1:26" ht="15" customHeight="1" thickBot="1" x14ac:dyDescent="0.3">
      <c r="A22" s="73" t="str">
        <f t="shared" si="7"/>
        <v>C160x3,0</v>
      </c>
      <c r="B22" s="91" t="str">
        <f t="shared" si="8"/>
        <v>160</v>
      </c>
      <c r="C22" s="5">
        <f t="shared" si="9"/>
        <v>68</v>
      </c>
      <c r="D22" s="5">
        <f t="shared" si="10"/>
        <v>68</v>
      </c>
      <c r="E22" s="5">
        <f t="shared" si="11"/>
        <v>20</v>
      </c>
      <c r="F22" s="135" t="str">
        <f t="shared" si="12"/>
        <v>C160</v>
      </c>
      <c r="G22" s="82" t="s">
        <v>133</v>
      </c>
      <c r="H22" s="124">
        <v>3</v>
      </c>
      <c r="I22" s="98">
        <v>7.41</v>
      </c>
      <c r="J22" s="98">
        <v>8.18</v>
      </c>
      <c r="K22" s="98">
        <v>2.5099999999999998</v>
      </c>
      <c r="L22" s="98">
        <v>9.43</v>
      </c>
      <c r="M22" s="98">
        <v>372.93</v>
      </c>
      <c r="N22" s="98">
        <v>46.61</v>
      </c>
      <c r="O22" s="98">
        <v>6.29</v>
      </c>
      <c r="P22" s="98">
        <v>8</v>
      </c>
      <c r="Q22" s="98"/>
      <c r="R22" s="98"/>
      <c r="S22" s="98"/>
      <c r="T22" s="98"/>
      <c r="U22" s="98"/>
      <c r="V22" s="98">
        <v>8.17</v>
      </c>
      <c r="W22" s="98">
        <v>51.74</v>
      </c>
      <c r="X22" s="98">
        <v>11.95</v>
      </c>
      <c r="Y22" s="98">
        <v>2.5099999999999998</v>
      </c>
      <c r="Z22" s="99">
        <v>2.4700000000000002</v>
      </c>
    </row>
    <row r="23" spans="1:26" ht="15" customHeight="1" x14ac:dyDescent="0.25">
      <c r="A23" s="71" t="str">
        <f t="shared" si="7"/>
        <v>C170x1,5</v>
      </c>
      <c r="B23" s="88" t="str">
        <f t="shared" si="8"/>
        <v>170</v>
      </c>
      <c r="C23" s="1">
        <f t="shared" si="9"/>
        <v>68</v>
      </c>
      <c r="D23" s="1">
        <f t="shared" si="10"/>
        <v>68</v>
      </c>
      <c r="E23" s="1">
        <f t="shared" si="11"/>
        <v>15.5</v>
      </c>
      <c r="F23" s="133" t="str">
        <f t="shared" si="12"/>
        <v>C170</v>
      </c>
      <c r="G23" s="80" t="s">
        <v>171</v>
      </c>
      <c r="H23" s="122">
        <v>1.5</v>
      </c>
      <c r="I23" s="94">
        <v>3.8</v>
      </c>
      <c r="J23" s="94">
        <v>2.99</v>
      </c>
      <c r="K23" s="94">
        <v>2.63</v>
      </c>
      <c r="L23" s="94">
        <v>4.5</v>
      </c>
      <c r="M23" s="94">
        <v>202.32</v>
      </c>
      <c r="N23" s="94">
        <v>22.51</v>
      </c>
      <c r="O23" s="94">
        <v>6.71</v>
      </c>
      <c r="P23" s="94">
        <v>8.01</v>
      </c>
      <c r="Q23" s="94"/>
      <c r="R23" s="94"/>
      <c r="S23" s="94"/>
      <c r="T23" s="94"/>
      <c r="U23" s="94"/>
      <c r="V23" s="94">
        <v>3.3</v>
      </c>
      <c r="W23" s="94">
        <v>20.79</v>
      </c>
      <c r="X23" s="94">
        <v>5.26</v>
      </c>
      <c r="Y23" s="94">
        <v>2.5</v>
      </c>
      <c r="Z23" s="95">
        <v>2.85</v>
      </c>
    </row>
    <row r="24" spans="1:26" ht="15" customHeight="1" x14ac:dyDescent="0.25">
      <c r="A24" s="72" t="str">
        <f t="shared" si="7"/>
        <v>C170x2,0</v>
      </c>
      <c r="B24" s="90" t="str">
        <f t="shared" si="8"/>
        <v>170</v>
      </c>
      <c r="C24" s="3">
        <f t="shared" si="9"/>
        <v>68</v>
      </c>
      <c r="D24" s="3">
        <f t="shared" si="10"/>
        <v>68</v>
      </c>
      <c r="E24" s="3">
        <f t="shared" si="11"/>
        <v>17</v>
      </c>
      <c r="F24" s="134" t="str">
        <f t="shared" si="12"/>
        <v>C170</v>
      </c>
      <c r="G24" s="81" t="s">
        <v>134</v>
      </c>
      <c r="H24" s="123">
        <v>2</v>
      </c>
      <c r="I24" s="96">
        <v>5.08</v>
      </c>
      <c r="J24" s="96">
        <v>4.79</v>
      </c>
      <c r="K24" s="96">
        <v>2.52</v>
      </c>
      <c r="L24" s="96">
        <v>6.46</v>
      </c>
      <c r="M24" s="96">
        <v>289.83999999999997</v>
      </c>
      <c r="N24" s="96">
        <v>34.07</v>
      </c>
      <c r="O24" s="96">
        <v>6.7</v>
      </c>
      <c r="P24" s="96">
        <v>8.5</v>
      </c>
      <c r="Q24" s="96"/>
      <c r="R24" s="96"/>
      <c r="S24" s="96"/>
      <c r="T24" s="96"/>
      <c r="U24" s="96"/>
      <c r="V24" s="96">
        <v>4.79</v>
      </c>
      <c r="W24" s="96">
        <v>30.51</v>
      </c>
      <c r="X24" s="96">
        <v>7.4</v>
      </c>
      <c r="Y24" s="96">
        <v>2.52</v>
      </c>
      <c r="Z24" s="97">
        <v>2.68</v>
      </c>
    </row>
    <row r="25" spans="1:26" ht="15" customHeight="1" x14ac:dyDescent="0.25">
      <c r="A25" s="72" t="str">
        <f t="shared" si="7"/>
        <v>C170x2,5</v>
      </c>
      <c r="B25" s="90" t="str">
        <f t="shared" si="8"/>
        <v>170</v>
      </c>
      <c r="C25" s="3">
        <f t="shared" si="9"/>
        <v>68</v>
      </c>
      <c r="D25" s="3">
        <f t="shared" si="10"/>
        <v>68</v>
      </c>
      <c r="E25" s="3">
        <f t="shared" si="11"/>
        <v>18.5</v>
      </c>
      <c r="F25" s="134" t="str">
        <f t="shared" si="12"/>
        <v>C170</v>
      </c>
      <c r="G25" s="81" t="s">
        <v>135</v>
      </c>
      <c r="H25" s="123">
        <v>2.5</v>
      </c>
      <c r="I25" s="96">
        <v>6.36</v>
      </c>
      <c r="J25" s="96">
        <v>6.45</v>
      </c>
      <c r="K25" s="96">
        <v>2.52</v>
      </c>
      <c r="L25" s="96">
        <v>8.09</v>
      </c>
      <c r="M25" s="96">
        <v>360.48</v>
      </c>
      <c r="N25" s="96">
        <v>42.4</v>
      </c>
      <c r="O25" s="96">
        <v>6.68</v>
      </c>
      <c r="P25" s="96">
        <v>8.5</v>
      </c>
      <c r="Q25" s="96"/>
      <c r="R25" s="96"/>
      <c r="S25" s="96"/>
      <c r="T25" s="96"/>
      <c r="U25" s="96"/>
      <c r="V25" s="96">
        <v>6.44</v>
      </c>
      <c r="W25" s="96">
        <v>40.99</v>
      </c>
      <c r="X25" s="96">
        <v>9.64</v>
      </c>
      <c r="Y25" s="96">
        <v>2.52</v>
      </c>
      <c r="Z25" s="97">
        <v>2.5499999999999998</v>
      </c>
    </row>
    <row r="26" spans="1:26" ht="15" customHeight="1" thickBot="1" x14ac:dyDescent="0.3">
      <c r="A26" s="73" t="str">
        <f t="shared" si="7"/>
        <v>C170x3,0</v>
      </c>
      <c r="B26" s="91" t="str">
        <f t="shared" si="8"/>
        <v>170</v>
      </c>
      <c r="C26" s="5">
        <f t="shared" si="9"/>
        <v>68</v>
      </c>
      <c r="D26" s="5">
        <f t="shared" si="10"/>
        <v>68</v>
      </c>
      <c r="E26" s="5">
        <f t="shared" si="11"/>
        <v>20</v>
      </c>
      <c r="F26" s="135" t="str">
        <f t="shared" si="12"/>
        <v>C170</v>
      </c>
      <c r="G26" s="82" t="s">
        <v>136</v>
      </c>
      <c r="H26" s="124">
        <v>3</v>
      </c>
      <c r="I26" s="98">
        <v>7.64</v>
      </c>
      <c r="J26" s="98">
        <v>8.23</v>
      </c>
      <c r="K26" s="98">
        <v>2.5099999999999998</v>
      </c>
      <c r="L26" s="98">
        <v>9.73</v>
      </c>
      <c r="M26" s="98">
        <v>429.86</v>
      </c>
      <c r="N26" s="98">
        <v>50.57</v>
      </c>
      <c r="O26" s="98">
        <v>6.65</v>
      </c>
      <c r="P26" s="98">
        <v>8.5</v>
      </c>
      <c r="Q26" s="98"/>
      <c r="R26" s="98"/>
      <c r="S26" s="98"/>
      <c r="T26" s="98"/>
      <c r="U26" s="98"/>
      <c r="V26" s="98">
        <v>8.2200000000000006</v>
      </c>
      <c r="W26" s="98">
        <v>52.02</v>
      </c>
      <c r="X26" s="98">
        <v>11.97</v>
      </c>
      <c r="Y26" s="98">
        <v>2.5099999999999998</v>
      </c>
      <c r="Z26" s="99">
        <v>2.46</v>
      </c>
    </row>
    <row r="27" spans="1:26" ht="15" customHeight="1" x14ac:dyDescent="0.25">
      <c r="A27" s="71" t="str">
        <f t="shared" si="7"/>
        <v>C180x1,5</v>
      </c>
      <c r="B27" s="88" t="str">
        <f t="shared" si="8"/>
        <v>180</v>
      </c>
      <c r="C27" s="1">
        <f t="shared" si="9"/>
        <v>68</v>
      </c>
      <c r="D27" s="1">
        <f t="shared" si="10"/>
        <v>68</v>
      </c>
      <c r="E27" s="1">
        <f t="shared" si="11"/>
        <v>15.5</v>
      </c>
      <c r="F27" s="133" t="str">
        <f t="shared" si="12"/>
        <v>C180</v>
      </c>
      <c r="G27" s="80" t="s">
        <v>137</v>
      </c>
      <c r="H27" s="122">
        <v>1.5</v>
      </c>
      <c r="I27" s="94">
        <v>3.92</v>
      </c>
      <c r="J27" s="94">
        <v>3</v>
      </c>
      <c r="K27" s="94">
        <v>2.63</v>
      </c>
      <c r="L27" s="94">
        <v>4.58</v>
      </c>
      <c r="M27" s="94">
        <v>229.37</v>
      </c>
      <c r="N27" s="94">
        <v>23.94</v>
      </c>
      <c r="O27" s="94">
        <v>7.08</v>
      </c>
      <c r="P27" s="94">
        <v>8.42</v>
      </c>
      <c r="Q27" s="94"/>
      <c r="R27" s="94"/>
      <c r="S27" s="94"/>
      <c r="T27" s="94"/>
      <c r="U27" s="94"/>
      <c r="V27" s="94">
        <v>3.31</v>
      </c>
      <c r="W27" s="94">
        <v>20.83</v>
      </c>
      <c r="X27" s="94">
        <v>5.26</v>
      </c>
      <c r="Y27" s="94">
        <v>2.5</v>
      </c>
      <c r="Z27" s="95">
        <v>2.84</v>
      </c>
    </row>
    <row r="28" spans="1:26" ht="15" customHeight="1" x14ac:dyDescent="0.25">
      <c r="A28" s="72" t="str">
        <f t="shared" si="7"/>
        <v>C180x2,0</v>
      </c>
      <c r="B28" s="90" t="str">
        <f t="shared" si="8"/>
        <v>180</v>
      </c>
      <c r="C28" s="3">
        <f t="shared" si="9"/>
        <v>68</v>
      </c>
      <c r="D28" s="3">
        <f t="shared" si="10"/>
        <v>68</v>
      </c>
      <c r="E28" s="3">
        <f t="shared" si="11"/>
        <v>17</v>
      </c>
      <c r="F28" s="134" t="str">
        <f t="shared" si="12"/>
        <v>C180</v>
      </c>
      <c r="G28" s="81" t="s">
        <v>138</v>
      </c>
      <c r="H28" s="123">
        <v>2</v>
      </c>
      <c r="I28" s="96">
        <v>5.23</v>
      </c>
      <c r="J28" s="96">
        <v>4.8099999999999996</v>
      </c>
      <c r="K28" s="96">
        <v>2.52</v>
      </c>
      <c r="L28" s="96">
        <v>6.66</v>
      </c>
      <c r="M28" s="96">
        <v>331.14</v>
      </c>
      <c r="N28" s="96">
        <v>36.770000000000003</v>
      </c>
      <c r="O28" s="96">
        <v>7.05</v>
      </c>
      <c r="P28" s="96">
        <v>9</v>
      </c>
      <c r="Q28" s="96"/>
      <c r="R28" s="96"/>
      <c r="S28" s="96"/>
      <c r="T28" s="96"/>
      <c r="U28" s="96"/>
      <c r="V28" s="96">
        <v>4.8099999999999996</v>
      </c>
      <c r="W28" s="96">
        <v>30.6</v>
      </c>
      <c r="X28" s="96">
        <v>7.41</v>
      </c>
      <c r="Y28" s="96">
        <v>2.52</v>
      </c>
      <c r="Z28" s="97">
        <v>2.67</v>
      </c>
    </row>
    <row r="29" spans="1:26" ht="15" customHeight="1" x14ac:dyDescent="0.25">
      <c r="A29" s="72" t="str">
        <f t="shared" si="7"/>
        <v>C180x2,5</v>
      </c>
      <c r="B29" s="90" t="str">
        <f t="shared" si="8"/>
        <v>180</v>
      </c>
      <c r="C29" s="3">
        <f t="shared" si="9"/>
        <v>68</v>
      </c>
      <c r="D29" s="3">
        <f t="shared" si="10"/>
        <v>68</v>
      </c>
      <c r="E29" s="3">
        <f t="shared" si="11"/>
        <v>18.5</v>
      </c>
      <c r="F29" s="134" t="str">
        <f t="shared" si="12"/>
        <v>C180</v>
      </c>
      <c r="G29" s="81" t="s">
        <v>139</v>
      </c>
      <c r="H29" s="123">
        <v>2.5</v>
      </c>
      <c r="I29" s="96">
        <v>6.55</v>
      </c>
      <c r="J29" s="96">
        <v>6.48</v>
      </c>
      <c r="K29" s="96">
        <v>2.52</v>
      </c>
      <c r="L29" s="96">
        <v>8.34</v>
      </c>
      <c r="M29" s="96">
        <v>412.06</v>
      </c>
      <c r="N29" s="96">
        <v>45.78</v>
      </c>
      <c r="O29" s="96">
        <v>7.03</v>
      </c>
      <c r="P29" s="96">
        <v>9</v>
      </c>
      <c r="Q29" s="96"/>
      <c r="R29" s="96"/>
      <c r="S29" s="96"/>
      <c r="T29" s="96"/>
      <c r="U29" s="96"/>
      <c r="V29" s="96">
        <v>6.47</v>
      </c>
      <c r="W29" s="96">
        <v>41.14</v>
      </c>
      <c r="X29" s="96">
        <v>9.66</v>
      </c>
      <c r="Y29" s="96">
        <v>2.52</v>
      </c>
      <c r="Z29" s="97">
        <v>2.54</v>
      </c>
    </row>
    <row r="30" spans="1:26" ht="15" customHeight="1" thickBot="1" x14ac:dyDescent="0.3">
      <c r="A30" s="73" t="str">
        <f t="shared" si="7"/>
        <v>C180x3,0</v>
      </c>
      <c r="B30" s="91" t="str">
        <f t="shared" si="8"/>
        <v>180</v>
      </c>
      <c r="C30" s="5">
        <f t="shared" si="9"/>
        <v>68</v>
      </c>
      <c r="D30" s="5">
        <f t="shared" si="10"/>
        <v>68</v>
      </c>
      <c r="E30" s="5">
        <f t="shared" si="11"/>
        <v>20</v>
      </c>
      <c r="F30" s="135" t="str">
        <f t="shared" si="12"/>
        <v>C180</v>
      </c>
      <c r="G30" s="82" t="s">
        <v>140</v>
      </c>
      <c r="H30" s="124">
        <v>3</v>
      </c>
      <c r="I30" s="98">
        <v>7.88</v>
      </c>
      <c r="J30" s="98">
        <v>8.2799999999999994</v>
      </c>
      <c r="K30" s="98">
        <v>2.5099999999999998</v>
      </c>
      <c r="L30" s="98">
        <v>10.029999999999999</v>
      </c>
      <c r="M30" s="98">
        <v>491.66</v>
      </c>
      <c r="N30" s="98">
        <v>54.62</v>
      </c>
      <c r="O30" s="98">
        <v>7</v>
      </c>
      <c r="P30" s="98">
        <v>9</v>
      </c>
      <c r="Q30" s="98"/>
      <c r="R30" s="98"/>
      <c r="S30" s="98"/>
      <c r="T30" s="98"/>
      <c r="U30" s="98"/>
      <c r="V30" s="98">
        <v>8.27</v>
      </c>
      <c r="W30" s="98">
        <v>52.26</v>
      </c>
      <c r="X30" s="98">
        <v>11.99</v>
      </c>
      <c r="Y30" s="98">
        <v>2.5099999999999998</v>
      </c>
      <c r="Z30" s="99">
        <v>2.44</v>
      </c>
    </row>
    <row r="31" spans="1:26" ht="15" customHeight="1" x14ac:dyDescent="0.25">
      <c r="A31" s="71" t="str">
        <f t="shared" si="7"/>
        <v>C200x1,0</v>
      </c>
      <c r="B31" s="88" t="str">
        <f t="shared" si="8"/>
        <v>200</v>
      </c>
      <c r="C31" s="1">
        <f t="shared" si="9"/>
        <v>68</v>
      </c>
      <c r="D31" s="1">
        <f t="shared" si="10"/>
        <v>68</v>
      </c>
      <c r="E31" s="1">
        <f t="shared" si="11"/>
        <v>15.5</v>
      </c>
      <c r="F31" s="133" t="str">
        <f t="shared" si="12"/>
        <v>C200</v>
      </c>
      <c r="G31" s="80" t="s">
        <v>141</v>
      </c>
      <c r="H31" s="122">
        <v>1</v>
      </c>
      <c r="I31" s="94">
        <v>2.89</v>
      </c>
      <c r="J31" s="94">
        <v>1.51</v>
      </c>
      <c r="K31" s="94">
        <v>2.81</v>
      </c>
      <c r="L31" s="94">
        <v>2.78</v>
      </c>
      <c r="M31" s="94">
        <v>166.67</v>
      </c>
      <c r="N31" s="94">
        <v>14.05</v>
      </c>
      <c r="O31" s="94">
        <v>7.74</v>
      </c>
      <c r="P31" s="94">
        <v>8.15</v>
      </c>
      <c r="Q31" s="94"/>
      <c r="R31" s="94"/>
      <c r="S31" s="94"/>
      <c r="T31" s="94"/>
      <c r="U31" s="94"/>
      <c r="V31" s="94">
        <v>2.04</v>
      </c>
      <c r="W31" s="94">
        <v>12.56</v>
      </c>
      <c r="X31" s="94">
        <v>3.41</v>
      </c>
      <c r="Y31" s="94">
        <v>2.48</v>
      </c>
      <c r="Z31" s="95">
        <v>3.12</v>
      </c>
    </row>
    <row r="32" spans="1:26" ht="15" customHeight="1" x14ac:dyDescent="0.25">
      <c r="A32" s="72" t="str">
        <f t="shared" si="7"/>
        <v>C200x1,2</v>
      </c>
      <c r="B32" s="90" t="str">
        <f t="shared" si="8"/>
        <v>200</v>
      </c>
      <c r="C32" s="3">
        <f t="shared" si="9"/>
        <v>68</v>
      </c>
      <c r="D32" s="3">
        <f t="shared" si="10"/>
        <v>68</v>
      </c>
      <c r="E32" s="3">
        <f t="shared" si="11"/>
        <v>15.5</v>
      </c>
      <c r="F32" s="134" t="str">
        <f t="shared" si="12"/>
        <v>C200</v>
      </c>
      <c r="G32" s="81" t="s">
        <v>141</v>
      </c>
      <c r="H32" s="123">
        <v>1.2</v>
      </c>
      <c r="I32" s="96">
        <v>3.44</v>
      </c>
      <c r="J32" s="96">
        <v>2.08</v>
      </c>
      <c r="K32" s="96">
        <v>2.74</v>
      </c>
      <c r="L32" s="96">
        <v>3.53</v>
      </c>
      <c r="M32" s="96">
        <v>214.31</v>
      </c>
      <c r="N32" s="96">
        <v>18.850000000000001</v>
      </c>
      <c r="O32" s="96">
        <v>7.79</v>
      </c>
      <c r="P32" s="96">
        <v>8.6300000000000008</v>
      </c>
      <c r="Q32" s="96"/>
      <c r="R32" s="96"/>
      <c r="S32" s="96"/>
      <c r="T32" s="96"/>
      <c r="U32" s="96"/>
      <c r="V32" s="96">
        <v>2.5299999999999998</v>
      </c>
      <c r="W32" s="96">
        <v>15.81</v>
      </c>
      <c r="X32" s="96">
        <v>4.16</v>
      </c>
      <c r="Y32" s="96">
        <v>2.5</v>
      </c>
      <c r="Z32" s="97">
        <v>3</v>
      </c>
    </row>
    <row r="33" spans="1:26" ht="15" customHeight="1" x14ac:dyDescent="0.25">
      <c r="A33" s="72" t="str">
        <f t="shared" si="7"/>
        <v>C200x1,5</v>
      </c>
      <c r="B33" s="90" t="str">
        <f t="shared" si="8"/>
        <v>200</v>
      </c>
      <c r="C33" s="3">
        <f t="shared" si="9"/>
        <v>68</v>
      </c>
      <c r="D33" s="3">
        <f t="shared" si="10"/>
        <v>68</v>
      </c>
      <c r="E33" s="3">
        <f t="shared" si="11"/>
        <v>15.5</v>
      </c>
      <c r="F33" s="134" t="str">
        <f t="shared" si="12"/>
        <v>C200</v>
      </c>
      <c r="G33" s="81" t="s">
        <v>141</v>
      </c>
      <c r="H33" s="123">
        <v>1.5</v>
      </c>
      <c r="I33" s="96">
        <v>4.1500000000000004</v>
      </c>
      <c r="J33" s="96">
        <v>3.02</v>
      </c>
      <c r="K33" s="96">
        <v>2.64</v>
      </c>
      <c r="L33" s="96">
        <v>4.76</v>
      </c>
      <c r="M33" s="96">
        <v>289.97000000000003</v>
      </c>
      <c r="N33" s="96">
        <v>26.95</v>
      </c>
      <c r="O33" s="96">
        <v>7.81</v>
      </c>
      <c r="P33" s="96">
        <v>9.24</v>
      </c>
      <c r="Q33" s="96"/>
      <c r="R33" s="96"/>
      <c r="S33" s="96"/>
      <c r="T33" s="96"/>
      <c r="U33" s="96"/>
      <c r="V33" s="96">
        <v>3.32</v>
      </c>
      <c r="W33" s="96">
        <v>21.25</v>
      </c>
      <c r="X33" s="96">
        <v>5.36</v>
      </c>
      <c r="Y33" s="96">
        <v>2.52</v>
      </c>
      <c r="Z33" s="97">
        <v>2.84</v>
      </c>
    </row>
    <row r="34" spans="1:26" ht="15" customHeight="1" x14ac:dyDescent="0.25">
      <c r="A34" s="72" t="str">
        <f t="shared" si="7"/>
        <v>C200x2,0</v>
      </c>
      <c r="B34" s="90" t="str">
        <f t="shared" si="8"/>
        <v>200</v>
      </c>
      <c r="C34" s="3">
        <f t="shared" si="9"/>
        <v>68</v>
      </c>
      <c r="D34" s="3">
        <f t="shared" si="10"/>
        <v>68</v>
      </c>
      <c r="E34" s="3">
        <f t="shared" si="11"/>
        <v>17</v>
      </c>
      <c r="F34" s="134" t="str">
        <f t="shared" si="12"/>
        <v>C200</v>
      </c>
      <c r="G34" s="81" t="s">
        <v>142</v>
      </c>
      <c r="H34" s="123">
        <v>2</v>
      </c>
      <c r="I34" s="96">
        <v>5.55</v>
      </c>
      <c r="J34" s="96">
        <v>4.84</v>
      </c>
      <c r="K34" s="96">
        <v>2.5299999999999998</v>
      </c>
      <c r="L34" s="96">
        <v>7.05</v>
      </c>
      <c r="M34" s="96">
        <v>423.88</v>
      </c>
      <c r="N34" s="96">
        <v>42.35</v>
      </c>
      <c r="O34" s="96">
        <v>7.75</v>
      </c>
      <c r="P34" s="96">
        <v>9.99</v>
      </c>
      <c r="Q34" s="96"/>
      <c r="R34" s="96"/>
      <c r="S34" s="96"/>
      <c r="T34" s="96"/>
      <c r="U34" s="96"/>
      <c r="V34" s="96">
        <v>4.83</v>
      </c>
      <c r="W34" s="96">
        <v>31.14</v>
      </c>
      <c r="X34" s="96">
        <v>7.52</v>
      </c>
      <c r="Y34" s="96">
        <v>2.5299999999999998</v>
      </c>
      <c r="Z34" s="97">
        <v>2.66</v>
      </c>
    </row>
    <row r="35" spans="1:26" ht="15" customHeight="1" x14ac:dyDescent="0.25">
      <c r="A35" s="72" t="str">
        <f t="shared" si="7"/>
        <v>C200x2,5</v>
      </c>
      <c r="B35" s="90" t="str">
        <f t="shared" si="8"/>
        <v>200</v>
      </c>
      <c r="C35" s="3">
        <f t="shared" si="9"/>
        <v>68</v>
      </c>
      <c r="D35" s="3">
        <f t="shared" si="10"/>
        <v>68</v>
      </c>
      <c r="E35" s="3">
        <f>VALUE(MID(G35,(SEARCH("/",G35,SEARCH("/",G35,(SEARCH("/",G35,1)+1))+1)+1),4))</f>
        <v>18.5</v>
      </c>
      <c r="F35" s="134" t="str">
        <f t="shared" si="12"/>
        <v>C200</v>
      </c>
      <c r="G35" s="81" t="s">
        <v>170</v>
      </c>
      <c r="H35" s="123">
        <v>2.5</v>
      </c>
      <c r="I35" s="96">
        <v>6.95</v>
      </c>
      <c r="J35" s="96">
        <v>6.52</v>
      </c>
      <c r="K35" s="96">
        <v>2.5299999999999998</v>
      </c>
      <c r="L35" s="96">
        <v>8.84</v>
      </c>
      <c r="M35" s="96">
        <v>527.86</v>
      </c>
      <c r="N35" s="96">
        <v>52.78</v>
      </c>
      <c r="O35" s="96">
        <v>7.73</v>
      </c>
      <c r="P35" s="96">
        <v>10</v>
      </c>
      <c r="Q35" s="96"/>
      <c r="R35" s="96"/>
      <c r="S35" s="96"/>
      <c r="T35" s="96"/>
      <c r="U35" s="96"/>
      <c r="V35" s="96">
        <v>6.51</v>
      </c>
      <c r="W35" s="96">
        <v>41.85</v>
      </c>
      <c r="X35" s="96">
        <v>9.7899999999999991</v>
      </c>
      <c r="Y35" s="96">
        <v>2.5299999999999998</v>
      </c>
      <c r="Z35" s="97">
        <v>2.5299999999999998</v>
      </c>
    </row>
    <row r="36" spans="1:26" ht="15" customHeight="1" thickBot="1" x14ac:dyDescent="0.3">
      <c r="A36" s="73" t="str">
        <f t="shared" si="7"/>
        <v>C200x3,0</v>
      </c>
      <c r="B36" s="91" t="str">
        <f t="shared" si="8"/>
        <v>200</v>
      </c>
      <c r="C36" s="5">
        <f t="shared" si="9"/>
        <v>68</v>
      </c>
      <c r="D36" s="5">
        <f t="shared" si="10"/>
        <v>68</v>
      </c>
      <c r="E36" s="5">
        <f t="shared" si="11"/>
        <v>20</v>
      </c>
      <c r="F36" s="135" t="str">
        <f t="shared" si="12"/>
        <v>C200</v>
      </c>
      <c r="G36" s="82" t="s">
        <v>143</v>
      </c>
      <c r="H36" s="124">
        <v>3</v>
      </c>
      <c r="I36" s="98">
        <v>8.35</v>
      </c>
      <c r="J36" s="98">
        <v>8.35</v>
      </c>
      <c r="K36" s="98">
        <v>2.52</v>
      </c>
      <c r="L36" s="98">
        <v>10.63</v>
      </c>
      <c r="M36" s="98">
        <v>630.44000000000005</v>
      </c>
      <c r="N36" s="98">
        <v>63.04</v>
      </c>
      <c r="O36" s="98">
        <v>7.7</v>
      </c>
      <c r="P36" s="98">
        <v>10</v>
      </c>
      <c r="Q36" s="98"/>
      <c r="R36" s="98"/>
      <c r="S36" s="98"/>
      <c r="T36" s="98"/>
      <c r="U36" s="98"/>
      <c r="V36" s="98">
        <v>8.34</v>
      </c>
      <c r="W36" s="98">
        <v>53.17</v>
      </c>
      <c r="X36" s="98">
        <v>12.15</v>
      </c>
      <c r="Y36" s="98">
        <v>2.52</v>
      </c>
      <c r="Z36" s="99">
        <v>2.4300000000000002</v>
      </c>
    </row>
    <row r="37" spans="1:26" ht="15" customHeight="1" x14ac:dyDescent="0.25">
      <c r="A37" s="71" t="str">
        <f t="shared" si="7"/>
        <v>C230x2,0</v>
      </c>
      <c r="B37" s="88" t="str">
        <f t="shared" si="8"/>
        <v>230</v>
      </c>
      <c r="C37" s="1">
        <f t="shared" si="9"/>
        <v>80</v>
      </c>
      <c r="D37" s="1">
        <f t="shared" si="10"/>
        <v>80</v>
      </c>
      <c r="E37" s="1">
        <f t="shared" si="11"/>
        <v>22</v>
      </c>
      <c r="F37" s="133" t="str">
        <f t="shared" si="12"/>
        <v>C230</v>
      </c>
      <c r="G37" s="80" t="s">
        <v>144</v>
      </c>
      <c r="H37" s="122">
        <v>2</v>
      </c>
      <c r="I37" s="94">
        <v>6.55</v>
      </c>
      <c r="J37" s="94">
        <v>5.25</v>
      </c>
      <c r="K37" s="94">
        <v>3.09</v>
      </c>
      <c r="L37" s="94">
        <v>7.89</v>
      </c>
      <c r="M37" s="94">
        <v>636.66</v>
      </c>
      <c r="N37" s="94">
        <v>53.19</v>
      </c>
      <c r="O37" s="94">
        <v>8.99</v>
      </c>
      <c r="P37" s="94">
        <v>11.03</v>
      </c>
      <c r="Q37" s="94"/>
      <c r="R37" s="94"/>
      <c r="S37" s="94"/>
      <c r="T37" s="94"/>
      <c r="U37" s="94"/>
      <c r="V37" s="94">
        <v>5.53</v>
      </c>
      <c r="W37" s="94">
        <v>50.25</v>
      </c>
      <c r="X37" s="94">
        <v>10.82</v>
      </c>
      <c r="Y37" s="94">
        <v>3.01</v>
      </c>
      <c r="Z37" s="95">
        <v>3.36</v>
      </c>
    </row>
    <row r="38" spans="1:26" ht="15" customHeight="1" x14ac:dyDescent="0.25">
      <c r="A38" s="72" t="str">
        <f t="shared" si="7"/>
        <v>C230x2,5</v>
      </c>
      <c r="B38" s="90" t="str">
        <f t="shared" si="8"/>
        <v>230</v>
      </c>
      <c r="C38" s="3">
        <f t="shared" si="9"/>
        <v>81</v>
      </c>
      <c r="D38" s="3">
        <f t="shared" si="10"/>
        <v>81</v>
      </c>
      <c r="E38" s="3">
        <f t="shared" si="11"/>
        <v>23</v>
      </c>
      <c r="F38" s="134" t="str">
        <f t="shared" si="12"/>
        <v>C230</v>
      </c>
      <c r="G38" s="81" t="s">
        <v>145</v>
      </c>
      <c r="H38" s="123">
        <v>2.5</v>
      </c>
      <c r="I38" s="96">
        <v>8.2200000000000006</v>
      </c>
      <c r="J38" s="96">
        <v>7.45</v>
      </c>
      <c r="K38" s="96">
        <v>3.04</v>
      </c>
      <c r="L38" s="96">
        <v>10.47</v>
      </c>
      <c r="M38" s="96">
        <v>839.22</v>
      </c>
      <c r="N38" s="96">
        <v>72.97</v>
      </c>
      <c r="O38" s="96">
        <v>8.9600000000000009</v>
      </c>
      <c r="P38" s="96">
        <v>11.5</v>
      </c>
      <c r="Q38" s="96"/>
      <c r="R38" s="96"/>
      <c r="S38" s="96"/>
      <c r="T38" s="96"/>
      <c r="U38" s="96"/>
      <c r="V38" s="96">
        <v>7.44</v>
      </c>
      <c r="W38" s="96">
        <v>69.150000000000006</v>
      </c>
      <c r="X38" s="96">
        <v>14.18</v>
      </c>
      <c r="Y38" s="96">
        <v>3.04</v>
      </c>
      <c r="Z38" s="97">
        <v>3.22</v>
      </c>
    </row>
    <row r="39" spans="1:26" ht="15" customHeight="1" thickBot="1" x14ac:dyDescent="0.3">
      <c r="A39" s="73" t="str">
        <f t="shared" si="7"/>
        <v>C230x3,0</v>
      </c>
      <c r="B39" s="91" t="str">
        <f t="shared" si="8"/>
        <v>230</v>
      </c>
      <c r="C39" s="5">
        <f t="shared" si="9"/>
        <v>82</v>
      </c>
      <c r="D39" s="5">
        <f t="shared" si="10"/>
        <v>82</v>
      </c>
      <c r="E39" s="5">
        <f t="shared" si="11"/>
        <v>24</v>
      </c>
      <c r="F39" s="135" t="str">
        <f t="shared" si="12"/>
        <v>C230</v>
      </c>
      <c r="G39" s="82" t="s">
        <v>146</v>
      </c>
      <c r="H39" s="124">
        <v>3</v>
      </c>
      <c r="I39" s="98">
        <v>9.9</v>
      </c>
      <c r="J39" s="98">
        <v>9.52</v>
      </c>
      <c r="K39" s="98">
        <v>3.07</v>
      </c>
      <c r="L39" s="98">
        <v>12.61</v>
      </c>
      <c r="M39" s="98">
        <v>1007.92</v>
      </c>
      <c r="N39" s="98">
        <v>87.64</v>
      </c>
      <c r="O39" s="98">
        <v>8.94</v>
      </c>
      <c r="P39" s="98">
        <v>11.5</v>
      </c>
      <c r="Q39" s="98"/>
      <c r="R39" s="98"/>
      <c r="S39" s="98"/>
      <c r="T39" s="98"/>
      <c r="U39" s="98"/>
      <c r="V39" s="98">
        <v>9.51</v>
      </c>
      <c r="W39" s="98">
        <v>89.96</v>
      </c>
      <c r="X39" s="98">
        <v>17.7</v>
      </c>
      <c r="Y39" s="98">
        <v>3.07</v>
      </c>
      <c r="Z39" s="99">
        <v>3.12</v>
      </c>
    </row>
    <row r="40" spans="1:26" ht="15" customHeight="1" x14ac:dyDescent="0.25">
      <c r="A40" s="71" t="str">
        <f t="shared" si="7"/>
        <v>C250x1,0</v>
      </c>
      <c r="B40" s="88" t="str">
        <f t="shared" si="8"/>
        <v>250</v>
      </c>
      <c r="C40" s="1">
        <f t="shared" si="9"/>
        <v>71</v>
      </c>
      <c r="D40" s="1">
        <f t="shared" si="10"/>
        <v>71</v>
      </c>
      <c r="E40" s="1">
        <f t="shared" si="11"/>
        <v>21</v>
      </c>
      <c r="F40" s="133" t="str">
        <f t="shared" si="12"/>
        <v>C250</v>
      </c>
      <c r="G40" s="80" t="s">
        <v>147</v>
      </c>
      <c r="H40" s="122">
        <v>1</v>
      </c>
      <c r="I40" s="94">
        <v>3.44</v>
      </c>
      <c r="J40" s="94">
        <v>1.54</v>
      </c>
      <c r="K40" s="94">
        <v>2.96</v>
      </c>
      <c r="L40" s="94">
        <v>3.17</v>
      </c>
      <c r="M40" s="94">
        <v>286.98</v>
      </c>
      <c r="N40" s="94">
        <v>18.96</v>
      </c>
      <c r="O40" s="94">
        <v>9.52</v>
      </c>
      <c r="P40" s="94">
        <v>9.8699999999999992</v>
      </c>
      <c r="Q40" s="94"/>
      <c r="R40" s="94"/>
      <c r="S40" s="94"/>
      <c r="T40" s="94"/>
      <c r="U40" s="94"/>
      <c r="V40" s="94">
        <v>2.21</v>
      </c>
      <c r="W40" s="94">
        <v>15.52</v>
      </c>
      <c r="X40" s="94">
        <v>4.25</v>
      </c>
      <c r="Y40" s="94">
        <v>2.65</v>
      </c>
      <c r="Z40" s="95">
        <v>3.45</v>
      </c>
    </row>
    <row r="41" spans="1:26" ht="15" customHeight="1" x14ac:dyDescent="0.25">
      <c r="A41" s="72" t="str">
        <f t="shared" si="7"/>
        <v>C250x1,2</v>
      </c>
      <c r="B41" s="90" t="str">
        <f t="shared" si="8"/>
        <v>250</v>
      </c>
      <c r="C41" s="3">
        <f t="shared" si="9"/>
        <v>71</v>
      </c>
      <c r="D41" s="3">
        <f t="shared" si="10"/>
        <v>71</v>
      </c>
      <c r="E41" s="3">
        <f t="shared" si="11"/>
        <v>21</v>
      </c>
      <c r="F41" s="134" t="str">
        <f t="shared" si="12"/>
        <v>C250</v>
      </c>
      <c r="G41" s="81" t="s">
        <v>147</v>
      </c>
      <c r="H41" s="123">
        <v>1.2</v>
      </c>
      <c r="I41" s="96">
        <v>4.09</v>
      </c>
      <c r="J41" s="96">
        <v>2.14</v>
      </c>
      <c r="K41" s="96">
        <v>2.9</v>
      </c>
      <c r="L41" s="96">
        <v>4.01</v>
      </c>
      <c r="M41" s="96">
        <v>368.97</v>
      </c>
      <c r="N41" s="96">
        <v>25.31</v>
      </c>
      <c r="O41" s="96">
        <v>9.59</v>
      </c>
      <c r="P41" s="96">
        <v>10.43</v>
      </c>
      <c r="Q41" s="96"/>
      <c r="R41" s="96"/>
      <c r="S41" s="96"/>
      <c r="T41" s="96"/>
      <c r="U41" s="96"/>
      <c r="V41" s="96">
        <v>2.74</v>
      </c>
      <c r="W41" s="96">
        <v>19.57</v>
      </c>
      <c r="X41" s="96">
        <v>5.17</v>
      </c>
      <c r="Y41" s="96">
        <v>2.67</v>
      </c>
      <c r="Z41" s="97">
        <v>3.32</v>
      </c>
    </row>
    <row r="42" spans="1:26" ht="15" customHeight="1" x14ac:dyDescent="0.25">
      <c r="A42" s="72" t="str">
        <f t="shared" si="7"/>
        <v>C250x2,0</v>
      </c>
      <c r="B42" s="90" t="str">
        <f t="shared" si="8"/>
        <v>250</v>
      </c>
      <c r="C42" s="3">
        <f t="shared" si="9"/>
        <v>71</v>
      </c>
      <c r="D42" s="3">
        <f t="shared" si="10"/>
        <v>71</v>
      </c>
      <c r="E42" s="3">
        <f t="shared" si="11"/>
        <v>21</v>
      </c>
      <c r="F42" s="134" t="str">
        <f t="shared" si="12"/>
        <v>C250</v>
      </c>
      <c r="G42" s="81" t="s">
        <v>147</v>
      </c>
      <c r="H42" s="123">
        <v>2</v>
      </c>
      <c r="I42" s="96">
        <v>6.55</v>
      </c>
      <c r="J42" s="96">
        <v>5.13</v>
      </c>
      <c r="K42" s="96">
        <v>2.74</v>
      </c>
      <c r="L42" s="96">
        <v>7.88</v>
      </c>
      <c r="M42" s="96">
        <v>729.25</v>
      </c>
      <c r="N42" s="96">
        <v>56.4</v>
      </c>
      <c r="O42" s="96">
        <v>9.6199999999999992</v>
      </c>
      <c r="P42" s="96">
        <v>12.07</v>
      </c>
      <c r="Q42" s="96"/>
      <c r="R42" s="96"/>
      <c r="S42" s="96"/>
      <c r="T42" s="96"/>
      <c r="U42" s="96"/>
      <c r="V42" s="96">
        <v>5.15</v>
      </c>
      <c r="W42" s="96">
        <v>38.69</v>
      </c>
      <c r="X42" s="96">
        <v>9.24</v>
      </c>
      <c r="Y42" s="96">
        <v>2.74</v>
      </c>
      <c r="Z42" s="97">
        <v>2.91</v>
      </c>
    </row>
    <row r="43" spans="1:26" ht="15" customHeight="1" x14ac:dyDescent="0.25">
      <c r="A43" s="72" t="str">
        <f t="shared" si="7"/>
        <v>C250x2,5</v>
      </c>
      <c r="B43" s="90" t="str">
        <f t="shared" si="8"/>
        <v>250</v>
      </c>
      <c r="C43" s="3">
        <f t="shared" si="9"/>
        <v>72</v>
      </c>
      <c r="D43" s="3">
        <f t="shared" si="10"/>
        <v>72</v>
      </c>
      <c r="E43" s="3">
        <f t="shared" si="11"/>
        <v>22</v>
      </c>
      <c r="F43" s="134" t="str">
        <f t="shared" si="12"/>
        <v>C250</v>
      </c>
      <c r="G43" s="81" t="s">
        <v>148</v>
      </c>
      <c r="H43" s="123">
        <v>2.5</v>
      </c>
      <c r="I43" s="96">
        <v>8.2200000000000006</v>
      </c>
      <c r="J43" s="96">
        <v>6.97</v>
      </c>
      <c r="K43" s="96">
        <v>2.7</v>
      </c>
      <c r="L43" s="96">
        <v>10.45</v>
      </c>
      <c r="M43" s="96">
        <v>946.07</v>
      </c>
      <c r="N43" s="96">
        <v>75.62</v>
      </c>
      <c r="O43" s="96">
        <v>9.52</v>
      </c>
      <c r="P43" s="96">
        <v>12.49</v>
      </c>
      <c r="Q43" s="96"/>
      <c r="R43" s="96"/>
      <c r="S43" s="96"/>
      <c r="T43" s="96"/>
      <c r="U43" s="96"/>
      <c r="V43" s="96">
        <v>6.96</v>
      </c>
      <c r="W43" s="96">
        <v>51.01</v>
      </c>
      <c r="X43" s="96">
        <v>11.53</v>
      </c>
      <c r="Y43" s="96">
        <v>2.7</v>
      </c>
      <c r="Z43" s="97">
        <v>2.78</v>
      </c>
    </row>
    <row r="44" spans="1:26" ht="15" customHeight="1" x14ac:dyDescent="0.25">
      <c r="A44" s="72" t="str">
        <f t="shared" si="7"/>
        <v>C250x3,0</v>
      </c>
      <c r="B44" s="90" t="str">
        <f t="shared" si="8"/>
        <v>250</v>
      </c>
      <c r="C44" s="3">
        <f t="shared" si="9"/>
        <v>73</v>
      </c>
      <c r="D44" s="3">
        <f t="shared" si="10"/>
        <v>73</v>
      </c>
      <c r="E44" s="3">
        <f t="shared" si="11"/>
        <v>23</v>
      </c>
      <c r="F44" s="134" t="str">
        <f t="shared" si="12"/>
        <v>C250</v>
      </c>
      <c r="G44" s="81" t="s">
        <v>149</v>
      </c>
      <c r="H44" s="123">
        <v>3</v>
      </c>
      <c r="I44" s="96">
        <v>9.9</v>
      </c>
      <c r="J44" s="96">
        <v>8.9700000000000006</v>
      </c>
      <c r="K44" s="96">
        <v>2.72</v>
      </c>
      <c r="L44" s="96">
        <v>12.61</v>
      </c>
      <c r="M44" s="96">
        <v>1138.23</v>
      </c>
      <c r="N44" s="96">
        <v>91.05</v>
      </c>
      <c r="O44" s="96">
        <v>9.5</v>
      </c>
      <c r="P44" s="96">
        <v>12.5</v>
      </c>
      <c r="Q44" s="96"/>
      <c r="R44" s="96"/>
      <c r="S44" s="96"/>
      <c r="T44" s="96"/>
      <c r="U44" s="96"/>
      <c r="V44" s="96">
        <v>8.9600000000000009</v>
      </c>
      <c r="W44" s="96">
        <v>66.64</v>
      </c>
      <c r="X44" s="96">
        <v>14.43</v>
      </c>
      <c r="Y44" s="96">
        <v>2.72</v>
      </c>
      <c r="Z44" s="97">
        <v>2.68</v>
      </c>
    </row>
    <row r="45" spans="1:26" ht="15" customHeight="1" thickBot="1" x14ac:dyDescent="0.3">
      <c r="A45" s="73" t="str">
        <f t="shared" si="7"/>
        <v>C250x3,5</v>
      </c>
      <c r="B45" s="91" t="str">
        <f t="shared" si="8"/>
        <v>250</v>
      </c>
      <c r="C45" s="5">
        <f t="shared" si="9"/>
        <v>74</v>
      </c>
      <c r="D45" s="5">
        <f t="shared" si="10"/>
        <v>74</v>
      </c>
      <c r="E45" s="5">
        <f t="shared" si="11"/>
        <v>24</v>
      </c>
      <c r="F45" s="135" t="str">
        <f t="shared" si="12"/>
        <v>C250</v>
      </c>
      <c r="G45" s="82" t="s">
        <v>150</v>
      </c>
      <c r="H45" s="124">
        <v>3.5</v>
      </c>
      <c r="I45" s="98">
        <v>11.6</v>
      </c>
      <c r="J45" s="98">
        <v>11.13</v>
      </c>
      <c r="K45" s="98">
        <v>2.74</v>
      </c>
      <c r="L45" s="98">
        <v>14.77</v>
      </c>
      <c r="M45" s="98">
        <v>1330.08</v>
      </c>
      <c r="N45" s="98">
        <v>106.4</v>
      </c>
      <c r="O45" s="98">
        <v>9.49</v>
      </c>
      <c r="P45" s="98">
        <v>12.5</v>
      </c>
      <c r="Q45" s="98"/>
      <c r="R45" s="98"/>
      <c r="S45" s="98"/>
      <c r="T45" s="98"/>
      <c r="U45" s="98"/>
      <c r="V45" s="98">
        <v>11.12</v>
      </c>
      <c r="W45" s="98">
        <v>83.68</v>
      </c>
      <c r="X45" s="98">
        <v>17.48</v>
      </c>
      <c r="Y45" s="98">
        <v>2.74</v>
      </c>
      <c r="Z45" s="99">
        <v>2.61</v>
      </c>
    </row>
    <row r="46" spans="1:26" ht="15" customHeight="1" x14ac:dyDescent="0.25">
      <c r="A46" s="74" t="str">
        <f t="shared" ref="A46:A49" si="13">CONCATENATE(F46,"x",(IF(H46=INT(H46),CONCATENATE(H46,",",0),H46)))</f>
        <v>C300x2,0</v>
      </c>
      <c r="B46" s="13" t="str">
        <f t="shared" ref="B46" si="14">LEFT(G46,3)</f>
        <v>300</v>
      </c>
      <c r="C46" s="15">
        <f t="shared" ref="C46:C49" si="15">VALUE(MID(G46,(SEARCH("/",G46,1)+1),(SEARCH("/",G46,(SEARCH("/",G46,1)+1))-SEARCH("/",G46,1)-1)))</f>
        <v>88</v>
      </c>
      <c r="D46" s="15">
        <f t="shared" ref="D46:D49" si="16">VALUE(MID(G46,(SEARCH("/",G46,(SEARCH("/",G46,1)+1))+1),(SEARCH("/",G46,SEARCH("/",G46,(SEARCH("/",G46,1)+1))+1))-(SEARCH("/",G46,(SEARCH("/",G46,1)+1))+1)))</f>
        <v>88</v>
      </c>
      <c r="E46" s="15">
        <f t="shared" ref="E46:E49" si="17">VALUE(MID(G46,(SEARCH("/",G46,SEARCH("/",G46,(SEARCH("/",G46,1)+1))+1)+1),4))</f>
        <v>29</v>
      </c>
      <c r="F46" s="9" t="str">
        <f t="shared" ref="F46:F49" si="18">CONCATENATE("C",LEFT(G46,3))</f>
        <v>C300</v>
      </c>
      <c r="G46" s="83" t="s">
        <v>151</v>
      </c>
      <c r="H46" s="125">
        <v>2</v>
      </c>
      <c r="I46" s="100">
        <v>8.1199999999999992</v>
      </c>
      <c r="J46" s="100">
        <v>5.62</v>
      </c>
      <c r="K46" s="100">
        <v>3.52</v>
      </c>
      <c r="L46" s="100">
        <v>9.14</v>
      </c>
      <c r="M46" s="100">
        <v>1237.92</v>
      </c>
      <c r="N46" s="100">
        <v>76.180000000000007</v>
      </c>
      <c r="O46" s="100">
        <v>11.64</v>
      </c>
      <c r="P46" s="100">
        <v>13.75</v>
      </c>
      <c r="Q46" s="100"/>
      <c r="R46" s="100"/>
      <c r="S46" s="100"/>
      <c r="T46" s="100"/>
      <c r="U46" s="100"/>
      <c r="V46" s="100">
        <v>6.07</v>
      </c>
      <c r="W46" s="100">
        <v>69.87</v>
      </c>
      <c r="X46" s="100">
        <v>14.14</v>
      </c>
      <c r="Y46" s="100">
        <v>3.39</v>
      </c>
      <c r="Z46" s="101">
        <v>3.86</v>
      </c>
    </row>
    <row r="47" spans="1:26" ht="15" customHeight="1" x14ac:dyDescent="0.25">
      <c r="A47" s="72" t="str">
        <f t="shared" si="13"/>
        <v>C300x2,5</v>
      </c>
      <c r="B47" s="11" t="str">
        <f t="shared" ref="B47:B49" si="19">LEFT(G47,3)</f>
        <v>300</v>
      </c>
      <c r="C47" s="3">
        <f t="shared" si="15"/>
        <v>89</v>
      </c>
      <c r="D47" s="3">
        <f t="shared" si="16"/>
        <v>89</v>
      </c>
      <c r="E47" s="3">
        <f t="shared" si="17"/>
        <v>30</v>
      </c>
      <c r="F47" s="134" t="str">
        <f t="shared" si="18"/>
        <v>C300</v>
      </c>
      <c r="G47" s="81" t="s">
        <v>152</v>
      </c>
      <c r="H47" s="123">
        <v>2.5</v>
      </c>
      <c r="I47" s="96">
        <v>10.19</v>
      </c>
      <c r="J47" s="96">
        <v>8.1199999999999992</v>
      </c>
      <c r="K47" s="96">
        <v>3.44</v>
      </c>
      <c r="L47" s="96">
        <v>12.31</v>
      </c>
      <c r="M47" s="96">
        <v>1652.76</v>
      </c>
      <c r="N47" s="96">
        <v>106.64</v>
      </c>
      <c r="O47" s="96">
        <v>11.59</v>
      </c>
      <c r="P47" s="96">
        <v>14.5</v>
      </c>
      <c r="Q47" s="96"/>
      <c r="R47" s="96"/>
      <c r="S47" s="96"/>
      <c r="T47" s="96"/>
      <c r="U47" s="96"/>
      <c r="V47" s="96">
        <v>8.26</v>
      </c>
      <c r="W47" s="96">
        <v>96.37</v>
      </c>
      <c r="X47" s="96">
        <v>18.78</v>
      </c>
      <c r="Y47" s="96">
        <v>3.41</v>
      </c>
      <c r="Z47" s="97">
        <v>3.77</v>
      </c>
    </row>
    <row r="48" spans="1:26" ht="15" customHeight="1" x14ac:dyDescent="0.25">
      <c r="A48" s="72" t="str">
        <f t="shared" si="13"/>
        <v>C300x3,0</v>
      </c>
      <c r="B48" s="11" t="str">
        <f t="shared" si="19"/>
        <v>300</v>
      </c>
      <c r="C48" s="3">
        <f t="shared" si="15"/>
        <v>91</v>
      </c>
      <c r="D48" s="3">
        <f t="shared" si="16"/>
        <v>91</v>
      </c>
      <c r="E48" s="3">
        <f t="shared" si="17"/>
        <v>30</v>
      </c>
      <c r="F48" s="134" t="str">
        <f t="shared" si="18"/>
        <v>C300</v>
      </c>
      <c r="G48" s="81" t="s">
        <v>153</v>
      </c>
      <c r="H48" s="123">
        <v>3</v>
      </c>
      <c r="I48" s="96">
        <v>12.26</v>
      </c>
      <c r="J48" s="96">
        <v>10.56</v>
      </c>
      <c r="K48" s="96">
        <v>3.47</v>
      </c>
      <c r="L48" s="96">
        <v>15.59</v>
      </c>
      <c r="M48" s="96">
        <v>2064.16</v>
      </c>
      <c r="N48" s="96">
        <v>137.5</v>
      </c>
      <c r="O48" s="96">
        <v>11.51</v>
      </c>
      <c r="P48" s="96">
        <v>14.99</v>
      </c>
      <c r="Q48" s="96"/>
      <c r="R48" s="96"/>
      <c r="S48" s="96"/>
      <c r="T48" s="96"/>
      <c r="U48" s="96"/>
      <c r="V48" s="96">
        <v>10.55</v>
      </c>
      <c r="W48" s="96">
        <v>127.11</v>
      </c>
      <c r="X48" s="96">
        <v>23.35</v>
      </c>
      <c r="Y48" s="96">
        <v>3.47</v>
      </c>
      <c r="Z48" s="97">
        <v>3.66</v>
      </c>
    </row>
    <row r="49" spans="1:26" ht="15" customHeight="1" thickBot="1" x14ac:dyDescent="0.3">
      <c r="A49" s="73" t="str">
        <f t="shared" si="13"/>
        <v>C300x3,5</v>
      </c>
      <c r="B49" s="12" t="str">
        <f t="shared" si="19"/>
        <v>300</v>
      </c>
      <c r="C49" s="5">
        <f t="shared" si="15"/>
        <v>92</v>
      </c>
      <c r="D49" s="5">
        <f t="shared" si="16"/>
        <v>92</v>
      </c>
      <c r="E49" s="5">
        <f t="shared" si="17"/>
        <v>30</v>
      </c>
      <c r="F49" s="135" t="str">
        <f t="shared" si="18"/>
        <v>C300</v>
      </c>
      <c r="G49" s="82" t="s">
        <v>154</v>
      </c>
      <c r="H49" s="124">
        <v>3.5</v>
      </c>
      <c r="I49" s="98">
        <v>14.29</v>
      </c>
      <c r="J49" s="98">
        <v>12.95</v>
      </c>
      <c r="K49" s="98">
        <v>3.48</v>
      </c>
      <c r="L49" s="98">
        <v>18.2</v>
      </c>
      <c r="M49" s="98">
        <v>2402.44</v>
      </c>
      <c r="N49" s="98">
        <v>160.16</v>
      </c>
      <c r="O49" s="98">
        <v>11.49</v>
      </c>
      <c r="P49" s="98">
        <v>15</v>
      </c>
      <c r="Q49" s="98"/>
      <c r="R49" s="98"/>
      <c r="S49" s="98"/>
      <c r="T49" s="98"/>
      <c r="U49" s="98"/>
      <c r="V49" s="98">
        <v>12.94</v>
      </c>
      <c r="W49" s="98">
        <v>156.96</v>
      </c>
      <c r="X49" s="98">
        <v>27.64</v>
      </c>
      <c r="Y49" s="98">
        <v>3.48</v>
      </c>
      <c r="Z49" s="99">
        <v>3.52</v>
      </c>
    </row>
  </sheetData>
  <mergeCells count="33">
    <mergeCell ref="F4:G6"/>
    <mergeCell ref="A4:A10"/>
    <mergeCell ref="B4:B10"/>
    <mergeCell ref="C4:C10"/>
    <mergeCell ref="D4:D10"/>
    <mergeCell ref="E4:E10"/>
    <mergeCell ref="F7:F10"/>
    <mergeCell ref="G7:G10"/>
    <mergeCell ref="N7:N8"/>
    <mergeCell ref="H4:H10"/>
    <mergeCell ref="I4:I9"/>
    <mergeCell ref="J4:K6"/>
    <mergeCell ref="L4:Z4"/>
    <mergeCell ref="L5:U5"/>
    <mergeCell ref="V5:Z6"/>
    <mergeCell ref="L6:P6"/>
    <mergeCell ref="Q6:U6"/>
    <mergeCell ref="J7:J8"/>
    <mergeCell ref="K7:K8"/>
    <mergeCell ref="L7:L8"/>
    <mergeCell ref="M7:M8"/>
    <mergeCell ref="Z7:Z8"/>
    <mergeCell ref="O7:O8"/>
    <mergeCell ref="P7:P8"/>
    <mergeCell ref="V7:V8"/>
    <mergeCell ref="W7:W8"/>
    <mergeCell ref="X7:X8"/>
    <mergeCell ref="Y7:Y8"/>
    <mergeCell ref="Q7:Q8"/>
    <mergeCell ref="R7:R8"/>
    <mergeCell ref="S7:S8"/>
    <mergeCell ref="T7:T8"/>
    <mergeCell ref="U7:U8"/>
  </mergeCells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zoomScale="70" zoomScaleNormal="70" workbookViewId="0"/>
  </sheetViews>
  <sheetFormatPr defaultColWidth="8.85546875" defaultRowHeight="15" customHeight="1" x14ac:dyDescent="0.25"/>
  <cols>
    <col min="1" max="1" width="12.7109375" style="195" customWidth="1"/>
    <col min="2" max="5" width="6.7109375" style="195" customWidth="1"/>
    <col min="6" max="6" width="8.7109375" style="195" customWidth="1"/>
    <col min="7" max="7" width="15.7109375" style="195" customWidth="1"/>
    <col min="8" max="26" width="8.7109375" style="195" customWidth="1"/>
    <col min="27" max="16384" width="8.85546875" style="195"/>
  </cols>
  <sheetData>
    <row r="1" spans="1:26" ht="15" customHeight="1" thickBot="1" x14ac:dyDescent="0.3"/>
    <row r="2" spans="1:26" ht="15" customHeight="1" thickBot="1" x14ac:dyDescent="0.3">
      <c r="A2" s="79" t="str">
        <f>Сводная!A29</f>
        <v>C170x2,0</v>
      </c>
      <c r="B2" s="93" t="str">
        <f>INDEX(B11:B52,MATCH($A$2,$A$11:$A$52))</f>
        <v>170</v>
      </c>
      <c r="C2" s="105">
        <f t="shared" ref="C2:Z2" si="0">INDEX(C11:C52,MATCH($A$2,$A$11:$A$52))</f>
        <v>68</v>
      </c>
      <c r="D2" s="105">
        <f t="shared" si="0"/>
        <v>68</v>
      </c>
      <c r="E2" s="105">
        <f t="shared" si="0"/>
        <v>17</v>
      </c>
      <c r="F2" s="93" t="str">
        <f t="shared" si="0"/>
        <v>C170</v>
      </c>
      <c r="G2" s="93" t="str">
        <f t="shared" si="0"/>
        <v>170/68/68/17</v>
      </c>
      <c r="H2" s="105">
        <f t="shared" si="0"/>
        <v>2</v>
      </c>
      <c r="I2" s="103">
        <f t="shared" si="0"/>
        <v>5.08</v>
      </c>
      <c r="J2" s="103">
        <f t="shared" si="0"/>
        <v>4.6500000000000004</v>
      </c>
      <c r="K2" s="103">
        <f t="shared" si="0"/>
        <v>2.54</v>
      </c>
      <c r="L2" s="103">
        <f t="shared" si="0"/>
        <v>6.35</v>
      </c>
      <c r="M2" s="103">
        <f t="shared" si="0"/>
        <v>287.3</v>
      </c>
      <c r="N2" s="103">
        <f>INDEX(N11:N52,MATCH($A$2,$A$11:$A$52))</f>
        <v>33.46</v>
      </c>
      <c r="O2" s="103">
        <f t="shared" si="0"/>
        <v>6.72</v>
      </c>
      <c r="P2" s="103">
        <f t="shared" si="0"/>
        <v>8.41</v>
      </c>
      <c r="Q2" s="103">
        <f t="shared" si="0"/>
        <v>0</v>
      </c>
      <c r="R2" s="103">
        <f t="shared" si="0"/>
        <v>0</v>
      </c>
      <c r="S2" s="103">
        <f t="shared" si="0"/>
        <v>0</v>
      </c>
      <c r="T2" s="103">
        <f t="shared" si="0"/>
        <v>0</v>
      </c>
      <c r="U2" s="103">
        <f t="shared" si="0"/>
        <v>0</v>
      </c>
      <c r="V2" s="103">
        <f t="shared" si="0"/>
        <v>4.72</v>
      </c>
      <c r="W2" s="103">
        <f t="shared" si="0"/>
        <v>30.01</v>
      </c>
      <c r="X2" s="103">
        <f t="shared" si="0"/>
        <v>7.35</v>
      </c>
      <c r="Y2" s="103">
        <f t="shared" si="0"/>
        <v>2.52</v>
      </c>
      <c r="Z2" s="104">
        <f t="shared" si="0"/>
        <v>2.72</v>
      </c>
    </row>
    <row r="3" spans="1:26" ht="15" customHeight="1" thickBot="1" x14ac:dyDescent="0.3"/>
    <row r="4" spans="1:26" ht="15" customHeight="1" x14ac:dyDescent="0.25">
      <c r="A4" s="347" t="s">
        <v>166</v>
      </c>
      <c r="B4" s="344" t="s">
        <v>11</v>
      </c>
      <c r="C4" s="344" t="s">
        <v>10</v>
      </c>
      <c r="D4" s="344" t="s">
        <v>12</v>
      </c>
      <c r="E4" s="398" t="s">
        <v>59</v>
      </c>
      <c r="F4" s="412" t="s">
        <v>0</v>
      </c>
      <c r="G4" s="405"/>
      <c r="H4" s="372" t="s">
        <v>167</v>
      </c>
      <c r="I4" s="343" t="s">
        <v>56</v>
      </c>
      <c r="J4" s="402" t="s">
        <v>13</v>
      </c>
      <c r="K4" s="402"/>
      <c r="L4" s="344" t="s">
        <v>14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6"/>
    </row>
    <row r="5" spans="1:26" ht="15" customHeight="1" x14ac:dyDescent="0.25">
      <c r="A5" s="348"/>
      <c r="B5" s="345"/>
      <c r="C5" s="345"/>
      <c r="D5" s="345"/>
      <c r="E5" s="368"/>
      <c r="F5" s="406"/>
      <c r="G5" s="407"/>
      <c r="H5" s="373"/>
      <c r="I5" s="341"/>
      <c r="J5" s="403"/>
      <c r="K5" s="403"/>
      <c r="L5" s="345" t="s">
        <v>15</v>
      </c>
      <c r="M5" s="345"/>
      <c r="N5" s="345"/>
      <c r="O5" s="345"/>
      <c r="P5" s="345"/>
      <c r="Q5" s="345"/>
      <c r="R5" s="345"/>
      <c r="S5" s="345"/>
      <c r="T5" s="345"/>
      <c r="U5" s="345"/>
      <c r="V5" s="345" t="s">
        <v>16</v>
      </c>
      <c r="W5" s="345"/>
      <c r="X5" s="345"/>
      <c r="Y5" s="345"/>
      <c r="Z5" s="357"/>
    </row>
    <row r="6" spans="1:26" ht="15" customHeight="1" x14ac:dyDescent="0.25">
      <c r="A6" s="348"/>
      <c r="B6" s="345"/>
      <c r="C6" s="345"/>
      <c r="D6" s="345"/>
      <c r="E6" s="368"/>
      <c r="F6" s="408"/>
      <c r="G6" s="409"/>
      <c r="H6" s="373"/>
      <c r="I6" s="341"/>
      <c r="J6" s="403"/>
      <c r="K6" s="403"/>
      <c r="L6" s="345" t="s">
        <v>17</v>
      </c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57"/>
    </row>
    <row r="7" spans="1:26" ht="15" customHeight="1" x14ac:dyDescent="0.25">
      <c r="A7" s="348"/>
      <c r="B7" s="345"/>
      <c r="C7" s="345"/>
      <c r="D7" s="345"/>
      <c r="E7" s="368"/>
      <c r="F7" s="410" t="s">
        <v>57</v>
      </c>
      <c r="G7" s="411" t="s">
        <v>164</v>
      </c>
      <c r="H7" s="373"/>
      <c r="I7" s="341"/>
      <c r="J7" s="364" t="s">
        <v>21</v>
      </c>
      <c r="K7" s="364" t="s">
        <v>20</v>
      </c>
      <c r="L7" s="364" t="s">
        <v>21</v>
      </c>
      <c r="M7" s="364" t="s">
        <v>3</v>
      </c>
      <c r="N7" s="381" t="s">
        <v>156</v>
      </c>
      <c r="O7" s="364" t="s">
        <v>20</v>
      </c>
      <c r="P7" s="381" t="s">
        <v>168</v>
      </c>
      <c r="Q7" s="364"/>
      <c r="R7" s="364"/>
      <c r="S7" s="364"/>
      <c r="T7" s="364"/>
      <c r="U7" s="364"/>
      <c r="V7" s="364" t="s">
        <v>21</v>
      </c>
      <c r="W7" s="364" t="s">
        <v>19</v>
      </c>
      <c r="X7" s="364" t="s">
        <v>156</v>
      </c>
      <c r="Y7" s="364" t="s">
        <v>20</v>
      </c>
      <c r="Z7" s="381" t="s">
        <v>168</v>
      </c>
    </row>
    <row r="8" spans="1:26" ht="15" customHeight="1" x14ac:dyDescent="0.25">
      <c r="A8" s="348"/>
      <c r="B8" s="345"/>
      <c r="C8" s="345"/>
      <c r="D8" s="345"/>
      <c r="E8" s="368"/>
      <c r="F8" s="410"/>
      <c r="G8" s="388"/>
      <c r="H8" s="373"/>
      <c r="I8" s="341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380"/>
    </row>
    <row r="9" spans="1:26" ht="15" customHeight="1" x14ac:dyDescent="0.25">
      <c r="A9" s="348"/>
      <c r="B9" s="345"/>
      <c r="C9" s="345"/>
      <c r="D9" s="345"/>
      <c r="E9" s="368"/>
      <c r="F9" s="410"/>
      <c r="G9" s="388"/>
      <c r="H9" s="373"/>
      <c r="I9" s="341"/>
      <c r="J9" s="154" t="s">
        <v>172</v>
      </c>
      <c r="K9" s="154" t="s">
        <v>173</v>
      </c>
      <c r="L9" s="154" t="s">
        <v>172</v>
      </c>
      <c r="M9" s="154" t="s">
        <v>174</v>
      </c>
      <c r="N9" s="154" t="s">
        <v>175</v>
      </c>
      <c r="O9" s="154" t="s">
        <v>176</v>
      </c>
      <c r="P9" s="154" t="s">
        <v>177</v>
      </c>
      <c r="Q9" s="154"/>
      <c r="R9" s="154"/>
      <c r="S9" s="154"/>
      <c r="T9" s="154"/>
      <c r="U9" s="154"/>
      <c r="V9" s="154" t="s">
        <v>172</v>
      </c>
      <c r="W9" s="154" t="s">
        <v>178</v>
      </c>
      <c r="X9" s="154" t="s">
        <v>179</v>
      </c>
      <c r="Y9" s="154" t="s">
        <v>180</v>
      </c>
      <c r="Z9" s="155" t="s">
        <v>181</v>
      </c>
    </row>
    <row r="10" spans="1:26" ht="15" customHeight="1" thickBot="1" x14ac:dyDescent="0.3">
      <c r="A10" s="362"/>
      <c r="B10" s="363"/>
      <c r="C10" s="363"/>
      <c r="D10" s="363"/>
      <c r="E10" s="368"/>
      <c r="F10" s="410"/>
      <c r="G10" s="388"/>
      <c r="H10" s="374"/>
      <c r="I10" s="156" t="s">
        <v>2</v>
      </c>
      <c r="J10" s="156" t="s">
        <v>182</v>
      </c>
      <c r="K10" s="156" t="s">
        <v>6</v>
      </c>
      <c r="L10" s="156" t="s">
        <v>182</v>
      </c>
      <c r="M10" s="156" t="s">
        <v>183</v>
      </c>
      <c r="N10" s="156" t="s">
        <v>184</v>
      </c>
      <c r="O10" s="156" t="s">
        <v>6</v>
      </c>
      <c r="P10" s="156" t="s">
        <v>6</v>
      </c>
      <c r="Q10" s="156"/>
      <c r="R10" s="156"/>
      <c r="S10" s="156"/>
      <c r="T10" s="156"/>
      <c r="U10" s="156"/>
      <c r="V10" s="156" t="s">
        <v>182</v>
      </c>
      <c r="W10" s="156" t="s">
        <v>183</v>
      </c>
      <c r="X10" s="156" t="s">
        <v>184</v>
      </c>
      <c r="Y10" s="156" t="s">
        <v>6</v>
      </c>
      <c r="Z10" s="157" t="s">
        <v>6</v>
      </c>
    </row>
    <row r="11" spans="1:26" ht="15" customHeight="1" x14ac:dyDescent="0.25">
      <c r="A11" s="144" t="str">
        <f t="shared" ref="A11:A12" si="1">CONCATENATE(F11,"x",(IF(H11=INT(H11),CONCATENATE(H11,",",0),H11)))</f>
        <v>C140x1,0</v>
      </c>
      <c r="B11" s="146" t="str">
        <f t="shared" ref="B11:B12" si="2">LEFT(G11,3)</f>
        <v>140</v>
      </c>
      <c r="C11" s="146">
        <f t="shared" ref="C11:C12" si="3">VALUE(MID(G11,(SEARCH("/",G11,1)+1),(SEARCH("/",G11,(SEARCH("/",G11,1)+1))-SEARCH("/",G11,1)-1)))</f>
        <v>68</v>
      </c>
      <c r="D11" s="146">
        <f t="shared" ref="D11:D12" si="4">VALUE(MID(G11,(SEARCH("/",G11,(SEARCH("/",G11,1)+1))+1),(SEARCH("/",G11,SEARCH("/",G11,(SEARCH("/",G11,1)+1))+1))-(SEARCH("/",G11,(SEARCH("/",G11,1)+1))+1)))</f>
        <v>68</v>
      </c>
      <c r="E11" s="146">
        <f t="shared" ref="E11:E12" si="5">VALUE(MID(G11,(SEARCH("/",G11,SEARCH("/",G11,(SEARCH("/",G11,1)+1))+1)+1),4))</f>
        <v>15.5</v>
      </c>
      <c r="F11" s="158" t="str">
        <f t="shared" ref="F11:F12" si="6">CONCATENATE("C",LEFT(G11,3))</f>
        <v>C140</v>
      </c>
      <c r="G11" s="159" t="s">
        <v>126</v>
      </c>
      <c r="H11" s="160">
        <v>1</v>
      </c>
      <c r="I11" s="161">
        <v>2.4</v>
      </c>
      <c r="J11" s="161">
        <v>1.5</v>
      </c>
      <c r="K11" s="161">
        <v>2.81</v>
      </c>
      <c r="L11" s="161">
        <v>2.4700000000000002</v>
      </c>
      <c r="M11" s="161">
        <v>76.88</v>
      </c>
      <c r="N11" s="161">
        <v>9.56</v>
      </c>
      <c r="O11" s="161">
        <v>5.58</v>
      </c>
      <c r="P11" s="161">
        <v>5.96</v>
      </c>
      <c r="Q11" s="161"/>
      <c r="R11" s="161"/>
      <c r="S11" s="161"/>
      <c r="T11" s="161"/>
      <c r="U11" s="161"/>
      <c r="V11" s="161">
        <v>2.02</v>
      </c>
      <c r="W11" s="161">
        <v>12.46</v>
      </c>
      <c r="X11" s="161">
        <v>3.4</v>
      </c>
      <c r="Y11" s="161">
        <v>2.48</v>
      </c>
      <c r="Z11" s="162">
        <v>3.14</v>
      </c>
    </row>
    <row r="12" spans="1:26" ht="15" customHeight="1" x14ac:dyDescent="0.25">
      <c r="A12" s="147" t="str">
        <f t="shared" si="1"/>
        <v>C140x1,2</v>
      </c>
      <c r="B12" s="149" t="str">
        <f t="shared" si="2"/>
        <v>140</v>
      </c>
      <c r="C12" s="149">
        <f t="shared" si="3"/>
        <v>68</v>
      </c>
      <c r="D12" s="149">
        <f t="shared" si="4"/>
        <v>68</v>
      </c>
      <c r="E12" s="149">
        <f t="shared" si="5"/>
        <v>15.5</v>
      </c>
      <c r="F12" s="154" t="str">
        <f t="shared" si="6"/>
        <v>C140</v>
      </c>
      <c r="G12" s="155" t="s">
        <v>126</v>
      </c>
      <c r="H12" s="164">
        <v>1.2</v>
      </c>
      <c r="I12" s="165">
        <v>2.86</v>
      </c>
      <c r="J12" s="165">
        <v>2.06</v>
      </c>
      <c r="K12" s="165">
        <v>2.74</v>
      </c>
      <c r="L12" s="165">
        <v>3.15</v>
      </c>
      <c r="M12" s="165">
        <v>98.47</v>
      </c>
      <c r="N12" s="165">
        <v>12.82</v>
      </c>
      <c r="O12" s="165">
        <v>5.59</v>
      </c>
      <c r="P12" s="165">
        <v>6.32</v>
      </c>
      <c r="Q12" s="165"/>
      <c r="R12" s="165"/>
      <c r="S12" s="165"/>
      <c r="T12" s="165"/>
      <c r="U12" s="165"/>
      <c r="V12" s="165">
        <v>2.5099999999999998</v>
      </c>
      <c r="W12" s="165">
        <v>15.65</v>
      </c>
      <c r="X12" s="165">
        <v>4.1399999999999997</v>
      </c>
      <c r="Y12" s="165">
        <v>2.4900000000000002</v>
      </c>
      <c r="Z12" s="166">
        <v>3.02</v>
      </c>
    </row>
    <row r="13" spans="1:26" ht="15" customHeight="1" x14ac:dyDescent="0.25">
      <c r="A13" s="72" t="str">
        <f>CONCATENATE(F13,"x",(IF(H13=INT(H13),CONCATENATE(H13,",",0),H13)))</f>
        <v>C140x1,5</v>
      </c>
      <c r="B13" s="90" t="str">
        <f>LEFT(G13,3)</f>
        <v>140</v>
      </c>
      <c r="C13" s="3">
        <f>VALUE(MID(G13,(SEARCH("/",G13,1)+1),(SEARCH("/",G13,(SEARCH("/",G13,1)+1))-SEARCH("/",G13,1)-1)))</f>
        <v>68</v>
      </c>
      <c r="D13" s="3">
        <f>VALUE(MID(G13,(SEARCH("/",G13,(SEARCH("/",G13,1)+1))+1),(SEARCH("/",G13,SEARCH("/",G13,(SEARCH("/",G13,1)+1))+1))-(SEARCH("/",G13,(SEARCH("/",G13,1)+1))+1)))</f>
        <v>68</v>
      </c>
      <c r="E13" s="3">
        <f>VALUE(MID(G13,(SEARCH("/",G13,SEARCH("/",G13,(SEARCH("/",G13,1)+1))+1)+1),4))</f>
        <v>15.5</v>
      </c>
      <c r="F13" s="134" t="str">
        <f>CONCATENATE("C",LEFT(G13,3))</f>
        <v>C140</v>
      </c>
      <c r="G13" s="81" t="s">
        <v>126</v>
      </c>
      <c r="H13" s="123">
        <v>1.5</v>
      </c>
      <c r="I13" s="96">
        <v>3.45</v>
      </c>
      <c r="J13" s="96">
        <v>2.86</v>
      </c>
      <c r="K13" s="96">
        <v>2.66</v>
      </c>
      <c r="L13" s="96">
        <v>4.05</v>
      </c>
      <c r="M13" s="96">
        <v>127.7</v>
      </c>
      <c r="N13" s="96">
        <v>17.100000000000001</v>
      </c>
      <c r="O13" s="96">
        <v>5.61</v>
      </c>
      <c r="P13" s="96">
        <v>6.53</v>
      </c>
      <c r="Q13" s="96"/>
      <c r="R13" s="96"/>
      <c r="S13" s="96"/>
      <c r="T13" s="96"/>
      <c r="U13" s="96"/>
      <c r="V13" s="96">
        <v>3.24</v>
      </c>
      <c r="W13" s="96">
        <v>20.28</v>
      </c>
      <c r="X13" s="96">
        <v>5.2</v>
      </c>
      <c r="Y13" s="96">
        <v>2.5</v>
      </c>
      <c r="Z13" s="97">
        <v>2.9</v>
      </c>
    </row>
    <row r="14" spans="1:26" ht="15" customHeight="1" x14ac:dyDescent="0.25">
      <c r="A14" s="72" t="str">
        <f t="shared" ref="A14:A49" si="7">CONCATENATE(F14,"x",(IF(H14=INT(H14),CONCATENATE(H14,",",0),H14)))</f>
        <v>C140x2,0</v>
      </c>
      <c r="B14" s="90" t="str">
        <f t="shared" ref="B14:B49" si="8">LEFT(G14,3)</f>
        <v>140</v>
      </c>
      <c r="C14" s="3">
        <f t="shared" ref="C14:C49" si="9">VALUE(MID(G14,(SEARCH("/",G14,1)+1),(SEARCH("/",G14,(SEARCH("/",G14,1)+1))-SEARCH("/",G14,1)-1)))</f>
        <v>68</v>
      </c>
      <c r="D14" s="3">
        <f t="shared" ref="D14:D49" si="10">VALUE(MID(G14,(SEARCH("/",G14,(SEARCH("/",G14,1)+1))+1),(SEARCH("/",G14,SEARCH("/",G14,(SEARCH("/",G14,1)+1))+1))-(SEARCH("/",G14,(SEARCH("/",G14,1)+1))+1)))</f>
        <v>68</v>
      </c>
      <c r="E14" s="3">
        <f t="shared" ref="E14:E49" si="11">VALUE(MID(G14,(SEARCH("/",G14,SEARCH("/",G14,(SEARCH("/",G14,1)+1))+1)+1),4))</f>
        <v>17</v>
      </c>
      <c r="F14" s="134" t="str">
        <f t="shared" ref="F14:F49" si="12">CONCATENATE("C",LEFT(G14,3))</f>
        <v>C140</v>
      </c>
      <c r="G14" s="81" t="s">
        <v>127</v>
      </c>
      <c r="H14" s="123">
        <v>2</v>
      </c>
      <c r="I14" s="96">
        <v>4.6100000000000003</v>
      </c>
      <c r="J14" s="96">
        <v>4.5999999999999996</v>
      </c>
      <c r="K14" s="96">
        <v>2.5299999999999998</v>
      </c>
      <c r="L14" s="96">
        <v>5.82</v>
      </c>
      <c r="M14" s="96">
        <v>183.1</v>
      </c>
      <c r="N14" s="96">
        <v>25.98</v>
      </c>
      <c r="O14" s="96">
        <v>5.61</v>
      </c>
      <c r="P14" s="96">
        <v>6.95</v>
      </c>
      <c r="Q14" s="96"/>
      <c r="R14" s="96"/>
      <c r="S14" s="96"/>
      <c r="T14" s="96"/>
      <c r="U14" s="96"/>
      <c r="V14" s="96">
        <v>4.68</v>
      </c>
      <c r="W14" s="96">
        <v>29.69</v>
      </c>
      <c r="X14" s="96">
        <v>7.32</v>
      </c>
      <c r="Y14" s="96">
        <v>2.5099999999999998</v>
      </c>
      <c r="Z14" s="97">
        <v>2.74</v>
      </c>
    </row>
    <row r="15" spans="1:26" ht="15" customHeight="1" x14ac:dyDescent="0.25">
      <c r="A15" s="72" t="str">
        <f t="shared" si="7"/>
        <v>C140x2,5</v>
      </c>
      <c r="B15" s="90" t="str">
        <f t="shared" si="8"/>
        <v>140</v>
      </c>
      <c r="C15" s="3">
        <f t="shared" si="9"/>
        <v>68</v>
      </c>
      <c r="D15" s="3">
        <f t="shared" si="10"/>
        <v>68</v>
      </c>
      <c r="E15" s="3">
        <f t="shared" si="11"/>
        <v>18.5</v>
      </c>
      <c r="F15" s="134" t="str">
        <f t="shared" si="12"/>
        <v>C140</v>
      </c>
      <c r="G15" s="81" t="s">
        <v>128</v>
      </c>
      <c r="H15" s="123">
        <v>2.5</v>
      </c>
      <c r="I15" s="96">
        <v>5.77</v>
      </c>
      <c r="J15" s="96">
        <v>6.25</v>
      </c>
      <c r="K15" s="96">
        <v>2.52</v>
      </c>
      <c r="L15" s="96">
        <v>7.34</v>
      </c>
      <c r="M15" s="96">
        <v>229.51</v>
      </c>
      <c r="N15" s="96">
        <v>32.78</v>
      </c>
      <c r="O15" s="96">
        <v>5.59</v>
      </c>
      <c r="P15" s="96">
        <v>7</v>
      </c>
      <c r="Q15" s="96"/>
      <c r="R15" s="96"/>
      <c r="S15" s="96"/>
      <c r="T15" s="96"/>
      <c r="U15" s="96"/>
      <c r="V15" s="96">
        <v>6.25</v>
      </c>
      <c r="W15" s="96">
        <v>39.79</v>
      </c>
      <c r="X15" s="96">
        <v>9.5299999999999994</v>
      </c>
      <c r="Y15" s="96">
        <v>2.52</v>
      </c>
      <c r="Z15" s="97">
        <v>2.63</v>
      </c>
    </row>
    <row r="16" spans="1:26" ht="15" customHeight="1" thickBot="1" x14ac:dyDescent="0.3">
      <c r="A16" s="73" t="str">
        <f t="shared" si="7"/>
        <v>C140x3,0</v>
      </c>
      <c r="B16" s="91" t="str">
        <f t="shared" si="8"/>
        <v>140</v>
      </c>
      <c r="C16" s="5">
        <f t="shared" si="9"/>
        <v>68</v>
      </c>
      <c r="D16" s="5">
        <f t="shared" si="10"/>
        <v>68</v>
      </c>
      <c r="E16" s="5">
        <f t="shared" si="11"/>
        <v>20</v>
      </c>
      <c r="F16" s="135" t="str">
        <f t="shared" si="12"/>
        <v>C140</v>
      </c>
      <c r="G16" s="82" t="s">
        <v>129</v>
      </c>
      <c r="H16" s="124">
        <v>3</v>
      </c>
      <c r="I16" s="98">
        <v>6.94</v>
      </c>
      <c r="J16" s="98">
        <v>7.93</v>
      </c>
      <c r="K16" s="98">
        <v>2.52</v>
      </c>
      <c r="L16" s="98">
        <v>8.83</v>
      </c>
      <c r="M16" s="98">
        <v>273.07</v>
      </c>
      <c r="N16" s="98">
        <v>39.01</v>
      </c>
      <c r="O16" s="98">
        <v>5.56</v>
      </c>
      <c r="P16" s="98">
        <v>7</v>
      </c>
      <c r="Q16" s="98"/>
      <c r="R16" s="98"/>
      <c r="S16" s="98"/>
      <c r="T16" s="98"/>
      <c r="U16" s="98"/>
      <c r="V16" s="98">
        <v>7.93</v>
      </c>
      <c r="W16" s="98">
        <v>50.37</v>
      </c>
      <c r="X16" s="98">
        <v>11.83</v>
      </c>
      <c r="Y16" s="98">
        <v>2.52</v>
      </c>
      <c r="Z16" s="99">
        <v>2.54</v>
      </c>
    </row>
    <row r="17" spans="1:26" ht="15" customHeight="1" x14ac:dyDescent="0.25">
      <c r="A17" s="71" t="str">
        <f t="shared" si="7"/>
        <v>C160x1,0</v>
      </c>
      <c r="B17" s="88" t="str">
        <f t="shared" si="8"/>
        <v>160</v>
      </c>
      <c r="C17" s="1">
        <f t="shared" si="9"/>
        <v>68</v>
      </c>
      <c r="D17" s="1">
        <f t="shared" si="10"/>
        <v>68</v>
      </c>
      <c r="E17" s="1">
        <f t="shared" si="11"/>
        <v>15.5</v>
      </c>
      <c r="F17" s="133" t="str">
        <f t="shared" si="12"/>
        <v>C160</v>
      </c>
      <c r="G17" s="80" t="s">
        <v>130</v>
      </c>
      <c r="H17" s="122">
        <v>1</v>
      </c>
      <c r="I17" s="94">
        <v>2.57</v>
      </c>
      <c r="J17" s="94">
        <v>1.5</v>
      </c>
      <c r="K17" s="94">
        <v>2.81</v>
      </c>
      <c r="L17" s="94">
        <v>2.57</v>
      </c>
      <c r="M17" s="94">
        <v>102.57</v>
      </c>
      <c r="N17" s="94">
        <v>11.03</v>
      </c>
      <c r="O17" s="94">
        <v>6.31</v>
      </c>
      <c r="P17" s="94">
        <v>6.71</v>
      </c>
      <c r="Q17" s="94"/>
      <c r="R17" s="94"/>
      <c r="S17" s="94"/>
      <c r="T17" s="94"/>
      <c r="U17" s="94"/>
      <c r="V17" s="94">
        <v>2.0299999999999998</v>
      </c>
      <c r="W17" s="94">
        <v>12.51</v>
      </c>
      <c r="X17" s="94">
        <v>3.41</v>
      </c>
      <c r="Y17" s="94">
        <v>2.48</v>
      </c>
      <c r="Z17" s="95">
        <v>3.13</v>
      </c>
    </row>
    <row r="18" spans="1:26" ht="15" customHeight="1" x14ac:dyDescent="0.25">
      <c r="A18" s="72" t="str">
        <f t="shared" si="7"/>
        <v>C160x1,2</v>
      </c>
      <c r="B18" s="90" t="str">
        <f t="shared" si="8"/>
        <v>160</v>
      </c>
      <c r="C18" s="3">
        <f t="shared" si="9"/>
        <v>68</v>
      </c>
      <c r="D18" s="3">
        <f t="shared" si="10"/>
        <v>68</v>
      </c>
      <c r="E18" s="3">
        <f t="shared" si="11"/>
        <v>15.5</v>
      </c>
      <c r="F18" s="134" t="str">
        <f t="shared" si="12"/>
        <v>C160</v>
      </c>
      <c r="G18" s="81" t="s">
        <v>130</v>
      </c>
      <c r="H18" s="123">
        <v>1.2</v>
      </c>
      <c r="I18" s="96">
        <v>3.05</v>
      </c>
      <c r="J18" s="96">
        <v>2.0699999999999998</v>
      </c>
      <c r="K18" s="96">
        <v>2.74</v>
      </c>
      <c r="L18" s="96">
        <v>3.28</v>
      </c>
      <c r="M18" s="96">
        <v>131.54</v>
      </c>
      <c r="N18" s="96">
        <v>14.79</v>
      </c>
      <c r="O18" s="96">
        <v>6.33</v>
      </c>
      <c r="P18" s="96">
        <v>7.11</v>
      </c>
      <c r="Q18" s="96"/>
      <c r="R18" s="96"/>
      <c r="S18" s="96"/>
      <c r="T18" s="96"/>
      <c r="U18" s="96"/>
      <c r="V18" s="96">
        <v>2.52</v>
      </c>
      <c r="W18" s="96">
        <v>15.72</v>
      </c>
      <c r="X18" s="96">
        <v>4.1500000000000004</v>
      </c>
      <c r="Y18" s="96">
        <v>2.4900000000000002</v>
      </c>
      <c r="Z18" s="97">
        <v>3.01</v>
      </c>
    </row>
    <row r="19" spans="1:26" ht="15" customHeight="1" x14ac:dyDescent="0.25">
      <c r="A19" s="72" t="str">
        <f t="shared" si="7"/>
        <v>C160x1,5</v>
      </c>
      <c r="B19" s="90" t="str">
        <f t="shared" si="8"/>
        <v>160</v>
      </c>
      <c r="C19" s="3">
        <f t="shared" si="9"/>
        <v>68</v>
      </c>
      <c r="D19" s="3">
        <f t="shared" si="10"/>
        <v>68</v>
      </c>
      <c r="E19" s="3">
        <f t="shared" si="11"/>
        <v>15.5</v>
      </c>
      <c r="F19" s="134" t="str">
        <f t="shared" si="12"/>
        <v>C160</v>
      </c>
      <c r="G19" s="81" t="s">
        <v>130</v>
      </c>
      <c r="H19" s="123">
        <v>1.5</v>
      </c>
      <c r="I19" s="96">
        <v>3.68</v>
      </c>
      <c r="J19" s="96">
        <v>2.88</v>
      </c>
      <c r="K19" s="96">
        <v>2.66</v>
      </c>
      <c r="L19" s="96">
        <v>4.24</v>
      </c>
      <c r="M19" s="96">
        <v>171.5</v>
      </c>
      <c r="N19" s="96">
        <v>19.88</v>
      </c>
      <c r="O19" s="96">
        <v>6.36</v>
      </c>
      <c r="P19" s="96">
        <v>7.37</v>
      </c>
      <c r="Q19" s="96"/>
      <c r="R19" s="96"/>
      <c r="S19" s="96"/>
      <c r="T19" s="96"/>
      <c r="U19" s="96"/>
      <c r="V19" s="96">
        <v>3.26</v>
      </c>
      <c r="W19" s="96">
        <v>20.39</v>
      </c>
      <c r="X19" s="96">
        <v>5.21</v>
      </c>
      <c r="Y19" s="96">
        <v>2.5</v>
      </c>
      <c r="Z19" s="97">
        <v>2.89</v>
      </c>
    </row>
    <row r="20" spans="1:26" ht="15" customHeight="1" x14ac:dyDescent="0.25">
      <c r="A20" s="72" t="str">
        <f t="shared" si="7"/>
        <v>C160x2,0</v>
      </c>
      <c r="B20" s="90" t="str">
        <f t="shared" si="8"/>
        <v>160</v>
      </c>
      <c r="C20" s="3">
        <f t="shared" si="9"/>
        <v>68</v>
      </c>
      <c r="D20" s="3">
        <f t="shared" si="10"/>
        <v>68</v>
      </c>
      <c r="E20" s="3">
        <f t="shared" si="11"/>
        <v>17</v>
      </c>
      <c r="F20" s="134" t="str">
        <f t="shared" si="12"/>
        <v>C160</v>
      </c>
      <c r="G20" s="81" t="s">
        <v>131</v>
      </c>
      <c r="H20" s="123">
        <v>2</v>
      </c>
      <c r="I20" s="96">
        <v>4.92</v>
      </c>
      <c r="J20" s="96">
        <v>4.6399999999999997</v>
      </c>
      <c r="K20" s="96">
        <v>2.52</v>
      </c>
      <c r="L20" s="96">
        <v>6.17</v>
      </c>
      <c r="M20" s="96">
        <v>248.2</v>
      </c>
      <c r="N20" s="96">
        <v>30.66</v>
      </c>
      <c r="O20" s="96">
        <v>6.34</v>
      </c>
      <c r="P20" s="96">
        <v>7.91</v>
      </c>
      <c r="Q20" s="96"/>
      <c r="R20" s="96"/>
      <c r="S20" s="96"/>
      <c r="T20" s="96"/>
      <c r="U20" s="96"/>
      <c r="V20" s="96">
        <v>4.71</v>
      </c>
      <c r="W20" s="96">
        <v>29.91</v>
      </c>
      <c r="X20" s="96">
        <v>7.34</v>
      </c>
      <c r="Y20" s="96">
        <v>2.52</v>
      </c>
      <c r="Z20" s="97">
        <v>2.73</v>
      </c>
    </row>
    <row r="21" spans="1:26" ht="15" customHeight="1" x14ac:dyDescent="0.25">
      <c r="A21" s="72" t="str">
        <f t="shared" si="7"/>
        <v>C160x2,5</v>
      </c>
      <c r="B21" s="90" t="str">
        <f t="shared" si="8"/>
        <v>160</v>
      </c>
      <c r="C21" s="3">
        <f t="shared" si="9"/>
        <v>68</v>
      </c>
      <c r="D21" s="3">
        <f t="shared" si="10"/>
        <v>68</v>
      </c>
      <c r="E21" s="3">
        <f t="shared" si="11"/>
        <v>18.5</v>
      </c>
      <c r="F21" s="134" t="str">
        <f t="shared" si="12"/>
        <v>C160</v>
      </c>
      <c r="G21" s="81" t="s">
        <v>132</v>
      </c>
      <c r="H21" s="123">
        <v>2.5</v>
      </c>
      <c r="I21" s="96">
        <v>6.16</v>
      </c>
      <c r="J21" s="96">
        <v>6.31</v>
      </c>
      <c r="K21" s="96">
        <v>2.52</v>
      </c>
      <c r="L21" s="96">
        <v>7.84</v>
      </c>
      <c r="M21" s="96">
        <v>312.94</v>
      </c>
      <c r="N21" s="96">
        <v>39.11</v>
      </c>
      <c r="O21" s="96">
        <v>6.32</v>
      </c>
      <c r="P21" s="96">
        <v>8</v>
      </c>
      <c r="Q21" s="96"/>
      <c r="R21" s="96"/>
      <c r="S21" s="96"/>
      <c r="T21" s="96"/>
      <c r="U21" s="96"/>
      <c r="V21" s="96">
        <v>6.31</v>
      </c>
      <c r="W21" s="96">
        <v>40.19</v>
      </c>
      <c r="X21" s="96">
        <v>9.57</v>
      </c>
      <c r="Y21" s="96">
        <v>2.52</v>
      </c>
      <c r="Z21" s="97">
        <v>2.6</v>
      </c>
    </row>
    <row r="22" spans="1:26" ht="15" customHeight="1" thickBot="1" x14ac:dyDescent="0.3">
      <c r="A22" s="73" t="str">
        <f t="shared" si="7"/>
        <v>C160x3,0</v>
      </c>
      <c r="B22" s="91" t="str">
        <f t="shared" si="8"/>
        <v>160</v>
      </c>
      <c r="C22" s="5">
        <f t="shared" si="9"/>
        <v>68</v>
      </c>
      <c r="D22" s="5">
        <f t="shared" si="10"/>
        <v>68</v>
      </c>
      <c r="E22" s="5">
        <f t="shared" si="11"/>
        <v>20</v>
      </c>
      <c r="F22" s="135" t="str">
        <f t="shared" si="12"/>
        <v>C160</v>
      </c>
      <c r="G22" s="82" t="s">
        <v>133</v>
      </c>
      <c r="H22" s="124">
        <v>3</v>
      </c>
      <c r="I22" s="98">
        <v>7.41</v>
      </c>
      <c r="J22" s="98">
        <v>8.0399999999999991</v>
      </c>
      <c r="K22" s="98">
        <v>2.52</v>
      </c>
      <c r="L22" s="98">
        <v>9.43</v>
      </c>
      <c r="M22" s="98">
        <v>372.93</v>
      </c>
      <c r="N22" s="98">
        <v>46.61</v>
      </c>
      <c r="O22" s="98">
        <v>6.29</v>
      </c>
      <c r="P22" s="98">
        <v>8</v>
      </c>
      <c r="Q22" s="98"/>
      <c r="R22" s="98"/>
      <c r="S22" s="98"/>
      <c r="T22" s="98"/>
      <c r="U22" s="98"/>
      <c r="V22" s="98">
        <v>8.0399999999999991</v>
      </c>
      <c r="W22" s="98">
        <v>51.01</v>
      </c>
      <c r="X22" s="98">
        <v>11.88</v>
      </c>
      <c r="Y22" s="98">
        <v>2.5099999999999998</v>
      </c>
      <c r="Z22" s="99">
        <v>2.5099999999999998</v>
      </c>
    </row>
    <row r="23" spans="1:26" ht="15" customHeight="1" x14ac:dyDescent="0.25">
      <c r="A23" s="71" t="str">
        <f t="shared" si="7"/>
        <v>C170x1,5</v>
      </c>
      <c r="B23" s="88" t="str">
        <f t="shared" si="8"/>
        <v>170</v>
      </c>
      <c r="C23" s="1">
        <f t="shared" si="9"/>
        <v>68</v>
      </c>
      <c r="D23" s="1">
        <f t="shared" si="10"/>
        <v>68</v>
      </c>
      <c r="E23" s="1">
        <f t="shared" si="11"/>
        <v>15.5</v>
      </c>
      <c r="F23" s="133" t="str">
        <f t="shared" si="12"/>
        <v>C170</v>
      </c>
      <c r="G23" s="80" t="s">
        <v>171</v>
      </c>
      <c r="H23" s="122">
        <v>1.5</v>
      </c>
      <c r="I23" s="94">
        <v>3.8</v>
      </c>
      <c r="J23" s="94">
        <v>2.88</v>
      </c>
      <c r="K23" s="94">
        <v>2.66</v>
      </c>
      <c r="L23" s="94">
        <v>4.33</v>
      </c>
      <c r="M23" s="94">
        <v>196</v>
      </c>
      <c r="N23" s="94">
        <v>21.27</v>
      </c>
      <c r="O23" s="94">
        <v>6.73</v>
      </c>
      <c r="P23" s="94">
        <v>7.78</v>
      </c>
      <c r="Q23" s="94"/>
      <c r="R23" s="94"/>
      <c r="S23" s="94"/>
      <c r="T23" s="94"/>
      <c r="U23" s="94"/>
      <c r="V23" s="94">
        <v>3.26</v>
      </c>
      <c r="W23" s="94">
        <v>20.440000000000001</v>
      </c>
      <c r="X23" s="94">
        <v>5.22</v>
      </c>
      <c r="Y23" s="94">
        <v>2.5</v>
      </c>
      <c r="Z23" s="95">
        <v>2.89</v>
      </c>
    </row>
    <row r="24" spans="1:26" ht="15" customHeight="1" x14ac:dyDescent="0.25">
      <c r="A24" s="72" t="str">
        <f t="shared" si="7"/>
        <v>C170x2,0</v>
      </c>
      <c r="B24" s="90" t="str">
        <f t="shared" si="8"/>
        <v>170</v>
      </c>
      <c r="C24" s="3">
        <f t="shared" si="9"/>
        <v>68</v>
      </c>
      <c r="D24" s="3">
        <f t="shared" si="10"/>
        <v>68</v>
      </c>
      <c r="E24" s="3">
        <f t="shared" si="11"/>
        <v>17</v>
      </c>
      <c r="F24" s="134" t="str">
        <f t="shared" si="12"/>
        <v>C170</v>
      </c>
      <c r="G24" s="81" t="s">
        <v>134</v>
      </c>
      <c r="H24" s="123">
        <v>2</v>
      </c>
      <c r="I24" s="96">
        <v>5.08</v>
      </c>
      <c r="J24" s="96">
        <v>4.6500000000000004</v>
      </c>
      <c r="K24" s="96">
        <v>2.54</v>
      </c>
      <c r="L24" s="96">
        <v>6.35</v>
      </c>
      <c r="M24" s="96">
        <v>287.3</v>
      </c>
      <c r="N24" s="96">
        <v>33.46</v>
      </c>
      <c r="O24" s="96">
        <v>6.72</v>
      </c>
      <c r="P24" s="96">
        <v>8.41</v>
      </c>
      <c r="Q24" s="96"/>
      <c r="R24" s="96"/>
      <c r="S24" s="96"/>
      <c r="T24" s="96"/>
      <c r="U24" s="96"/>
      <c r="V24" s="96">
        <v>4.72</v>
      </c>
      <c r="W24" s="96">
        <v>30.01</v>
      </c>
      <c r="X24" s="96">
        <v>7.35</v>
      </c>
      <c r="Y24" s="96">
        <v>2.52</v>
      </c>
      <c r="Z24" s="97">
        <v>2.72</v>
      </c>
    </row>
    <row r="25" spans="1:26" ht="15" customHeight="1" x14ac:dyDescent="0.25">
      <c r="A25" s="72" t="str">
        <f t="shared" si="7"/>
        <v>C170x2,5</v>
      </c>
      <c r="B25" s="90" t="str">
        <f t="shared" si="8"/>
        <v>170</v>
      </c>
      <c r="C25" s="3">
        <f t="shared" si="9"/>
        <v>68</v>
      </c>
      <c r="D25" s="3">
        <f t="shared" si="10"/>
        <v>68</v>
      </c>
      <c r="E25" s="3">
        <f t="shared" si="11"/>
        <v>18.5</v>
      </c>
      <c r="F25" s="134" t="str">
        <f t="shared" si="12"/>
        <v>C170</v>
      </c>
      <c r="G25" s="81" t="s">
        <v>135</v>
      </c>
      <c r="H25" s="123">
        <v>2.5</v>
      </c>
      <c r="I25" s="96">
        <v>6.36</v>
      </c>
      <c r="J25" s="96">
        <v>6.34</v>
      </c>
      <c r="K25" s="96">
        <v>2.52</v>
      </c>
      <c r="L25" s="96">
        <v>8.09</v>
      </c>
      <c r="M25" s="96">
        <v>360.48</v>
      </c>
      <c r="N25" s="96">
        <v>42.4</v>
      </c>
      <c r="O25" s="96">
        <v>6.68</v>
      </c>
      <c r="P25" s="96">
        <v>8.5</v>
      </c>
      <c r="Q25" s="96"/>
      <c r="R25" s="96"/>
      <c r="S25" s="96"/>
      <c r="T25" s="96"/>
      <c r="U25" s="96"/>
      <c r="V25" s="96">
        <v>6.34</v>
      </c>
      <c r="W25" s="96">
        <v>40.35</v>
      </c>
      <c r="X25" s="96">
        <v>9.58</v>
      </c>
      <c r="Y25" s="96">
        <v>2.52</v>
      </c>
      <c r="Z25" s="97">
        <v>2.59</v>
      </c>
    </row>
    <row r="26" spans="1:26" ht="15" customHeight="1" thickBot="1" x14ac:dyDescent="0.3">
      <c r="A26" s="73" t="str">
        <f t="shared" si="7"/>
        <v>C170x3,0</v>
      </c>
      <c r="B26" s="91" t="str">
        <f t="shared" si="8"/>
        <v>170</v>
      </c>
      <c r="C26" s="5">
        <f t="shared" si="9"/>
        <v>68</v>
      </c>
      <c r="D26" s="5">
        <f t="shared" si="10"/>
        <v>68</v>
      </c>
      <c r="E26" s="5">
        <f t="shared" si="11"/>
        <v>20</v>
      </c>
      <c r="F26" s="135" t="str">
        <f t="shared" si="12"/>
        <v>C170</v>
      </c>
      <c r="G26" s="82" t="s">
        <v>136</v>
      </c>
      <c r="H26" s="124">
        <v>3</v>
      </c>
      <c r="I26" s="98">
        <v>7.64</v>
      </c>
      <c r="J26" s="98">
        <v>8.09</v>
      </c>
      <c r="K26" s="98">
        <v>2.5099999999999998</v>
      </c>
      <c r="L26" s="98">
        <v>9.73</v>
      </c>
      <c r="M26" s="98">
        <v>429.86</v>
      </c>
      <c r="N26" s="98">
        <v>50.57</v>
      </c>
      <c r="O26" s="98">
        <v>6.65</v>
      </c>
      <c r="P26" s="98">
        <v>8.5</v>
      </c>
      <c r="Q26" s="98"/>
      <c r="R26" s="98"/>
      <c r="S26" s="98"/>
      <c r="T26" s="98"/>
      <c r="U26" s="98"/>
      <c r="V26" s="98">
        <v>8.09</v>
      </c>
      <c r="W26" s="98">
        <v>51.26</v>
      </c>
      <c r="X26" s="98">
        <v>11.91</v>
      </c>
      <c r="Y26" s="98">
        <v>2.52</v>
      </c>
      <c r="Z26" s="99">
        <v>2.5</v>
      </c>
    </row>
    <row r="27" spans="1:26" ht="15" customHeight="1" x14ac:dyDescent="0.25">
      <c r="A27" s="71" t="str">
        <f t="shared" si="7"/>
        <v>C180x1,5</v>
      </c>
      <c r="B27" s="88" t="str">
        <f t="shared" si="8"/>
        <v>180</v>
      </c>
      <c r="C27" s="1">
        <f t="shared" si="9"/>
        <v>68</v>
      </c>
      <c r="D27" s="1">
        <f t="shared" si="10"/>
        <v>68</v>
      </c>
      <c r="E27" s="1">
        <f t="shared" si="11"/>
        <v>15.5</v>
      </c>
      <c r="F27" s="133" t="str">
        <f t="shared" si="12"/>
        <v>C180</v>
      </c>
      <c r="G27" s="80" t="s">
        <v>137</v>
      </c>
      <c r="H27" s="122">
        <v>1.5</v>
      </c>
      <c r="I27" s="94">
        <v>3.92</v>
      </c>
      <c r="J27" s="94">
        <v>2.89</v>
      </c>
      <c r="K27" s="94">
        <v>2.65</v>
      </c>
      <c r="L27" s="94">
        <v>4.4000000000000004</v>
      </c>
      <c r="M27" s="94">
        <v>222.1</v>
      </c>
      <c r="N27" s="94">
        <v>22.6</v>
      </c>
      <c r="O27" s="94">
        <v>7.1</v>
      </c>
      <c r="P27" s="94">
        <v>8.17</v>
      </c>
      <c r="Q27" s="94"/>
      <c r="R27" s="94"/>
      <c r="S27" s="94"/>
      <c r="T27" s="94"/>
      <c r="U27" s="94"/>
      <c r="V27" s="94">
        <v>3.27</v>
      </c>
      <c r="W27" s="94">
        <v>20.48</v>
      </c>
      <c r="X27" s="94">
        <v>5.22</v>
      </c>
      <c r="Y27" s="94">
        <v>2.5</v>
      </c>
      <c r="Z27" s="95">
        <v>2.88</v>
      </c>
    </row>
    <row r="28" spans="1:26" ht="15" customHeight="1" x14ac:dyDescent="0.25">
      <c r="A28" s="72" t="str">
        <f t="shared" si="7"/>
        <v>C180x2,0</v>
      </c>
      <c r="B28" s="90" t="str">
        <f t="shared" si="8"/>
        <v>180</v>
      </c>
      <c r="C28" s="3">
        <f t="shared" si="9"/>
        <v>68</v>
      </c>
      <c r="D28" s="3">
        <f t="shared" si="10"/>
        <v>68</v>
      </c>
      <c r="E28" s="3">
        <f t="shared" si="11"/>
        <v>17</v>
      </c>
      <c r="F28" s="134" t="str">
        <f t="shared" si="12"/>
        <v>C180</v>
      </c>
      <c r="G28" s="81" t="s">
        <v>138</v>
      </c>
      <c r="H28" s="123">
        <v>2</v>
      </c>
      <c r="I28" s="96">
        <v>5.23</v>
      </c>
      <c r="J28" s="96">
        <v>4.66</v>
      </c>
      <c r="K28" s="96">
        <v>2.54</v>
      </c>
      <c r="L28" s="96">
        <v>6.49</v>
      </c>
      <c r="M28" s="96">
        <v>326.5</v>
      </c>
      <c r="N28" s="96">
        <v>35.71</v>
      </c>
      <c r="O28" s="96">
        <v>7.09</v>
      </c>
      <c r="P28" s="96">
        <v>8.86</v>
      </c>
      <c r="Q28" s="96"/>
      <c r="R28" s="96"/>
      <c r="S28" s="96"/>
      <c r="T28" s="96"/>
      <c r="U28" s="96"/>
      <c r="V28" s="96">
        <v>4.74</v>
      </c>
      <c r="W28" s="96">
        <v>30.09</v>
      </c>
      <c r="X28" s="96">
        <v>7.36</v>
      </c>
      <c r="Y28" s="96">
        <v>2.52</v>
      </c>
      <c r="Z28" s="97">
        <v>2.71</v>
      </c>
    </row>
    <row r="29" spans="1:26" ht="15" customHeight="1" x14ac:dyDescent="0.25">
      <c r="A29" s="72" t="str">
        <f t="shared" si="7"/>
        <v>C180x2,5</v>
      </c>
      <c r="B29" s="90" t="str">
        <f t="shared" si="8"/>
        <v>180</v>
      </c>
      <c r="C29" s="3">
        <f t="shared" si="9"/>
        <v>68</v>
      </c>
      <c r="D29" s="3">
        <f t="shared" si="10"/>
        <v>68</v>
      </c>
      <c r="E29" s="3">
        <f t="shared" si="11"/>
        <v>18.5</v>
      </c>
      <c r="F29" s="134" t="str">
        <f t="shared" si="12"/>
        <v>C180</v>
      </c>
      <c r="G29" s="81" t="s">
        <v>139</v>
      </c>
      <c r="H29" s="123">
        <v>2.5</v>
      </c>
      <c r="I29" s="96">
        <v>6.55</v>
      </c>
      <c r="J29" s="96">
        <v>6.36</v>
      </c>
      <c r="K29" s="96">
        <v>2.52</v>
      </c>
      <c r="L29" s="96">
        <v>8.34</v>
      </c>
      <c r="M29" s="96">
        <v>412.06</v>
      </c>
      <c r="N29" s="96">
        <v>45.78</v>
      </c>
      <c r="O29" s="96">
        <v>7.03</v>
      </c>
      <c r="P29" s="96">
        <v>9</v>
      </c>
      <c r="Q29" s="96"/>
      <c r="R29" s="96"/>
      <c r="S29" s="96"/>
      <c r="T29" s="96"/>
      <c r="U29" s="96"/>
      <c r="V29" s="96">
        <v>6.36</v>
      </c>
      <c r="W29" s="96">
        <v>40.49</v>
      </c>
      <c r="X29" s="96">
        <v>9.6</v>
      </c>
      <c r="Y29" s="96">
        <v>2.52</v>
      </c>
      <c r="Z29" s="97">
        <v>2.58</v>
      </c>
    </row>
    <row r="30" spans="1:26" ht="15" customHeight="1" thickBot="1" x14ac:dyDescent="0.3">
      <c r="A30" s="73" t="str">
        <f t="shared" si="7"/>
        <v>C180x3,0</v>
      </c>
      <c r="B30" s="91" t="str">
        <f t="shared" si="8"/>
        <v>180</v>
      </c>
      <c r="C30" s="5">
        <f t="shared" si="9"/>
        <v>68</v>
      </c>
      <c r="D30" s="5">
        <f t="shared" si="10"/>
        <v>68</v>
      </c>
      <c r="E30" s="5">
        <f t="shared" si="11"/>
        <v>20</v>
      </c>
      <c r="F30" s="135" t="str">
        <f t="shared" si="12"/>
        <v>C180</v>
      </c>
      <c r="G30" s="82" t="s">
        <v>140</v>
      </c>
      <c r="H30" s="124">
        <v>3</v>
      </c>
      <c r="I30" s="98">
        <v>7.88</v>
      </c>
      <c r="J30" s="98">
        <v>8.1300000000000008</v>
      </c>
      <c r="K30" s="98">
        <v>2.52</v>
      </c>
      <c r="L30" s="98">
        <v>10.029999999999999</v>
      </c>
      <c r="M30" s="98">
        <v>491.66</v>
      </c>
      <c r="N30" s="98">
        <v>54.62</v>
      </c>
      <c r="O30" s="98">
        <v>7</v>
      </c>
      <c r="P30" s="98">
        <v>9</v>
      </c>
      <c r="Q30" s="98"/>
      <c r="R30" s="98"/>
      <c r="S30" s="98"/>
      <c r="T30" s="98"/>
      <c r="U30" s="98"/>
      <c r="V30" s="98">
        <v>8.1300000000000008</v>
      </c>
      <c r="W30" s="98">
        <v>51.48</v>
      </c>
      <c r="X30" s="98">
        <v>11.92</v>
      </c>
      <c r="Y30" s="98">
        <v>2.52</v>
      </c>
      <c r="Z30" s="99">
        <v>2.48</v>
      </c>
    </row>
    <row r="31" spans="1:26" ht="15" customHeight="1" x14ac:dyDescent="0.25">
      <c r="A31" s="71" t="str">
        <f t="shared" si="7"/>
        <v>C200x1,0</v>
      </c>
      <c r="B31" s="88" t="str">
        <f t="shared" si="8"/>
        <v>200</v>
      </c>
      <c r="C31" s="1">
        <f t="shared" si="9"/>
        <v>68</v>
      </c>
      <c r="D31" s="1">
        <f t="shared" si="10"/>
        <v>68</v>
      </c>
      <c r="E31" s="1">
        <f t="shared" si="11"/>
        <v>15.5</v>
      </c>
      <c r="F31" s="133" t="str">
        <f t="shared" si="12"/>
        <v>C200</v>
      </c>
      <c r="G31" s="80" t="s">
        <v>141</v>
      </c>
      <c r="H31" s="122">
        <v>1</v>
      </c>
      <c r="I31" s="94">
        <v>2.89</v>
      </c>
      <c r="J31" s="94">
        <v>1.51</v>
      </c>
      <c r="K31" s="94">
        <v>2.81</v>
      </c>
      <c r="L31" s="94">
        <v>2.78</v>
      </c>
      <c r="M31" s="94">
        <v>166.67</v>
      </c>
      <c r="N31" s="94">
        <v>14.05</v>
      </c>
      <c r="O31" s="94">
        <v>7.74</v>
      </c>
      <c r="P31" s="94">
        <v>8.15</v>
      </c>
      <c r="Q31" s="94"/>
      <c r="R31" s="94"/>
      <c r="S31" s="94"/>
      <c r="T31" s="94"/>
      <c r="U31" s="94"/>
      <c r="V31" s="94">
        <v>2.04</v>
      </c>
      <c r="W31" s="94">
        <v>12.56</v>
      </c>
      <c r="X31" s="94">
        <v>3.41</v>
      </c>
      <c r="Y31" s="94">
        <v>2.48</v>
      </c>
      <c r="Z31" s="95">
        <v>3.12</v>
      </c>
    </row>
    <row r="32" spans="1:26" ht="15" customHeight="1" x14ac:dyDescent="0.25">
      <c r="A32" s="72" t="str">
        <f t="shared" si="7"/>
        <v>C200x1,2</v>
      </c>
      <c r="B32" s="90" t="str">
        <f t="shared" si="8"/>
        <v>200</v>
      </c>
      <c r="C32" s="3">
        <f t="shared" si="9"/>
        <v>68</v>
      </c>
      <c r="D32" s="3">
        <f t="shared" si="10"/>
        <v>68</v>
      </c>
      <c r="E32" s="3">
        <f t="shared" si="11"/>
        <v>15.5</v>
      </c>
      <c r="F32" s="134" t="str">
        <f t="shared" si="12"/>
        <v>C200</v>
      </c>
      <c r="G32" s="81" t="s">
        <v>141</v>
      </c>
      <c r="H32" s="123">
        <v>1.2</v>
      </c>
      <c r="I32" s="96">
        <v>3.44</v>
      </c>
      <c r="J32" s="96">
        <v>2.08</v>
      </c>
      <c r="K32" s="96">
        <v>2.74</v>
      </c>
      <c r="L32" s="96">
        <v>3.53</v>
      </c>
      <c r="M32" s="96">
        <v>214.31</v>
      </c>
      <c r="N32" s="96">
        <v>18.850000000000001</v>
      </c>
      <c r="O32" s="96">
        <v>7.79</v>
      </c>
      <c r="P32" s="96">
        <v>8.6300000000000008</v>
      </c>
      <c r="Q32" s="96"/>
      <c r="R32" s="96"/>
      <c r="S32" s="96"/>
      <c r="T32" s="96"/>
      <c r="U32" s="96"/>
      <c r="V32" s="96">
        <v>2.5299999999999998</v>
      </c>
      <c r="W32" s="96">
        <v>15.81</v>
      </c>
      <c r="X32" s="96">
        <v>4.16</v>
      </c>
      <c r="Y32" s="96">
        <v>2.5</v>
      </c>
      <c r="Z32" s="97">
        <v>3</v>
      </c>
    </row>
    <row r="33" spans="1:26" ht="15" customHeight="1" x14ac:dyDescent="0.25">
      <c r="A33" s="72" t="str">
        <f t="shared" si="7"/>
        <v>C200x1,5</v>
      </c>
      <c r="B33" s="90" t="str">
        <f t="shared" si="8"/>
        <v>200</v>
      </c>
      <c r="C33" s="3">
        <f t="shared" si="9"/>
        <v>68</v>
      </c>
      <c r="D33" s="3">
        <f t="shared" si="10"/>
        <v>68</v>
      </c>
      <c r="E33" s="3">
        <f t="shared" si="11"/>
        <v>15.5</v>
      </c>
      <c r="F33" s="134" t="str">
        <f t="shared" si="12"/>
        <v>C200</v>
      </c>
      <c r="G33" s="81" t="s">
        <v>141</v>
      </c>
      <c r="H33" s="123">
        <v>1.5</v>
      </c>
      <c r="I33" s="96">
        <v>4.1500000000000004</v>
      </c>
      <c r="J33" s="96">
        <v>2.89</v>
      </c>
      <c r="K33" s="96">
        <v>2.66</v>
      </c>
      <c r="L33" s="96">
        <v>4.58</v>
      </c>
      <c r="M33" s="96">
        <v>280.3</v>
      </c>
      <c r="N33" s="96">
        <v>25.42</v>
      </c>
      <c r="O33" s="96">
        <v>7.83</v>
      </c>
      <c r="P33" s="96">
        <v>8.9700000000000006</v>
      </c>
      <c r="Q33" s="96"/>
      <c r="R33" s="96"/>
      <c r="S33" s="96"/>
      <c r="T33" s="96"/>
      <c r="U33" s="96"/>
      <c r="V33" s="96">
        <v>3.28</v>
      </c>
      <c r="W33" s="96">
        <v>20.54</v>
      </c>
      <c r="X33" s="96">
        <v>5.23</v>
      </c>
      <c r="Y33" s="96">
        <v>2.5099999999999998</v>
      </c>
      <c r="Z33" s="97">
        <v>2.87</v>
      </c>
    </row>
    <row r="34" spans="1:26" ht="15" customHeight="1" x14ac:dyDescent="0.25">
      <c r="A34" s="72" t="str">
        <f t="shared" si="7"/>
        <v>C200x2,0</v>
      </c>
      <c r="B34" s="90" t="str">
        <f t="shared" si="8"/>
        <v>200</v>
      </c>
      <c r="C34" s="3">
        <f t="shared" si="9"/>
        <v>68</v>
      </c>
      <c r="D34" s="3">
        <f t="shared" si="10"/>
        <v>68</v>
      </c>
      <c r="E34" s="3">
        <f t="shared" si="11"/>
        <v>17</v>
      </c>
      <c r="F34" s="134" t="str">
        <f t="shared" si="12"/>
        <v>C200</v>
      </c>
      <c r="G34" s="81" t="s">
        <v>142</v>
      </c>
      <c r="H34" s="123">
        <v>2</v>
      </c>
      <c r="I34" s="96">
        <v>5.55</v>
      </c>
      <c r="J34" s="96">
        <v>4.68</v>
      </c>
      <c r="K34" s="96">
        <v>2.54</v>
      </c>
      <c r="L34" s="96">
        <v>6.71</v>
      </c>
      <c r="M34" s="96">
        <v>408.9</v>
      </c>
      <c r="N34" s="96">
        <v>39.57</v>
      </c>
      <c r="O34" s="96">
        <v>7.81</v>
      </c>
      <c r="P34" s="96">
        <v>9.67</v>
      </c>
      <c r="Q34" s="96"/>
      <c r="R34" s="96"/>
      <c r="S34" s="96"/>
      <c r="T34" s="96"/>
      <c r="U34" s="96"/>
      <c r="V34" s="96">
        <v>4.76</v>
      </c>
      <c r="W34" s="96">
        <v>30.22</v>
      </c>
      <c r="X34" s="96">
        <v>7.37</v>
      </c>
      <c r="Y34" s="96">
        <v>2.52</v>
      </c>
      <c r="Z34" s="97">
        <v>2.7</v>
      </c>
    </row>
    <row r="35" spans="1:26" ht="15" customHeight="1" x14ac:dyDescent="0.25">
      <c r="A35" s="72" t="str">
        <f t="shared" si="7"/>
        <v>C200x2,5</v>
      </c>
      <c r="B35" s="90" t="str">
        <f t="shared" si="8"/>
        <v>200</v>
      </c>
      <c r="C35" s="3">
        <f t="shared" si="9"/>
        <v>68</v>
      </c>
      <c r="D35" s="3">
        <f t="shared" si="10"/>
        <v>68</v>
      </c>
      <c r="E35" s="3">
        <f>VALUE(MID(G35,(SEARCH("/",G35,SEARCH("/",G35,(SEARCH("/",G35,1)+1))+1)+1),4))</f>
        <v>18.5</v>
      </c>
      <c r="F35" s="134" t="str">
        <f t="shared" si="12"/>
        <v>C200</v>
      </c>
      <c r="G35" s="81" t="s">
        <v>170</v>
      </c>
      <c r="H35" s="123">
        <v>2.5</v>
      </c>
      <c r="I35" s="96">
        <v>6.95</v>
      </c>
      <c r="J35" s="96">
        <v>6.4</v>
      </c>
      <c r="K35" s="96">
        <v>2.52</v>
      </c>
      <c r="L35" s="96">
        <v>8.76</v>
      </c>
      <c r="M35" s="96">
        <v>524.9</v>
      </c>
      <c r="N35" s="96">
        <v>52.17</v>
      </c>
      <c r="O35" s="96">
        <v>7.74</v>
      </c>
      <c r="P35" s="96">
        <v>9.94</v>
      </c>
      <c r="Q35" s="96"/>
      <c r="R35" s="96"/>
      <c r="S35" s="96"/>
      <c r="T35" s="96"/>
      <c r="U35" s="96"/>
      <c r="V35" s="96">
        <v>6.4</v>
      </c>
      <c r="W35" s="96">
        <v>40.729999999999997</v>
      </c>
      <c r="X35" s="96">
        <v>9.6199999999999992</v>
      </c>
      <c r="Y35" s="96">
        <v>2.52</v>
      </c>
      <c r="Z35" s="97">
        <v>2.57</v>
      </c>
    </row>
    <row r="36" spans="1:26" ht="15" customHeight="1" thickBot="1" x14ac:dyDescent="0.3">
      <c r="A36" s="73" t="str">
        <f t="shared" si="7"/>
        <v>C200x3,0</v>
      </c>
      <c r="B36" s="91" t="str">
        <f t="shared" si="8"/>
        <v>200</v>
      </c>
      <c r="C36" s="5">
        <f t="shared" si="9"/>
        <v>68</v>
      </c>
      <c r="D36" s="5">
        <f t="shared" si="10"/>
        <v>68</v>
      </c>
      <c r="E36" s="5">
        <f t="shared" si="11"/>
        <v>20</v>
      </c>
      <c r="F36" s="135" t="str">
        <f t="shared" si="12"/>
        <v>C200</v>
      </c>
      <c r="G36" s="82" t="s">
        <v>143</v>
      </c>
      <c r="H36" s="124">
        <v>3</v>
      </c>
      <c r="I36" s="98">
        <v>8.35</v>
      </c>
      <c r="J36" s="98">
        <v>8.1999999999999993</v>
      </c>
      <c r="K36" s="98">
        <v>2.5099999999999998</v>
      </c>
      <c r="L36" s="98">
        <v>10.63</v>
      </c>
      <c r="M36" s="98">
        <v>630.44000000000005</v>
      </c>
      <c r="N36" s="98">
        <v>63.04</v>
      </c>
      <c r="O36" s="98">
        <v>7.7</v>
      </c>
      <c r="P36" s="98">
        <v>10</v>
      </c>
      <c r="Q36" s="98"/>
      <c r="R36" s="98"/>
      <c r="S36" s="98"/>
      <c r="T36" s="98"/>
      <c r="U36" s="98"/>
      <c r="V36" s="98">
        <v>8.1999999999999993</v>
      </c>
      <c r="W36" s="98">
        <v>51.85</v>
      </c>
      <c r="X36" s="98">
        <v>11.96</v>
      </c>
      <c r="Y36" s="98">
        <v>2.52</v>
      </c>
      <c r="Z36" s="99">
        <v>2.46</v>
      </c>
    </row>
    <row r="37" spans="1:26" ht="15" customHeight="1" x14ac:dyDescent="0.25">
      <c r="A37" s="71" t="str">
        <f t="shared" si="7"/>
        <v>C230x2,0</v>
      </c>
      <c r="B37" s="88" t="str">
        <f t="shared" si="8"/>
        <v>230</v>
      </c>
      <c r="C37" s="1">
        <f t="shared" si="9"/>
        <v>80</v>
      </c>
      <c r="D37" s="1">
        <f t="shared" si="10"/>
        <v>80</v>
      </c>
      <c r="E37" s="1">
        <f t="shared" si="11"/>
        <v>22</v>
      </c>
      <c r="F37" s="133" t="str">
        <f t="shared" si="12"/>
        <v>C230</v>
      </c>
      <c r="G37" s="80" t="s">
        <v>144</v>
      </c>
      <c r="H37" s="122">
        <v>2</v>
      </c>
      <c r="I37" s="94">
        <v>6.55</v>
      </c>
      <c r="J37" s="94">
        <v>5.07</v>
      </c>
      <c r="K37" s="94">
        <v>3.11</v>
      </c>
      <c r="L37" s="94">
        <v>7.6</v>
      </c>
      <c r="M37" s="94">
        <v>617.79999999999995</v>
      </c>
      <c r="N37" s="94">
        <v>50.4</v>
      </c>
      <c r="O37" s="94">
        <v>9.01</v>
      </c>
      <c r="P37" s="94">
        <v>10.74</v>
      </c>
      <c r="Q37" s="94"/>
      <c r="R37" s="94"/>
      <c r="S37" s="94"/>
      <c r="T37" s="94"/>
      <c r="U37" s="94"/>
      <c r="V37" s="94">
        <v>5.46</v>
      </c>
      <c r="W37" s="94">
        <v>49.38</v>
      </c>
      <c r="X37" s="94">
        <v>10.75</v>
      </c>
      <c r="Y37" s="94">
        <v>3.01</v>
      </c>
      <c r="Z37" s="95">
        <v>3.41</v>
      </c>
    </row>
    <row r="38" spans="1:26" ht="15" customHeight="1" x14ac:dyDescent="0.25">
      <c r="A38" s="72" t="str">
        <f t="shared" si="7"/>
        <v>C230x2,5</v>
      </c>
      <c r="B38" s="90" t="str">
        <f t="shared" si="8"/>
        <v>230</v>
      </c>
      <c r="C38" s="3">
        <f t="shared" si="9"/>
        <v>81</v>
      </c>
      <c r="D38" s="3">
        <f t="shared" si="10"/>
        <v>81</v>
      </c>
      <c r="E38" s="3">
        <f t="shared" si="11"/>
        <v>23</v>
      </c>
      <c r="F38" s="134" t="str">
        <f t="shared" si="12"/>
        <v>C230</v>
      </c>
      <c r="G38" s="81" t="s">
        <v>145</v>
      </c>
      <c r="H38" s="123">
        <v>2.5</v>
      </c>
      <c r="I38" s="96">
        <v>8.2200000000000006</v>
      </c>
      <c r="J38" s="96">
        <v>7.29</v>
      </c>
      <c r="K38" s="96">
        <v>3.05</v>
      </c>
      <c r="L38" s="96">
        <v>10.130000000000001</v>
      </c>
      <c r="M38" s="96">
        <v>822.3</v>
      </c>
      <c r="N38" s="96">
        <v>70.099999999999994</v>
      </c>
      <c r="O38" s="96">
        <v>9.01</v>
      </c>
      <c r="P38" s="96">
        <v>11.27</v>
      </c>
      <c r="Q38" s="96"/>
      <c r="R38" s="96"/>
      <c r="S38" s="96"/>
      <c r="T38" s="96"/>
      <c r="U38" s="96"/>
      <c r="V38" s="96">
        <v>7.32</v>
      </c>
      <c r="W38" s="96">
        <v>67.98</v>
      </c>
      <c r="X38" s="96">
        <v>14.08</v>
      </c>
      <c r="Y38" s="96">
        <v>3.05</v>
      </c>
      <c r="Z38" s="97">
        <v>3.27</v>
      </c>
    </row>
    <row r="39" spans="1:26" ht="15" customHeight="1" thickBot="1" x14ac:dyDescent="0.3">
      <c r="A39" s="73" t="str">
        <f t="shared" si="7"/>
        <v>C230x3,0</v>
      </c>
      <c r="B39" s="91" t="str">
        <f t="shared" si="8"/>
        <v>230</v>
      </c>
      <c r="C39" s="5">
        <f t="shared" si="9"/>
        <v>82</v>
      </c>
      <c r="D39" s="5">
        <f t="shared" si="10"/>
        <v>82</v>
      </c>
      <c r="E39" s="5">
        <f t="shared" si="11"/>
        <v>24</v>
      </c>
      <c r="F39" s="135" t="str">
        <f t="shared" si="12"/>
        <v>C230</v>
      </c>
      <c r="G39" s="82" t="s">
        <v>146</v>
      </c>
      <c r="H39" s="124">
        <v>3</v>
      </c>
      <c r="I39" s="98">
        <v>9.9</v>
      </c>
      <c r="J39" s="98">
        <v>9.36</v>
      </c>
      <c r="K39" s="98">
        <v>3.07</v>
      </c>
      <c r="L39" s="98">
        <v>12.61</v>
      </c>
      <c r="M39" s="98">
        <v>1007.92</v>
      </c>
      <c r="N39" s="98">
        <v>87.64</v>
      </c>
      <c r="O39" s="98">
        <v>8.94</v>
      </c>
      <c r="P39" s="98">
        <v>11.5</v>
      </c>
      <c r="Q39" s="98"/>
      <c r="R39" s="98"/>
      <c r="S39" s="98"/>
      <c r="T39" s="98"/>
      <c r="U39" s="98"/>
      <c r="V39" s="98">
        <v>9.36</v>
      </c>
      <c r="W39" s="98">
        <v>88.5</v>
      </c>
      <c r="X39" s="98">
        <v>17.600000000000001</v>
      </c>
      <c r="Y39" s="98">
        <v>3.08</v>
      </c>
      <c r="Z39" s="99">
        <v>3.17</v>
      </c>
    </row>
    <row r="40" spans="1:26" ht="15" customHeight="1" x14ac:dyDescent="0.25">
      <c r="A40" s="71" t="str">
        <f t="shared" si="7"/>
        <v>C250x1,0</v>
      </c>
      <c r="B40" s="88" t="str">
        <f t="shared" si="8"/>
        <v>250</v>
      </c>
      <c r="C40" s="1">
        <f t="shared" si="9"/>
        <v>71</v>
      </c>
      <c r="D40" s="1">
        <f t="shared" si="10"/>
        <v>71</v>
      </c>
      <c r="E40" s="1">
        <f t="shared" si="11"/>
        <v>21</v>
      </c>
      <c r="F40" s="133" t="str">
        <f t="shared" si="12"/>
        <v>C250</v>
      </c>
      <c r="G40" s="80" t="s">
        <v>147</v>
      </c>
      <c r="H40" s="122">
        <v>1</v>
      </c>
      <c r="I40" s="94">
        <v>3.44</v>
      </c>
      <c r="J40" s="94">
        <v>1.54</v>
      </c>
      <c r="K40" s="94">
        <v>2.96</v>
      </c>
      <c r="L40" s="94">
        <v>3.17</v>
      </c>
      <c r="M40" s="94">
        <v>286.98</v>
      </c>
      <c r="N40" s="94">
        <v>18.96</v>
      </c>
      <c r="O40" s="94">
        <v>9.52</v>
      </c>
      <c r="P40" s="94">
        <v>9.8699999999999992</v>
      </c>
      <c r="Q40" s="94"/>
      <c r="R40" s="94"/>
      <c r="S40" s="94"/>
      <c r="T40" s="94"/>
      <c r="U40" s="94"/>
      <c r="V40" s="94">
        <v>2.21</v>
      </c>
      <c r="W40" s="94">
        <v>15.52</v>
      </c>
      <c r="X40" s="94">
        <v>4.25</v>
      </c>
      <c r="Y40" s="94">
        <v>2.65</v>
      </c>
      <c r="Z40" s="95">
        <v>3.45</v>
      </c>
    </row>
    <row r="41" spans="1:26" ht="15" customHeight="1" x14ac:dyDescent="0.25">
      <c r="A41" s="72" t="str">
        <f t="shared" si="7"/>
        <v>C250x1,2</v>
      </c>
      <c r="B41" s="90" t="str">
        <f t="shared" si="8"/>
        <v>250</v>
      </c>
      <c r="C41" s="3">
        <f t="shared" si="9"/>
        <v>71</v>
      </c>
      <c r="D41" s="3">
        <f t="shared" si="10"/>
        <v>71</v>
      </c>
      <c r="E41" s="3">
        <f t="shared" si="11"/>
        <v>21</v>
      </c>
      <c r="F41" s="134" t="str">
        <f t="shared" si="12"/>
        <v>C250</v>
      </c>
      <c r="G41" s="81" t="s">
        <v>147</v>
      </c>
      <c r="H41" s="123">
        <v>1.2</v>
      </c>
      <c r="I41" s="96">
        <v>4.09</v>
      </c>
      <c r="J41" s="96">
        <v>2.14</v>
      </c>
      <c r="K41" s="96">
        <v>2.9</v>
      </c>
      <c r="L41" s="96">
        <v>4.01</v>
      </c>
      <c r="M41" s="96">
        <v>368.97</v>
      </c>
      <c r="N41" s="96">
        <v>25.31</v>
      </c>
      <c r="O41" s="96">
        <v>9.59</v>
      </c>
      <c r="P41" s="96">
        <v>10.43</v>
      </c>
      <c r="Q41" s="96"/>
      <c r="R41" s="96"/>
      <c r="S41" s="96"/>
      <c r="T41" s="96"/>
      <c r="U41" s="96"/>
      <c r="V41" s="96">
        <v>2.74</v>
      </c>
      <c r="W41" s="96">
        <v>19.57</v>
      </c>
      <c r="X41" s="96">
        <v>5.17</v>
      </c>
      <c r="Y41" s="96">
        <v>2.67</v>
      </c>
      <c r="Z41" s="97">
        <v>3.32</v>
      </c>
    </row>
    <row r="42" spans="1:26" ht="15" customHeight="1" x14ac:dyDescent="0.25">
      <c r="A42" s="72" t="str">
        <f t="shared" si="7"/>
        <v>C250x2,0</v>
      </c>
      <c r="B42" s="90" t="str">
        <f t="shared" si="8"/>
        <v>250</v>
      </c>
      <c r="C42" s="3">
        <f t="shared" si="9"/>
        <v>71</v>
      </c>
      <c r="D42" s="3">
        <f t="shared" si="10"/>
        <v>71</v>
      </c>
      <c r="E42" s="3">
        <f t="shared" si="11"/>
        <v>21</v>
      </c>
      <c r="F42" s="134" t="str">
        <f t="shared" si="12"/>
        <v>C250</v>
      </c>
      <c r="G42" s="81" t="s">
        <v>147</v>
      </c>
      <c r="H42" s="123">
        <v>2</v>
      </c>
      <c r="I42" s="96">
        <v>6.55</v>
      </c>
      <c r="J42" s="96">
        <v>4.92</v>
      </c>
      <c r="K42" s="96">
        <v>2.72</v>
      </c>
      <c r="L42" s="96">
        <v>7.52</v>
      </c>
      <c r="M42" s="96">
        <v>702.3</v>
      </c>
      <c r="N42" s="96">
        <v>52.73</v>
      </c>
      <c r="O42" s="96">
        <v>9.66</v>
      </c>
      <c r="P42" s="96">
        <v>11.68</v>
      </c>
      <c r="Q42" s="96"/>
      <c r="R42" s="96"/>
      <c r="S42" s="96"/>
      <c r="T42" s="96"/>
      <c r="U42" s="96"/>
      <c r="V42" s="96">
        <v>5.07</v>
      </c>
      <c r="W42" s="96">
        <v>36.549999999999997</v>
      </c>
      <c r="X42" s="96">
        <v>8.8000000000000007</v>
      </c>
      <c r="Y42" s="96">
        <v>2.69</v>
      </c>
      <c r="Z42" s="97">
        <v>2.95</v>
      </c>
    </row>
    <row r="43" spans="1:26" ht="15" customHeight="1" x14ac:dyDescent="0.25">
      <c r="A43" s="72" t="str">
        <f t="shared" si="7"/>
        <v>C250x2,5</v>
      </c>
      <c r="B43" s="90" t="str">
        <f t="shared" si="8"/>
        <v>250</v>
      </c>
      <c r="C43" s="3">
        <f t="shared" si="9"/>
        <v>72</v>
      </c>
      <c r="D43" s="3">
        <f t="shared" si="10"/>
        <v>72</v>
      </c>
      <c r="E43" s="3">
        <f t="shared" si="11"/>
        <v>22</v>
      </c>
      <c r="F43" s="134" t="str">
        <f t="shared" si="12"/>
        <v>C250</v>
      </c>
      <c r="G43" s="81" t="s">
        <v>148</v>
      </c>
      <c r="H43" s="123">
        <v>2.5</v>
      </c>
      <c r="I43" s="96">
        <v>8.2200000000000006</v>
      </c>
      <c r="J43" s="96">
        <v>6.85</v>
      </c>
      <c r="K43" s="96">
        <v>2.71</v>
      </c>
      <c r="L43" s="96">
        <v>9.9700000000000006</v>
      </c>
      <c r="M43" s="96">
        <v>919.8</v>
      </c>
      <c r="N43" s="96">
        <v>71.52</v>
      </c>
      <c r="O43" s="96">
        <v>9.61</v>
      </c>
      <c r="P43" s="96">
        <v>12.14</v>
      </c>
      <c r="Q43" s="96"/>
      <c r="R43" s="96"/>
      <c r="S43" s="96"/>
      <c r="T43" s="96"/>
      <c r="U43" s="96"/>
      <c r="V43" s="96">
        <v>6.85</v>
      </c>
      <c r="W43" s="96">
        <v>50.53</v>
      </c>
      <c r="X43" s="96">
        <v>11.55</v>
      </c>
      <c r="Y43" s="96">
        <v>2.72</v>
      </c>
      <c r="Z43" s="97">
        <v>2.83</v>
      </c>
    </row>
    <row r="44" spans="1:26" ht="15" customHeight="1" x14ac:dyDescent="0.25">
      <c r="A44" s="72" t="str">
        <f t="shared" si="7"/>
        <v>C250x3,0</v>
      </c>
      <c r="B44" s="90" t="str">
        <f t="shared" si="8"/>
        <v>250</v>
      </c>
      <c r="C44" s="3">
        <f t="shared" si="9"/>
        <v>73</v>
      </c>
      <c r="D44" s="3">
        <f t="shared" si="10"/>
        <v>73</v>
      </c>
      <c r="E44" s="3">
        <f t="shared" si="11"/>
        <v>23</v>
      </c>
      <c r="F44" s="134" t="str">
        <f t="shared" si="12"/>
        <v>C250</v>
      </c>
      <c r="G44" s="81" t="s">
        <v>149</v>
      </c>
      <c r="H44" s="123">
        <v>3</v>
      </c>
      <c r="I44" s="96">
        <v>9.9</v>
      </c>
      <c r="J44" s="96">
        <v>8.8000000000000007</v>
      </c>
      <c r="K44" s="96">
        <v>2.73</v>
      </c>
      <c r="L44" s="96">
        <v>12.39</v>
      </c>
      <c r="M44" s="96">
        <v>1126.4000000000001</v>
      </c>
      <c r="N44" s="96">
        <v>89.19</v>
      </c>
      <c r="O44" s="96">
        <v>9.5299999999999994</v>
      </c>
      <c r="P44" s="96">
        <v>12.37</v>
      </c>
      <c r="Q44" s="96"/>
      <c r="R44" s="96"/>
      <c r="S44" s="96"/>
      <c r="T44" s="96"/>
      <c r="U44" s="96"/>
      <c r="V44" s="96">
        <v>8.8000000000000007</v>
      </c>
      <c r="W44" s="96">
        <v>66.02</v>
      </c>
      <c r="X44" s="96">
        <v>14.38</v>
      </c>
      <c r="Y44" s="96">
        <v>2.74</v>
      </c>
      <c r="Z44" s="97">
        <v>2.73</v>
      </c>
    </row>
    <row r="45" spans="1:26" ht="15" customHeight="1" thickBot="1" x14ac:dyDescent="0.3">
      <c r="A45" s="73" t="str">
        <f t="shared" si="7"/>
        <v>C250x3,5</v>
      </c>
      <c r="B45" s="91" t="str">
        <f t="shared" si="8"/>
        <v>250</v>
      </c>
      <c r="C45" s="5">
        <f t="shared" si="9"/>
        <v>74</v>
      </c>
      <c r="D45" s="5">
        <f t="shared" si="10"/>
        <v>74</v>
      </c>
      <c r="E45" s="5">
        <f t="shared" si="11"/>
        <v>24</v>
      </c>
      <c r="F45" s="135" t="str">
        <f t="shared" si="12"/>
        <v>C250</v>
      </c>
      <c r="G45" s="82" t="s">
        <v>150</v>
      </c>
      <c r="H45" s="124">
        <v>3.5</v>
      </c>
      <c r="I45" s="98">
        <v>11.6</v>
      </c>
      <c r="J45" s="98">
        <v>10.91</v>
      </c>
      <c r="K45" s="98">
        <v>2.75</v>
      </c>
      <c r="L45" s="98">
        <v>14.77</v>
      </c>
      <c r="M45" s="98">
        <v>1330.08</v>
      </c>
      <c r="N45" s="98">
        <v>106.4</v>
      </c>
      <c r="O45" s="98">
        <v>9.49</v>
      </c>
      <c r="P45" s="98">
        <v>12.5</v>
      </c>
      <c r="Q45" s="98"/>
      <c r="R45" s="98"/>
      <c r="S45" s="98"/>
      <c r="T45" s="98"/>
      <c r="U45" s="98"/>
      <c r="V45" s="98">
        <v>10.91</v>
      </c>
      <c r="W45" s="98">
        <v>82.92</v>
      </c>
      <c r="X45" s="98">
        <v>17.399999999999999</v>
      </c>
      <c r="Y45" s="98">
        <v>2.76</v>
      </c>
      <c r="Z45" s="99">
        <v>2.66</v>
      </c>
    </row>
    <row r="46" spans="1:26" ht="15" customHeight="1" x14ac:dyDescent="0.25">
      <c r="A46" s="74" t="str">
        <f t="shared" si="7"/>
        <v>C300x2,0</v>
      </c>
      <c r="B46" s="13" t="str">
        <f t="shared" si="8"/>
        <v>300</v>
      </c>
      <c r="C46" s="15">
        <f t="shared" si="9"/>
        <v>88</v>
      </c>
      <c r="D46" s="15">
        <f t="shared" si="10"/>
        <v>88</v>
      </c>
      <c r="E46" s="15">
        <f t="shared" si="11"/>
        <v>29</v>
      </c>
      <c r="F46" s="9" t="str">
        <f t="shared" si="12"/>
        <v>C300</v>
      </c>
      <c r="G46" s="83" t="s">
        <v>151</v>
      </c>
      <c r="H46" s="125">
        <v>2</v>
      </c>
      <c r="I46" s="100">
        <v>8.1199999999999992</v>
      </c>
      <c r="J46" s="100">
        <v>5.34</v>
      </c>
      <c r="K46" s="100">
        <v>3.5</v>
      </c>
      <c r="L46" s="100">
        <v>8.73</v>
      </c>
      <c r="M46" s="100">
        <v>1188.0999999999999</v>
      </c>
      <c r="N46" s="100">
        <v>71.03</v>
      </c>
      <c r="O46" s="100">
        <v>11.67</v>
      </c>
      <c r="P46" s="100">
        <v>13.27</v>
      </c>
      <c r="Q46" s="100"/>
      <c r="R46" s="100"/>
      <c r="S46" s="100"/>
      <c r="T46" s="100"/>
      <c r="U46" s="100"/>
      <c r="V46" s="100">
        <v>6.02</v>
      </c>
      <c r="W46" s="100">
        <v>69.150000000000006</v>
      </c>
      <c r="X46" s="100">
        <v>14.1</v>
      </c>
      <c r="Y46" s="100">
        <v>3.37</v>
      </c>
      <c r="Z46" s="101">
        <v>3.99</v>
      </c>
    </row>
    <row r="47" spans="1:26" ht="15" customHeight="1" x14ac:dyDescent="0.25">
      <c r="A47" s="72" t="str">
        <f t="shared" si="7"/>
        <v>C300x2,5</v>
      </c>
      <c r="B47" s="11" t="str">
        <f t="shared" si="8"/>
        <v>300</v>
      </c>
      <c r="C47" s="3">
        <f t="shared" si="9"/>
        <v>89</v>
      </c>
      <c r="D47" s="3">
        <f t="shared" si="10"/>
        <v>89</v>
      </c>
      <c r="E47" s="3">
        <f t="shared" si="11"/>
        <v>30</v>
      </c>
      <c r="F47" s="134" t="str">
        <f t="shared" si="12"/>
        <v>C300</v>
      </c>
      <c r="G47" s="81" t="s">
        <v>152</v>
      </c>
      <c r="H47" s="123">
        <v>2.5</v>
      </c>
      <c r="I47" s="96">
        <v>10.19</v>
      </c>
      <c r="J47" s="96">
        <v>7.88</v>
      </c>
      <c r="K47" s="96">
        <v>3.46</v>
      </c>
      <c r="L47" s="96">
        <v>11.85</v>
      </c>
      <c r="M47" s="96">
        <v>1606</v>
      </c>
      <c r="N47" s="96">
        <v>101.19</v>
      </c>
      <c r="O47" s="96">
        <v>11.64</v>
      </c>
      <c r="P47" s="96">
        <v>14.13</v>
      </c>
      <c r="Q47" s="96"/>
      <c r="R47" s="96"/>
      <c r="S47" s="96"/>
      <c r="T47" s="96"/>
      <c r="U47" s="96"/>
      <c r="V47" s="96">
        <v>8.14</v>
      </c>
      <c r="W47" s="96">
        <v>95.14</v>
      </c>
      <c r="X47" s="96">
        <v>18.7</v>
      </c>
      <c r="Y47" s="96">
        <v>3.42</v>
      </c>
      <c r="Z47" s="97">
        <v>3.83</v>
      </c>
    </row>
    <row r="48" spans="1:26" ht="15" customHeight="1" x14ac:dyDescent="0.25">
      <c r="A48" s="72" t="str">
        <f t="shared" si="7"/>
        <v>C300x3,0</v>
      </c>
      <c r="B48" s="11" t="str">
        <f t="shared" si="8"/>
        <v>300</v>
      </c>
      <c r="C48" s="3">
        <f t="shared" si="9"/>
        <v>91</v>
      </c>
      <c r="D48" s="3">
        <f t="shared" si="10"/>
        <v>91</v>
      </c>
      <c r="E48" s="3">
        <f t="shared" si="11"/>
        <v>30</v>
      </c>
      <c r="F48" s="134" t="str">
        <f t="shared" si="12"/>
        <v>C300</v>
      </c>
      <c r="G48" s="81" t="s">
        <v>153</v>
      </c>
      <c r="H48" s="123">
        <v>3</v>
      </c>
      <c r="I48" s="96">
        <v>12.26</v>
      </c>
      <c r="J48" s="96">
        <v>10.38</v>
      </c>
      <c r="K48" s="96">
        <v>3.47</v>
      </c>
      <c r="L48" s="96">
        <v>14.88</v>
      </c>
      <c r="M48" s="96">
        <v>2009</v>
      </c>
      <c r="N48" s="96">
        <v>130.27000000000001</v>
      </c>
      <c r="O48" s="96">
        <v>11.62</v>
      </c>
      <c r="P48" s="96">
        <v>14.58</v>
      </c>
      <c r="Q48" s="96"/>
      <c r="R48" s="96"/>
      <c r="S48" s="96"/>
      <c r="T48" s="96"/>
      <c r="U48" s="96"/>
      <c r="V48" s="96">
        <v>10.38</v>
      </c>
      <c r="W48" s="96">
        <v>125.49</v>
      </c>
      <c r="X48" s="96">
        <v>23.3</v>
      </c>
      <c r="Y48" s="96">
        <v>3.48</v>
      </c>
      <c r="Z48" s="97">
        <v>3.72</v>
      </c>
    </row>
    <row r="49" spans="1:26" ht="15" customHeight="1" thickBot="1" x14ac:dyDescent="0.3">
      <c r="A49" s="73" t="str">
        <f t="shared" si="7"/>
        <v>C300x3,5</v>
      </c>
      <c r="B49" s="12" t="str">
        <f t="shared" si="8"/>
        <v>300</v>
      </c>
      <c r="C49" s="5">
        <f t="shared" si="9"/>
        <v>92</v>
      </c>
      <c r="D49" s="5">
        <f t="shared" si="10"/>
        <v>92</v>
      </c>
      <c r="E49" s="5">
        <f t="shared" si="11"/>
        <v>30</v>
      </c>
      <c r="F49" s="135" t="str">
        <f t="shared" si="12"/>
        <v>C300</v>
      </c>
      <c r="G49" s="82" t="s">
        <v>154</v>
      </c>
      <c r="H49" s="124">
        <v>3.5</v>
      </c>
      <c r="I49" s="98">
        <v>14.29</v>
      </c>
      <c r="J49" s="98">
        <v>12.72</v>
      </c>
      <c r="K49" s="98">
        <v>3.49</v>
      </c>
      <c r="L49" s="98">
        <v>17.82</v>
      </c>
      <c r="M49" s="98">
        <v>2372.1999999999998</v>
      </c>
      <c r="N49" s="98">
        <v>156.18</v>
      </c>
      <c r="O49" s="98">
        <v>11.54</v>
      </c>
      <c r="P49" s="98">
        <v>14.81</v>
      </c>
      <c r="Q49" s="98"/>
      <c r="R49" s="98"/>
      <c r="S49" s="98"/>
      <c r="T49" s="98"/>
      <c r="U49" s="98"/>
      <c r="V49" s="98">
        <v>12.72</v>
      </c>
      <c r="W49" s="98">
        <v>155.02000000000001</v>
      </c>
      <c r="X49" s="98">
        <v>27</v>
      </c>
      <c r="Y49" s="98">
        <v>3.49</v>
      </c>
      <c r="Z49" s="99">
        <v>3.59</v>
      </c>
    </row>
  </sheetData>
  <mergeCells count="33">
    <mergeCell ref="X7:X8"/>
    <mergeCell ref="Y7:Y8"/>
    <mergeCell ref="Z7:Z8"/>
    <mergeCell ref="R7:R8"/>
    <mergeCell ref="S7:S8"/>
    <mergeCell ref="T7:T8"/>
    <mergeCell ref="U7:U8"/>
    <mergeCell ref="V7:V8"/>
    <mergeCell ref="W7:W8"/>
    <mergeCell ref="Q7:Q8"/>
    <mergeCell ref="H4:H10"/>
    <mergeCell ref="I4:I9"/>
    <mergeCell ref="J4:K6"/>
    <mergeCell ref="L4:Z4"/>
    <mergeCell ref="L5:U5"/>
    <mergeCell ref="V5:Z6"/>
    <mergeCell ref="L6:P6"/>
    <mergeCell ref="Q6:U6"/>
    <mergeCell ref="J7:J8"/>
    <mergeCell ref="K7:K8"/>
    <mergeCell ref="L7:L8"/>
    <mergeCell ref="M7:M8"/>
    <mergeCell ref="N7:N8"/>
    <mergeCell ref="O7:O8"/>
    <mergeCell ref="P7:P8"/>
    <mergeCell ref="F4:G6"/>
    <mergeCell ref="F7:F10"/>
    <mergeCell ref="G7:G10"/>
    <mergeCell ref="A4:A10"/>
    <mergeCell ref="B4:B10"/>
    <mergeCell ref="C4:C10"/>
    <mergeCell ref="D4:D10"/>
    <mergeCell ref="E4:E10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Сводная</vt:lpstr>
      <vt:lpstr>Z</vt:lpstr>
      <vt:lpstr>C</vt:lpstr>
      <vt:lpstr>ZR</vt:lpstr>
      <vt:lpstr>S</vt:lpstr>
      <vt:lpstr>Z_R_280</vt:lpstr>
      <vt:lpstr>Z_R_350</vt:lpstr>
      <vt:lpstr>Z_R_390</vt:lpstr>
      <vt:lpstr>Z_R_420</vt:lpstr>
      <vt:lpstr>Z_R_450</vt:lpstr>
      <vt:lpstr>ZR_R_350</vt:lpstr>
      <vt:lpstr>ZR_R_390</vt:lpstr>
      <vt:lpstr>ZR_R_420</vt:lpstr>
      <vt:lpstr>S_R_350</vt:lpstr>
      <vt:lpstr>S_R_390</vt:lpstr>
      <vt:lpstr>S_R_420</vt:lpstr>
      <vt:lpstr>C_R_350</vt:lpstr>
      <vt:lpstr>C_R_390</vt:lpstr>
    </vt:vector>
  </TitlesOfParts>
  <Company>ООО "Мегапрофиль"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Сивоконь Юрий (Yuri Sivokon)</dc:creator>
  <cp:lastModifiedBy>Yuriy Sivokon</cp:lastModifiedBy>
  <cp:lastPrinted>2018-04-02T07:38:14Z</cp:lastPrinted>
  <dcterms:created xsi:type="dcterms:W3CDTF">2015-05-15T08:20:33Z</dcterms:created>
  <dcterms:modified xsi:type="dcterms:W3CDTF">2022-08-19T09:50:30Z</dcterms:modified>
</cp:coreProperties>
</file>